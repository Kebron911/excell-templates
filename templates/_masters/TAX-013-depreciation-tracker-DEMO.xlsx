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Schedule by Year" sheetId="3" state="visible" r:id="rId3"/>
    <sheet xmlns:r="http://schemas.openxmlformats.org/officeDocument/2006/relationships" name="Current Year Summary" sheetId="4" state="visible" r:id="rId4"/>
    <sheet xmlns:r="http://schemas.openxmlformats.org/officeDocument/2006/relationships" name="Form 4562 Worksheet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'Start'!$A$1:$L$42</definedName>
    <definedName name="_xlnm.Print_Titles" localSheetId="4">'Form 4562 Worksheet'!$1:$5</definedName>
    <definedName name="_xlnm.Print_Area" localSheetId="4">'Form 4562 Worksheet'!$A$1:$I$30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"/>
  </numFmts>
  <fonts count="34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Georgia"/>
      <b val="1"/>
      <color rgb="0012304E"/>
      <sz val="16"/>
    </font>
    <font>
      <name val="Consolas"/>
      <b val="1"/>
      <color rgb="0012304E"/>
      <sz val="9"/>
    </font>
    <font>
      <name val="Georgia"/>
      <b val="1"/>
      <color rgb="0012304E"/>
      <sz val="24"/>
    </font>
    <font>
      <name val="Georgia"/>
      <b val="1"/>
      <color rgb="00C9A24B"/>
      <sz val="24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i val="1"/>
      <color rgb="0012304E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2"/>
    </font>
    <font>
      <name val="Calibri"/>
      <color rgb="002B2B2B"/>
      <sz val="9"/>
    </font>
    <font>
      <name val="Georgia"/>
      <b val="1"/>
      <color rgb="00C9A24B"/>
      <sz val="10"/>
    </font>
    <font>
      <name val="Calibri"/>
      <b val="1"/>
      <color rgb="0012304E"/>
      <sz val="11"/>
    </font>
    <font>
      <name val="Georgia"/>
      <b val="1"/>
      <color rgb="00C9A24B"/>
      <sz val="14"/>
    </font>
    <font>
      <name val="Consolas"/>
      <i val="1"/>
      <color rgb="0012304E"/>
      <sz val="9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i val="1"/>
      <color rgb="006B7280"/>
      <sz val="10"/>
    </font>
    <font>
      <name val="Calibri"/>
      <b val="1"/>
      <color rgb="00FFFFFF"/>
      <sz val="9"/>
    </font>
    <font>
      <name val="Calibri"/>
      <color rgb="002B2B2B"/>
      <sz val="8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FE5D0"/>
      </patternFill>
    </fill>
  </fills>
  <borders count="8">
    <border>
      <left/>
      <right/>
      <top/>
      <bottom/>
      <diagonal/>
    </border>
    <border>
      <top style="medium">
        <color rgb="00C9A24B"/>
      </top>
    </border>
    <border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" fontId="8" fillId="3" borderId="0" applyAlignment="1" pivotButton="0" quotePrefix="0" xfId="0">
      <alignment horizontal="center" vertical="center"/>
    </xf>
    <xf numFmtId="164" fontId="9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0" fillId="3" borderId="2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indent="1"/>
    </xf>
    <xf numFmtId="0" fontId="12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3" fillId="3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4" fillId="4" borderId="0" applyAlignment="1" pivotButton="0" quotePrefix="0" xfId="0">
      <alignment horizontal="left" vertical="center" wrapText="1" indent="2"/>
    </xf>
    <xf numFmtId="0" fontId="0" fillId="0" borderId="5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3" fillId="5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18" fillId="3" borderId="0" applyAlignment="1" pivotButton="0" quotePrefix="0" xfId="0">
      <alignment horizontal="left" vertical="center" wrapText="1" indent="2"/>
    </xf>
    <xf numFmtId="0" fontId="20" fillId="3" borderId="0" applyAlignment="1" pivotButton="0" quotePrefix="0" xfId="0">
      <alignment horizontal="left" vertical="center" indent="2"/>
    </xf>
    <xf numFmtId="0" fontId="19" fillId="2" borderId="7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/>
    </xf>
    <xf numFmtId="165" fontId="11" fillId="6" borderId="0" applyAlignment="1" pivotButton="0" quotePrefix="0" xfId="0">
      <alignment horizontal="left" vertical="center"/>
    </xf>
    <xf numFmtId="164" fontId="11" fillId="6" borderId="0" applyAlignment="1" pivotButton="0" quotePrefix="0" xfId="0">
      <alignment horizontal="left" vertical="center"/>
    </xf>
    <xf numFmtId="164" fontId="21" fillId="7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right" vertical="center" indent="1"/>
    </xf>
    <xf numFmtId="164" fontId="23" fillId="4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164" fontId="24" fillId="7" borderId="0" applyAlignment="1" pivotButton="0" quotePrefix="0" xfId="0">
      <alignment horizontal="right" vertical="center"/>
    </xf>
    <xf numFmtId="164" fontId="25" fillId="4" borderId="0" pivotButton="0" quotePrefix="0" xfId="0"/>
    <xf numFmtId="165" fontId="21" fillId="7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64" fontId="27" fillId="4" borderId="0" pivotButton="0" quotePrefix="0" xfId="0"/>
    <xf numFmtId="0" fontId="28" fillId="4" borderId="0" applyAlignment="1" pivotButton="0" quotePrefix="0" xfId="0">
      <alignment horizontal="center" vertical="center"/>
    </xf>
    <xf numFmtId="0" fontId="29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left" vertical="center" indent="1"/>
    </xf>
    <xf numFmtId="164" fontId="22" fillId="4" borderId="0" applyAlignment="1" pivotButton="0" quotePrefix="0" xfId="0">
      <alignment horizontal="right" vertical="center"/>
    </xf>
    <xf numFmtId="3" fontId="11" fillId="6" borderId="0" applyAlignment="1" pivotButton="0" quotePrefix="0" xfId="0">
      <alignment horizontal="left" vertical="center"/>
    </xf>
    <xf numFmtId="10" fontId="11" fillId="6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 indent="2"/>
    </xf>
    <xf numFmtId="0" fontId="30" fillId="0" borderId="0" applyAlignment="1" pivotButton="0" quotePrefix="0" xfId="0">
      <alignment horizontal="right" vertical="center" indent="1"/>
    </xf>
    <xf numFmtId="1" fontId="11" fillId="6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right" vertical="top" indent="1"/>
    </xf>
    <xf numFmtId="0" fontId="31" fillId="0" borderId="0" applyAlignment="1" pivotButton="0" quotePrefix="0" xfId="0">
      <alignment horizontal="left" vertical="center" wrapText="1" indent="1"/>
    </xf>
    <xf numFmtId="0" fontId="13" fillId="0" borderId="0" pivotButton="0" quotePrefix="0" xfId="0"/>
    <xf numFmtId="0" fontId="32" fillId="2" borderId="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0" fontId="33" fillId="0" borderId="0" applyAlignment="1" pivotButton="0" quotePrefix="0" xfId="0">
      <alignment horizontal="center" vertical="center"/>
    </xf>
    <xf numFmtId="10" fontId="33" fillId="8" borderId="0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Depreciation Tracker</t>
        </is>
      </c>
    </row>
    <row r="5" ht="22" customHeight="1">
      <c r="A5" s="4" t="inlineStr">
        <is>
          <t>Every depreciable asset, every year, one ledger.</t>
        </is>
      </c>
    </row>
    <row r="6" ht="32" customHeight="1">
      <c r="A6" s="5">
        <f>IF(IFERROR('Current Year Summary'!F109,0)&gt;0,"✅  Current-year depreciation = "&amp;TEXT('Current Year Summary'!F109,"$#,##0")&amp;"  ·  Assets tracked = "&amp;COUNTA('Asset Register'!A8:A107),"📊  Add an asset on the Asset Register to see your deduction.")</f>
        <v/>
      </c>
    </row>
    <row r="7" ht="22" customHeight="1">
      <c r="A7" s="6" t="inlineStr">
        <is>
          <t>TAX-013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8" customHeight="1">
      <c r="A11" s="8" t="inlineStr">
        <is>
          <t>Portfolio at a glance</t>
        </is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2" customHeight="1">
      <c r="A13" s="9" t="inlineStr">
        <is>
          <t>ASSETS TRACKED</t>
        </is>
      </c>
      <c r="E13" s="9" t="inlineStr">
        <is>
          <t>CURRENT-YEAR DEPRECIATION</t>
        </is>
      </c>
      <c r="I13" s="9" t="inlineStr">
        <is>
          <t>ACCUMULATED THROUGH PRIOR YEAR</t>
        </is>
      </c>
    </row>
    <row r="14" ht="22" customHeight="1">
      <c r="A14" s="10">
        <f>COUNTA('Asset Register'!A8:A107)</f>
        <v/>
      </c>
      <c r="E14" s="11">
        <f>'Current Year Summary'!F109</f>
        <v/>
      </c>
      <c r="I14" s="12">
        <f>'Current Year Summary'!G109</f>
        <v/>
      </c>
    </row>
    <row r="15" ht="22" customHeight="1"/>
    <row r="16" ht="22" customHeight="1"/>
    <row r="17" ht="22" customHeight="1"/>
    <row r="18" ht="22" customHeight="1">
      <c r="A18" s="13" t="n"/>
      <c r="E18" s="13" t="n"/>
      <c r="I18" s="13" t="n"/>
    </row>
    <row r="20" ht="24" customHeight="1">
      <c r="A20" s="14" t="inlineStr">
        <is>
          <t>Quick Start</t>
        </is>
      </c>
    </row>
    <row r="22" ht="18" customHeight="1">
      <c r="B22" s="15" t="inlineStr">
        <is>
          <t>① Settings: confirm your active tax year and property list</t>
        </is>
      </c>
    </row>
    <row r="23" ht="18" customHeight="1">
      <c r="B23" s="15" t="inlineStr">
        <is>
          <t>② Asset Register: enter every depreciable asset (cost, class, date)</t>
        </is>
      </c>
    </row>
    <row r="24" ht="18" customHeight="1">
      <c r="B24" s="15" t="inlineStr">
        <is>
          <t>③ Schedule by Year: see the full life-of-asset depreciation arc</t>
        </is>
      </c>
    </row>
    <row r="25" ht="18" customHeight="1">
      <c r="B25" s="15" t="inlineStr">
        <is>
          <t>④ Current Year Summary: drop the totals onto Schedule C line 13 / Schedule E line 18</t>
        </is>
      </c>
    </row>
    <row r="26" ht="18" customHeight="1">
      <c r="B26" s="15" t="inlineStr">
        <is>
          <t>⑤ Form 4562 Worksheet: print + hand to your CPA</t>
        </is>
      </c>
    </row>
    <row r="29" ht="22" customHeight="1">
      <c r="A29" s="16">
        <f>HYPERLINK("#'Asset Register'!A5", "ADD AN ASSET — OPEN REGISTER  →")</f>
        <v/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 ht="22" customHeight="1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 ht="22" customHeight="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 ht="22" customHeight="1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</row>
    <row r="34" ht="20" customHeight="1">
      <c r="A34" s="18">
        <f>HYPERLINK("#'Schedule by Year'!A1", "📅  Schedule by Year")</f>
        <v/>
      </c>
      <c r="B34" s="19" t="n"/>
      <c r="C34" s="19" t="n"/>
      <c r="D34" s="19" t="n"/>
      <c r="E34" s="19" t="n"/>
      <c r="F34" s="19" t="n"/>
      <c r="G34" s="18">
        <f>HYPERLINK("#'Form 4562 Worksheet'!A1", "📄  Form 4562 Worksheet")</f>
        <v/>
      </c>
      <c r="H34" s="19" t="n"/>
      <c r="I34" s="19" t="n"/>
      <c r="J34" s="19" t="n"/>
      <c r="K34" s="19" t="n"/>
      <c r="L34" s="19" t="n"/>
    </row>
    <row r="35" ht="20" customHeight="1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</row>
    <row r="37" ht="36" customHeight="1">
      <c r="A37" s="20" t="inlineStr">
        <is>
          <t>ⓘ  Connects with TAX-009 (Section 179 Planner) and TAX-010 (Cost Segregation DIY).  §179 + Bonus amounts entered on the Asset Register reduce adjusted basis before the year-by-year MACRS schedule runs.</t>
        </is>
      </c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</row>
    <row r="41" ht="18" customHeight="1">
      <c r="A41" s="22" t="inlineStr">
        <is>
          <t>Questions? hello@thestrledger.com</t>
        </is>
      </c>
    </row>
    <row r="42" ht="18" customHeight="1">
      <c r="A42" s="23" t="inlineStr">
        <is>
          <t>TAX-013 · v2.3 · Free updates forever</t>
        </is>
      </c>
    </row>
  </sheetData>
  <mergeCells count="27">
    <mergeCell ref="B26:L26"/>
    <mergeCell ref="A7:L7"/>
    <mergeCell ref="A29:L32"/>
    <mergeCell ref="E14:H17"/>
    <mergeCell ref="A41:L41"/>
    <mergeCell ref="B25:L25"/>
    <mergeCell ref="A37:L37"/>
    <mergeCell ref="A34:F35"/>
    <mergeCell ref="B22:L22"/>
    <mergeCell ref="A13:D13"/>
    <mergeCell ref="A2:F2"/>
    <mergeCell ref="I13:L13"/>
    <mergeCell ref="E18:H18"/>
    <mergeCell ref="A42:L42"/>
    <mergeCell ref="A5:L5"/>
    <mergeCell ref="B23:L23"/>
    <mergeCell ref="A4:L4"/>
    <mergeCell ref="A20:L20"/>
    <mergeCell ref="I14:L17"/>
    <mergeCell ref="G34:L35"/>
    <mergeCell ref="A14:D17"/>
    <mergeCell ref="E13:H13"/>
    <mergeCell ref="A18:D18"/>
    <mergeCell ref="I18:L18"/>
    <mergeCell ref="A11:L11"/>
    <mergeCell ref="B24:L24"/>
    <mergeCell ref="A6:L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3" customWidth="1" min="3" max="3"/>
    <col width="12" customWidth="1" min="4" max="4"/>
    <col width="7" customWidth="1" min="5" max="5"/>
    <col width="6" customWidth="1" min="6" max="6"/>
    <col width="11" customWidth="1" min="7" max="7"/>
    <col width="10" customWidth="1" min="8" max="8"/>
    <col width="10" customWidth="1" min="9" max="9"/>
    <col width="12" customWidth="1" min="10" max="10"/>
    <col width="8" customWidth="1" min="11" max="11"/>
    <col width="9" customWidth="1" min="12" max="12"/>
    <col width="11" customWidth="1" min="13" max="13"/>
    <col width="24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HYPERLINK("#'Start'!A1", "← BACK")</f>
        <v/>
      </c>
      <c r="B2" s="17" t="n"/>
      <c r="C2" s="17" t="n"/>
      <c r="D2" s="24" t="inlineStr">
        <is>
          <t>ASSET REGISTER</t>
        </is>
      </c>
      <c r="J2" s="25">
        <f>HYPERLINK("#'Schedule by Year'!A1",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2" customHeight="1">
      <c r="A4" s="27" t="inlineStr">
        <is>
          <t>Master register — capacity 100 assets.  Buildings = 27.5 (residential) / 39 (commercial), furniture = 7, appliances/tech/vehicles = 5, land improvements = 15.  Land is non-depreciable.</t>
        </is>
      </c>
    </row>
    <row r="6" ht="16" customHeight="1">
      <c r="A6" s="28" t="inlineStr">
        <is>
          <t>Yellow cells = your input.  Gray cells = formulas (do not edit).</t>
        </is>
      </c>
    </row>
    <row r="7" ht="22" customHeight="1">
      <c r="A7" s="29" t="inlineStr">
        <is>
          <t>Asset name</t>
        </is>
      </c>
      <c r="B7" s="29" t="inlineStr">
        <is>
          <t>Property</t>
        </is>
      </c>
      <c r="C7" s="29" t="inlineStr">
        <is>
          <t>Placed in service</t>
        </is>
      </c>
      <c r="D7" s="29" t="inlineStr">
        <is>
          <t>Cost basis</t>
        </is>
      </c>
      <c r="E7" s="29" t="inlineStr">
        <is>
          <t>MACRS yr</t>
        </is>
      </c>
      <c r="F7" s="29" t="inlineStr">
        <is>
          <t>Conv.</t>
        </is>
      </c>
      <c r="G7" s="29" t="inlineStr">
        <is>
          <t>Method</t>
        </is>
      </c>
      <c r="H7" s="29" t="inlineStr">
        <is>
          <t>§179 taken</t>
        </is>
      </c>
      <c r="I7" s="29" t="inlineStr">
        <is>
          <t>Bonus</t>
        </is>
      </c>
      <c r="J7" s="29" t="inlineStr">
        <is>
          <t>Adj. basis</t>
        </is>
      </c>
      <c r="K7" s="29" t="inlineStr">
        <is>
          <t>Recovery</t>
        </is>
      </c>
      <c r="L7" s="29" t="inlineStr">
        <is>
          <t>Salvage</t>
        </is>
      </c>
      <c r="M7" s="29" t="inlineStr">
        <is>
          <t>Disposition</t>
        </is>
      </c>
      <c r="N7" s="29" t="inlineStr">
        <is>
          <t>Notes</t>
        </is>
      </c>
    </row>
    <row r="8" ht="17" customHeight="1">
      <c r="A8" s="30" t="inlineStr">
        <is>
          <t>Smokies Ridge — building</t>
        </is>
      </c>
      <c r="B8" s="30" t="inlineStr">
        <is>
          <t>Smokies Ridge Cabin</t>
        </is>
      </c>
      <c r="C8" s="31" t="n">
        <v>45458</v>
      </c>
      <c r="D8" s="32" t="n">
        <v>250000</v>
      </c>
      <c r="E8" s="30" t="inlineStr">
        <is>
          <t>27.5</t>
        </is>
      </c>
      <c r="F8" s="30" t="inlineStr">
        <is>
          <t>MM</t>
        </is>
      </c>
      <c r="G8" s="30" t="inlineStr">
        <is>
          <t>SL</t>
        </is>
      </c>
      <c r="H8" s="32" t="n">
        <v>0</v>
      </c>
      <c r="I8" s="32" t="n">
        <v>0</v>
      </c>
      <c r="J8" s="33">
        <f>IF(D8="","",MAX(D8-IFERROR(H8,0)-IFERROR(I8,0),0))</f>
        <v/>
      </c>
      <c r="K8" s="34">
        <f>IF(E8="","",IFERROR(VLOOKUP(E8,Settings!$A$22:$B$27,2,FALSE),""))</f>
        <v/>
      </c>
      <c r="L8" s="32" t="n">
        <v>0</v>
      </c>
      <c r="M8" s="31" t="n"/>
      <c r="N8" s="30" t="inlineStr">
        <is>
          <t>Cost basis = purchase − land allocation</t>
        </is>
      </c>
    </row>
    <row r="9" ht="17" customHeight="1">
      <c r="A9" s="30" t="inlineStr">
        <is>
          <t>Creek Side Lodge — building</t>
        </is>
      </c>
      <c r="B9" s="30" t="inlineStr">
        <is>
          <t>Creek Side Lodge</t>
        </is>
      </c>
      <c r="C9" s="31" t="n">
        <v>45458</v>
      </c>
      <c r="D9" s="32" t="n">
        <v>250000</v>
      </c>
      <c r="E9" s="30" t="inlineStr">
        <is>
          <t>27.5</t>
        </is>
      </c>
      <c r="F9" s="30" t="inlineStr">
        <is>
          <t>MM</t>
        </is>
      </c>
      <c r="G9" s="30" t="inlineStr">
        <is>
          <t>SL</t>
        </is>
      </c>
      <c r="H9" s="32" t="n">
        <v>0</v>
      </c>
      <c r="I9" s="32" t="n">
        <v>0</v>
      </c>
      <c r="J9" s="33">
        <f>IF(D9="","",MAX(D9-IFERROR(H9,0)-IFERROR(I9,0),0))</f>
        <v/>
      </c>
      <c r="K9" s="34">
        <f>IF(E9="","",IFERROR(VLOOKUP(E9,Settings!$A$22:$B$27,2,FALSE),""))</f>
        <v/>
      </c>
      <c r="L9" s="32" t="n">
        <v>0</v>
      </c>
      <c r="M9" s="31" t="n"/>
      <c r="N9" s="30" t="inlineStr">
        <is>
          <t>Cost basis = purchase − land allocation</t>
        </is>
      </c>
    </row>
    <row r="10" ht="17" customHeight="1">
      <c r="A10" s="30" t="inlineStr">
        <is>
          <t>Lakehouse A — building</t>
        </is>
      </c>
      <c r="B10" s="30" t="inlineStr">
        <is>
          <t>Lakehouse A</t>
        </is>
      </c>
      <c r="C10" s="31" t="n">
        <v>45458</v>
      </c>
      <c r="D10" s="32" t="n">
        <v>250000</v>
      </c>
      <c r="E10" s="30" t="inlineStr">
        <is>
          <t>27.5</t>
        </is>
      </c>
      <c r="F10" s="30" t="inlineStr">
        <is>
          <t>MM</t>
        </is>
      </c>
      <c r="G10" s="30" t="inlineStr">
        <is>
          <t>SL</t>
        </is>
      </c>
      <c r="H10" s="32" t="n">
        <v>0</v>
      </c>
      <c r="I10" s="32" t="n">
        <v>0</v>
      </c>
      <c r="J10" s="33">
        <f>IF(D10="","",MAX(D10-IFERROR(H10,0)-IFERROR(I10,0),0))</f>
        <v/>
      </c>
      <c r="K10" s="34">
        <f>IF(E10="","",IFERROR(VLOOKUP(E10,Settings!$A$22:$B$27,2,FALSE),""))</f>
        <v/>
      </c>
      <c r="L10" s="32" t="n">
        <v>0</v>
      </c>
      <c r="M10" s="31" t="n"/>
      <c r="N10" s="30" t="inlineStr">
        <is>
          <t>Cost basis = purchase − land allocation</t>
        </is>
      </c>
    </row>
    <row r="11" ht="17" customHeight="1">
      <c r="A11" s="30" t="inlineStr">
        <is>
          <t>Whole-home furniture set</t>
        </is>
      </c>
      <c r="B11" s="30" t="inlineStr">
        <is>
          <t>Smokies Ridge Cabin</t>
        </is>
      </c>
      <c r="C11" s="31" t="n">
        <v>45463</v>
      </c>
      <c r="D11" s="32" t="n">
        <v>18000</v>
      </c>
      <c r="E11" s="30" t="inlineStr">
        <is>
          <t>7</t>
        </is>
      </c>
      <c r="F11" s="30" t="inlineStr">
        <is>
          <t>HY</t>
        </is>
      </c>
      <c r="G11" s="30" t="inlineStr">
        <is>
          <t>200% DB</t>
        </is>
      </c>
      <c r="H11" s="32" t="n">
        <v>0</v>
      </c>
      <c r="I11" s="32" t="n">
        <v>7200</v>
      </c>
      <c r="J11" s="33">
        <f>IF(D11="","",MAX(D11-IFERROR(H11,0)-IFERROR(I11,0),0))</f>
        <v/>
      </c>
      <c r="K11" s="34">
        <f>IF(E11="","",IFERROR(VLOOKUP(E11,Settings!$A$22:$B$27,2,FALSE),""))</f>
        <v/>
      </c>
      <c r="L11" s="32" t="n">
        <v>0</v>
      </c>
      <c r="M11" s="31" t="n"/>
      <c r="N11" s="30" t="inlineStr">
        <is>
          <t>Bonus 40% taken Y1</t>
        </is>
      </c>
    </row>
    <row r="12" ht="17" customHeight="1">
      <c r="A12" s="30" t="inlineStr">
        <is>
          <t>Stainless appliance package</t>
        </is>
      </c>
      <c r="B12" s="30" t="inlineStr">
        <is>
          <t>Creek Side Lodge</t>
        </is>
      </c>
      <c r="C12" s="31" t="n">
        <v>45478</v>
      </c>
      <c r="D12" s="32" t="n">
        <v>2400</v>
      </c>
      <c r="E12" s="30" t="inlineStr">
        <is>
          <t>5</t>
        </is>
      </c>
      <c r="F12" s="30" t="inlineStr">
        <is>
          <t>HY</t>
        </is>
      </c>
      <c r="G12" s="30" t="inlineStr">
        <is>
          <t>200% DB</t>
        </is>
      </c>
      <c r="H12" s="32" t="n">
        <v>0</v>
      </c>
      <c r="I12" s="32" t="n">
        <v>960</v>
      </c>
      <c r="J12" s="33">
        <f>IF(D12="","",MAX(D12-IFERROR(H12,0)-IFERROR(I12,0),0))</f>
        <v/>
      </c>
      <c r="K12" s="34">
        <f>IF(E12="","",IFERROR(VLOOKUP(E12,Settings!$A$22:$B$27,2,FALSE),""))</f>
        <v/>
      </c>
      <c r="L12" s="32" t="n">
        <v>0</v>
      </c>
      <c r="M12" s="31" t="n"/>
      <c r="N12" s="30" t="inlineStr">
        <is>
          <t>Bonus 40% taken Y1</t>
        </is>
      </c>
    </row>
    <row r="13" ht="17" customHeight="1">
      <c r="A13" s="30" t="inlineStr">
        <is>
          <t>Smart TV + mounts package</t>
        </is>
      </c>
      <c r="B13" s="30" t="inlineStr">
        <is>
          <t>Lakehouse A</t>
        </is>
      </c>
      <c r="C13" s="31" t="n">
        <v>45516</v>
      </c>
      <c r="D13" s="32" t="n">
        <v>1600</v>
      </c>
      <c r="E13" s="30" t="inlineStr">
        <is>
          <t>5</t>
        </is>
      </c>
      <c r="F13" s="30" t="inlineStr">
        <is>
          <t>HY</t>
        </is>
      </c>
      <c r="G13" s="30" t="inlineStr">
        <is>
          <t>200% DB</t>
        </is>
      </c>
      <c r="H13" s="32" t="n">
        <v>0</v>
      </c>
      <c r="I13" s="32" t="n">
        <v>640</v>
      </c>
      <c r="J13" s="33">
        <f>IF(D13="","",MAX(D13-IFERROR(H13,0)-IFERROR(I13,0),0))</f>
        <v/>
      </c>
      <c r="K13" s="34">
        <f>IF(E13="","",IFERROR(VLOOKUP(E13,Settings!$A$22:$B$27,2,FALSE),""))</f>
        <v/>
      </c>
      <c r="L13" s="32" t="n">
        <v>0</v>
      </c>
      <c r="M13" s="31" t="n"/>
      <c r="N13" s="30" t="inlineStr">
        <is>
          <t>Bonus 40% taken Y1</t>
        </is>
      </c>
    </row>
    <row r="14" ht="17" customHeight="1">
      <c r="A14" s="30" t="inlineStr">
        <is>
          <t>Ford F-150 (heavy truck &gt;6,000lb)</t>
        </is>
      </c>
      <c r="B14" s="30" t="inlineStr">
        <is>
          <t>Smokies Ridge Cabin</t>
        </is>
      </c>
      <c r="C14" s="31" t="n">
        <v>45306</v>
      </c>
      <c r="D14" s="32" t="n">
        <v>42000</v>
      </c>
      <c r="E14" s="30" t="inlineStr">
        <is>
          <t>5</t>
        </is>
      </c>
      <c r="F14" s="30" t="inlineStr">
        <is>
          <t>HY</t>
        </is>
      </c>
      <c r="G14" s="30" t="inlineStr">
        <is>
          <t>200% DB</t>
        </is>
      </c>
      <c r="H14" s="32" t="n">
        <v>30500</v>
      </c>
      <c r="I14" s="32" t="n">
        <v>4600</v>
      </c>
      <c r="J14" s="33">
        <f>IF(D14="","",MAX(D14-IFERROR(H14,0)-IFERROR(I14,0),0))</f>
        <v/>
      </c>
      <c r="K14" s="34">
        <f>IF(E14="","",IFERROR(VLOOKUP(E14,Settings!$A$22:$B$27,2,FALSE),""))</f>
        <v/>
      </c>
      <c r="L14" s="32" t="n">
        <v>0</v>
      </c>
      <c r="M14" s="31" t="n"/>
      <c r="N14" s="30" t="inlineStr">
        <is>
          <t>Listed property — Form 4562 Part V</t>
        </is>
      </c>
    </row>
    <row r="15" ht="17" customHeight="1">
      <c r="A15" s="30" t="inlineStr">
        <is>
          <t>Driveway extension + parking</t>
        </is>
      </c>
      <c r="B15" s="30" t="inlineStr">
        <is>
          <t>Smokies Ridge Cabin</t>
        </is>
      </c>
      <c r="C15" s="31" t="n">
        <v>45536</v>
      </c>
      <c r="D15" s="32" t="n">
        <v>12000</v>
      </c>
      <c r="E15" s="30" t="inlineStr">
        <is>
          <t>15</t>
        </is>
      </c>
      <c r="F15" s="30" t="inlineStr">
        <is>
          <t>HY</t>
        </is>
      </c>
      <c r="G15" s="30" t="inlineStr">
        <is>
          <t>150% DB</t>
        </is>
      </c>
      <c r="H15" s="32" t="n">
        <v>0</v>
      </c>
      <c r="I15" s="32" t="n">
        <v>4800</v>
      </c>
      <c r="J15" s="33">
        <f>IF(D15="","",MAX(D15-IFERROR(H15,0)-IFERROR(I15,0),0))</f>
        <v/>
      </c>
      <c r="K15" s="34">
        <f>IF(E15="","",IFERROR(VLOOKUP(E15,Settings!$A$22:$B$27,2,FALSE),""))</f>
        <v/>
      </c>
      <c r="L15" s="32" t="n">
        <v>0</v>
      </c>
      <c r="M15" s="31" t="n"/>
      <c r="N15" s="30" t="inlineStr">
        <is>
          <t>Land improvement</t>
        </is>
      </c>
    </row>
    <row r="16" ht="17" customHeight="1">
      <c r="A16" s="30" t="n"/>
      <c r="B16" s="30" t="n"/>
      <c r="C16" s="31" t="n"/>
      <c r="D16" s="32" t="n"/>
      <c r="E16" s="30" t="n"/>
      <c r="F16" s="30" t="n"/>
      <c r="G16" s="30" t="n"/>
      <c r="H16" s="32" t="n"/>
      <c r="I16" s="32" t="n"/>
      <c r="J16" s="33">
        <f>IF(D16="","",MAX(D16-IFERROR(H16,0)-IFERROR(I16,0),0))</f>
        <v/>
      </c>
      <c r="K16" s="34">
        <f>IF(E16="","",IFERROR(VLOOKUP(E16,Settings!$A$22:$B$27,2,FALSE),""))</f>
        <v/>
      </c>
      <c r="L16" s="32" t="n"/>
      <c r="M16" s="31" t="n"/>
      <c r="N16" s="30" t="n"/>
    </row>
    <row r="17" ht="17" customHeight="1">
      <c r="A17" s="30" t="n"/>
      <c r="B17" s="30" t="n"/>
      <c r="C17" s="31" t="n"/>
      <c r="D17" s="32" t="n"/>
      <c r="E17" s="30" t="n"/>
      <c r="F17" s="30" t="n"/>
      <c r="G17" s="30" t="n"/>
      <c r="H17" s="32" t="n"/>
      <c r="I17" s="32" t="n"/>
      <c r="J17" s="33">
        <f>IF(D17="","",MAX(D17-IFERROR(H17,0)-IFERROR(I17,0),0))</f>
        <v/>
      </c>
      <c r="K17" s="34">
        <f>IF(E17="","",IFERROR(VLOOKUP(E17,Settings!$A$22:$B$27,2,FALSE),""))</f>
        <v/>
      </c>
      <c r="L17" s="32" t="n"/>
      <c r="M17" s="31" t="n"/>
      <c r="N17" s="30" t="n"/>
    </row>
    <row r="18" ht="17" customHeight="1">
      <c r="A18" s="30" t="n"/>
      <c r="B18" s="30" t="n"/>
      <c r="C18" s="31" t="n"/>
      <c r="D18" s="32" t="n"/>
      <c r="E18" s="30" t="n"/>
      <c r="F18" s="30" t="n"/>
      <c r="G18" s="30" t="n"/>
      <c r="H18" s="32" t="n"/>
      <c r="I18" s="32" t="n"/>
      <c r="J18" s="33">
        <f>IF(D18="","",MAX(D18-IFERROR(H18,0)-IFERROR(I18,0),0))</f>
        <v/>
      </c>
      <c r="K18" s="34">
        <f>IF(E18="","",IFERROR(VLOOKUP(E18,Settings!$A$22:$B$27,2,FALSE),""))</f>
        <v/>
      </c>
      <c r="L18" s="32" t="n"/>
      <c r="M18" s="31" t="n"/>
      <c r="N18" s="30" t="n"/>
    </row>
    <row r="19" ht="17" customHeight="1">
      <c r="A19" s="30" t="n"/>
      <c r="B19" s="30" t="n"/>
      <c r="C19" s="31" t="n"/>
      <c r="D19" s="32" t="n"/>
      <c r="E19" s="30" t="n"/>
      <c r="F19" s="30" t="n"/>
      <c r="G19" s="30" t="n"/>
      <c r="H19" s="32" t="n"/>
      <c r="I19" s="32" t="n"/>
      <c r="J19" s="33">
        <f>IF(D19="","",MAX(D19-IFERROR(H19,0)-IFERROR(I19,0),0))</f>
        <v/>
      </c>
      <c r="K19" s="34">
        <f>IF(E19="","",IFERROR(VLOOKUP(E19,Settings!$A$22:$B$27,2,FALSE),""))</f>
        <v/>
      </c>
      <c r="L19" s="32" t="n"/>
      <c r="M19" s="31" t="n"/>
      <c r="N19" s="30" t="n"/>
    </row>
    <row r="20" ht="17" customHeight="1">
      <c r="A20" s="30" t="n"/>
      <c r="B20" s="30" t="n"/>
      <c r="C20" s="31" t="n"/>
      <c r="D20" s="32" t="n"/>
      <c r="E20" s="30" t="n"/>
      <c r="F20" s="30" t="n"/>
      <c r="G20" s="30" t="n"/>
      <c r="H20" s="32" t="n"/>
      <c r="I20" s="32" t="n"/>
      <c r="J20" s="33">
        <f>IF(D20="","",MAX(D20-IFERROR(H20,0)-IFERROR(I20,0),0))</f>
        <v/>
      </c>
      <c r="K20" s="34">
        <f>IF(E20="","",IFERROR(VLOOKUP(E20,Settings!$A$22:$B$27,2,FALSE),""))</f>
        <v/>
      </c>
      <c r="L20" s="32" t="n"/>
      <c r="M20" s="31" t="n"/>
      <c r="N20" s="30" t="n"/>
    </row>
    <row r="21" ht="17" customHeight="1">
      <c r="A21" s="30" t="n"/>
      <c r="B21" s="30" t="n"/>
      <c r="C21" s="31" t="n"/>
      <c r="D21" s="32" t="n"/>
      <c r="E21" s="30" t="n"/>
      <c r="F21" s="30" t="n"/>
      <c r="G21" s="30" t="n"/>
      <c r="H21" s="32" t="n"/>
      <c r="I21" s="32" t="n"/>
      <c r="J21" s="33">
        <f>IF(D21="","",MAX(D21-IFERROR(H21,0)-IFERROR(I21,0),0))</f>
        <v/>
      </c>
      <c r="K21" s="34">
        <f>IF(E21="","",IFERROR(VLOOKUP(E21,Settings!$A$22:$B$27,2,FALSE),""))</f>
        <v/>
      </c>
      <c r="L21" s="32" t="n"/>
      <c r="M21" s="31" t="n"/>
      <c r="N21" s="30" t="n"/>
    </row>
    <row r="22" ht="17" customHeight="1">
      <c r="A22" s="30" t="n"/>
      <c r="B22" s="30" t="n"/>
      <c r="C22" s="31" t="n"/>
      <c r="D22" s="32" t="n"/>
      <c r="E22" s="30" t="n"/>
      <c r="F22" s="30" t="n"/>
      <c r="G22" s="30" t="n"/>
      <c r="H22" s="32" t="n"/>
      <c r="I22" s="32" t="n"/>
      <c r="J22" s="33">
        <f>IF(D22="","",MAX(D22-IFERROR(H22,0)-IFERROR(I22,0),0))</f>
        <v/>
      </c>
      <c r="K22" s="34">
        <f>IF(E22="","",IFERROR(VLOOKUP(E22,Settings!$A$22:$B$27,2,FALSE),""))</f>
        <v/>
      </c>
      <c r="L22" s="32" t="n"/>
      <c r="M22" s="31" t="n"/>
      <c r="N22" s="30" t="n"/>
    </row>
    <row r="23" ht="17" customHeight="1">
      <c r="A23" s="30" t="n"/>
      <c r="B23" s="30" t="n"/>
      <c r="C23" s="31" t="n"/>
      <c r="D23" s="32" t="n"/>
      <c r="E23" s="30" t="n"/>
      <c r="F23" s="30" t="n"/>
      <c r="G23" s="30" t="n"/>
      <c r="H23" s="32" t="n"/>
      <c r="I23" s="32" t="n"/>
      <c r="J23" s="33">
        <f>IF(D23="","",MAX(D23-IFERROR(H23,0)-IFERROR(I23,0),0))</f>
        <v/>
      </c>
      <c r="K23" s="34">
        <f>IF(E23="","",IFERROR(VLOOKUP(E23,Settings!$A$22:$B$27,2,FALSE),""))</f>
        <v/>
      </c>
      <c r="L23" s="32" t="n"/>
      <c r="M23" s="31" t="n"/>
      <c r="N23" s="30" t="n"/>
    </row>
    <row r="24" ht="17" customHeight="1">
      <c r="A24" s="30" t="n"/>
      <c r="B24" s="30" t="n"/>
      <c r="C24" s="31" t="n"/>
      <c r="D24" s="32" t="n"/>
      <c r="E24" s="30" t="n"/>
      <c r="F24" s="30" t="n"/>
      <c r="G24" s="30" t="n"/>
      <c r="H24" s="32" t="n"/>
      <c r="I24" s="32" t="n"/>
      <c r="J24" s="33">
        <f>IF(D24="","",MAX(D24-IFERROR(H24,0)-IFERROR(I24,0),0))</f>
        <v/>
      </c>
      <c r="K24" s="34">
        <f>IF(E24="","",IFERROR(VLOOKUP(E24,Settings!$A$22:$B$27,2,FALSE),""))</f>
        <v/>
      </c>
      <c r="L24" s="32" t="n"/>
      <c r="M24" s="31" t="n"/>
      <c r="N24" s="30" t="n"/>
    </row>
    <row r="25" ht="17" customHeight="1">
      <c r="A25" s="30" t="n"/>
      <c r="B25" s="30" t="n"/>
      <c r="C25" s="31" t="n"/>
      <c r="D25" s="32" t="n"/>
      <c r="E25" s="30" t="n"/>
      <c r="F25" s="30" t="n"/>
      <c r="G25" s="30" t="n"/>
      <c r="H25" s="32" t="n"/>
      <c r="I25" s="32" t="n"/>
      <c r="J25" s="33">
        <f>IF(D25="","",MAX(D25-IFERROR(H25,0)-IFERROR(I25,0),0))</f>
        <v/>
      </c>
      <c r="K25" s="34">
        <f>IF(E25="","",IFERROR(VLOOKUP(E25,Settings!$A$22:$B$27,2,FALSE),""))</f>
        <v/>
      </c>
      <c r="L25" s="32" t="n"/>
      <c r="M25" s="31" t="n"/>
      <c r="N25" s="30" t="n"/>
    </row>
    <row r="26" ht="17" customHeight="1">
      <c r="A26" s="30" t="n"/>
      <c r="B26" s="30" t="n"/>
      <c r="C26" s="31" t="n"/>
      <c r="D26" s="32" t="n"/>
      <c r="E26" s="30" t="n"/>
      <c r="F26" s="30" t="n"/>
      <c r="G26" s="30" t="n"/>
      <c r="H26" s="32" t="n"/>
      <c r="I26" s="32" t="n"/>
      <c r="J26" s="33">
        <f>IF(D26="","",MAX(D26-IFERROR(H26,0)-IFERROR(I26,0),0))</f>
        <v/>
      </c>
      <c r="K26" s="34">
        <f>IF(E26="","",IFERROR(VLOOKUP(E26,Settings!$A$22:$B$27,2,FALSE),""))</f>
        <v/>
      </c>
      <c r="L26" s="32" t="n"/>
      <c r="M26" s="31" t="n"/>
      <c r="N26" s="30" t="n"/>
    </row>
    <row r="27" ht="17" customHeight="1">
      <c r="A27" s="30" t="n"/>
      <c r="B27" s="30" t="n"/>
      <c r="C27" s="31" t="n"/>
      <c r="D27" s="32" t="n"/>
      <c r="E27" s="30" t="n"/>
      <c r="F27" s="30" t="n"/>
      <c r="G27" s="30" t="n"/>
      <c r="H27" s="32" t="n"/>
      <c r="I27" s="32" t="n"/>
      <c r="J27" s="33">
        <f>IF(D27="","",MAX(D27-IFERROR(H27,0)-IFERROR(I27,0),0))</f>
        <v/>
      </c>
      <c r="K27" s="34">
        <f>IF(E27="","",IFERROR(VLOOKUP(E27,Settings!$A$22:$B$27,2,FALSE),""))</f>
        <v/>
      </c>
      <c r="L27" s="32" t="n"/>
      <c r="M27" s="31" t="n"/>
      <c r="N27" s="30" t="n"/>
    </row>
    <row r="28" ht="17" customHeight="1">
      <c r="A28" s="30" t="n"/>
      <c r="B28" s="30" t="n"/>
      <c r="C28" s="31" t="n"/>
      <c r="D28" s="32" t="n"/>
      <c r="E28" s="30" t="n"/>
      <c r="F28" s="30" t="n"/>
      <c r="G28" s="30" t="n"/>
      <c r="H28" s="32" t="n"/>
      <c r="I28" s="32" t="n"/>
      <c r="J28" s="33">
        <f>IF(D28="","",MAX(D28-IFERROR(H28,0)-IFERROR(I28,0),0))</f>
        <v/>
      </c>
      <c r="K28" s="34">
        <f>IF(E28="","",IFERROR(VLOOKUP(E28,Settings!$A$22:$B$27,2,FALSE),""))</f>
        <v/>
      </c>
      <c r="L28" s="32" t="n"/>
      <c r="M28" s="31" t="n"/>
      <c r="N28" s="30" t="n"/>
    </row>
    <row r="29" ht="17" customHeight="1">
      <c r="A29" s="30" t="n"/>
      <c r="B29" s="30" t="n"/>
      <c r="C29" s="31" t="n"/>
      <c r="D29" s="32" t="n"/>
      <c r="E29" s="30" t="n"/>
      <c r="F29" s="30" t="n"/>
      <c r="G29" s="30" t="n"/>
      <c r="H29" s="32" t="n"/>
      <c r="I29" s="32" t="n"/>
      <c r="J29" s="33">
        <f>IF(D29="","",MAX(D29-IFERROR(H29,0)-IFERROR(I29,0),0))</f>
        <v/>
      </c>
      <c r="K29" s="34">
        <f>IF(E29="","",IFERROR(VLOOKUP(E29,Settings!$A$22:$B$27,2,FALSE),""))</f>
        <v/>
      </c>
      <c r="L29" s="32" t="n"/>
      <c r="M29" s="31" t="n"/>
      <c r="N29" s="30" t="n"/>
    </row>
    <row r="30" ht="17" customHeight="1">
      <c r="A30" s="30" t="n"/>
      <c r="B30" s="30" t="n"/>
      <c r="C30" s="31" t="n"/>
      <c r="D30" s="32" t="n"/>
      <c r="E30" s="30" t="n"/>
      <c r="F30" s="30" t="n"/>
      <c r="G30" s="30" t="n"/>
      <c r="H30" s="32" t="n"/>
      <c r="I30" s="32" t="n"/>
      <c r="J30" s="33">
        <f>IF(D30="","",MAX(D30-IFERROR(H30,0)-IFERROR(I30,0),0))</f>
        <v/>
      </c>
      <c r="K30" s="34">
        <f>IF(E30="","",IFERROR(VLOOKUP(E30,Settings!$A$22:$B$27,2,FALSE),""))</f>
        <v/>
      </c>
      <c r="L30" s="32" t="n"/>
      <c r="M30" s="31" t="n"/>
      <c r="N30" s="30" t="n"/>
    </row>
    <row r="31" ht="17" customHeight="1">
      <c r="A31" s="30" t="n"/>
      <c r="B31" s="30" t="n"/>
      <c r="C31" s="31" t="n"/>
      <c r="D31" s="32" t="n"/>
      <c r="E31" s="30" t="n"/>
      <c r="F31" s="30" t="n"/>
      <c r="G31" s="30" t="n"/>
      <c r="H31" s="32" t="n"/>
      <c r="I31" s="32" t="n"/>
      <c r="J31" s="33">
        <f>IF(D31="","",MAX(D31-IFERROR(H31,0)-IFERROR(I31,0),0))</f>
        <v/>
      </c>
      <c r="K31" s="34">
        <f>IF(E31="","",IFERROR(VLOOKUP(E31,Settings!$A$22:$B$27,2,FALSE),""))</f>
        <v/>
      </c>
      <c r="L31" s="32" t="n"/>
      <c r="M31" s="31" t="n"/>
      <c r="N31" s="30" t="n"/>
    </row>
    <row r="32" ht="17" customHeight="1">
      <c r="A32" s="30" t="n"/>
      <c r="B32" s="30" t="n"/>
      <c r="C32" s="31" t="n"/>
      <c r="D32" s="32" t="n"/>
      <c r="E32" s="30" t="n"/>
      <c r="F32" s="30" t="n"/>
      <c r="G32" s="30" t="n"/>
      <c r="H32" s="32" t="n"/>
      <c r="I32" s="32" t="n"/>
      <c r="J32" s="33">
        <f>IF(D32="","",MAX(D32-IFERROR(H32,0)-IFERROR(I32,0),0))</f>
        <v/>
      </c>
      <c r="K32" s="34">
        <f>IF(E32="","",IFERROR(VLOOKUP(E32,Settings!$A$22:$B$27,2,FALSE),""))</f>
        <v/>
      </c>
      <c r="L32" s="32" t="n"/>
      <c r="M32" s="31" t="n"/>
      <c r="N32" s="30" t="n"/>
    </row>
    <row r="33" ht="17" customHeight="1">
      <c r="A33" s="30" t="n"/>
      <c r="B33" s="30" t="n"/>
      <c r="C33" s="31" t="n"/>
      <c r="D33" s="32" t="n"/>
      <c r="E33" s="30" t="n"/>
      <c r="F33" s="30" t="n"/>
      <c r="G33" s="30" t="n"/>
      <c r="H33" s="32" t="n"/>
      <c r="I33" s="32" t="n"/>
      <c r="J33" s="33">
        <f>IF(D33="","",MAX(D33-IFERROR(H33,0)-IFERROR(I33,0),0))</f>
        <v/>
      </c>
      <c r="K33" s="34">
        <f>IF(E33="","",IFERROR(VLOOKUP(E33,Settings!$A$22:$B$27,2,FALSE),""))</f>
        <v/>
      </c>
      <c r="L33" s="32" t="n"/>
      <c r="M33" s="31" t="n"/>
      <c r="N33" s="30" t="n"/>
    </row>
    <row r="34" ht="17" customHeight="1">
      <c r="A34" s="30" t="n"/>
      <c r="B34" s="30" t="n"/>
      <c r="C34" s="31" t="n"/>
      <c r="D34" s="32" t="n"/>
      <c r="E34" s="30" t="n"/>
      <c r="F34" s="30" t="n"/>
      <c r="G34" s="30" t="n"/>
      <c r="H34" s="32" t="n"/>
      <c r="I34" s="32" t="n"/>
      <c r="J34" s="33">
        <f>IF(D34="","",MAX(D34-IFERROR(H34,0)-IFERROR(I34,0),0))</f>
        <v/>
      </c>
      <c r="K34" s="34">
        <f>IF(E34="","",IFERROR(VLOOKUP(E34,Settings!$A$22:$B$27,2,FALSE),""))</f>
        <v/>
      </c>
      <c r="L34" s="32" t="n"/>
      <c r="M34" s="31" t="n"/>
      <c r="N34" s="30" t="n"/>
    </row>
    <row r="35" ht="17" customHeight="1">
      <c r="A35" s="30" t="n"/>
      <c r="B35" s="30" t="n"/>
      <c r="C35" s="31" t="n"/>
      <c r="D35" s="32" t="n"/>
      <c r="E35" s="30" t="n"/>
      <c r="F35" s="30" t="n"/>
      <c r="G35" s="30" t="n"/>
      <c r="H35" s="32" t="n"/>
      <c r="I35" s="32" t="n"/>
      <c r="J35" s="33">
        <f>IF(D35="","",MAX(D35-IFERROR(H35,0)-IFERROR(I35,0),0))</f>
        <v/>
      </c>
      <c r="K35" s="34">
        <f>IF(E35="","",IFERROR(VLOOKUP(E35,Settings!$A$22:$B$27,2,FALSE),""))</f>
        <v/>
      </c>
      <c r="L35" s="32" t="n"/>
      <c r="M35" s="31" t="n"/>
      <c r="N35" s="30" t="n"/>
    </row>
    <row r="36" ht="17" customHeight="1">
      <c r="A36" s="30" t="n"/>
      <c r="B36" s="30" t="n"/>
      <c r="C36" s="31" t="n"/>
      <c r="D36" s="32" t="n"/>
      <c r="E36" s="30" t="n"/>
      <c r="F36" s="30" t="n"/>
      <c r="G36" s="30" t="n"/>
      <c r="H36" s="32" t="n"/>
      <c r="I36" s="32" t="n"/>
      <c r="J36" s="33">
        <f>IF(D36="","",MAX(D36-IFERROR(H36,0)-IFERROR(I36,0),0))</f>
        <v/>
      </c>
      <c r="K36" s="34">
        <f>IF(E36="","",IFERROR(VLOOKUP(E36,Settings!$A$22:$B$27,2,FALSE),""))</f>
        <v/>
      </c>
      <c r="L36" s="32" t="n"/>
      <c r="M36" s="31" t="n"/>
      <c r="N36" s="30" t="n"/>
    </row>
    <row r="37" ht="17" customHeight="1">
      <c r="A37" s="30" t="n"/>
      <c r="B37" s="30" t="n"/>
      <c r="C37" s="31" t="n"/>
      <c r="D37" s="32" t="n"/>
      <c r="E37" s="30" t="n"/>
      <c r="F37" s="30" t="n"/>
      <c r="G37" s="30" t="n"/>
      <c r="H37" s="32" t="n"/>
      <c r="I37" s="32" t="n"/>
      <c r="J37" s="33">
        <f>IF(D37="","",MAX(D37-IFERROR(H37,0)-IFERROR(I37,0),0))</f>
        <v/>
      </c>
      <c r="K37" s="34">
        <f>IF(E37="","",IFERROR(VLOOKUP(E37,Settings!$A$22:$B$27,2,FALSE),""))</f>
        <v/>
      </c>
      <c r="L37" s="32" t="n"/>
      <c r="M37" s="31" t="n"/>
      <c r="N37" s="30" t="n"/>
    </row>
    <row r="38" ht="17" customHeight="1">
      <c r="A38" s="30" t="n"/>
      <c r="B38" s="30" t="n"/>
      <c r="C38" s="31" t="n"/>
      <c r="D38" s="32" t="n"/>
      <c r="E38" s="30" t="n"/>
      <c r="F38" s="30" t="n"/>
      <c r="G38" s="30" t="n"/>
      <c r="H38" s="32" t="n"/>
      <c r="I38" s="32" t="n"/>
      <c r="J38" s="33">
        <f>IF(D38="","",MAX(D38-IFERROR(H38,0)-IFERROR(I38,0),0))</f>
        <v/>
      </c>
      <c r="K38" s="34">
        <f>IF(E38="","",IFERROR(VLOOKUP(E38,Settings!$A$22:$B$27,2,FALSE),""))</f>
        <v/>
      </c>
      <c r="L38" s="32" t="n"/>
      <c r="M38" s="31" t="n"/>
      <c r="N38" s="30" t="n"/>
    </row>
    <row r="39" ht="17" customHeight="1">
      <c r="A39" s="30" t="n"/>
      <c r="B39" s="30" t="n"/>
      <c r="C39" s="31" t="n"/>
      <c r="D39" s="32" t="n"/>
      <c r="E39" s="30" t="n"/>
      <c r="F39" s="30" t="n"/>
      <c r="G39" s="30" t="n"/>
      <c r="H39" s="32" t="n"/>
      <c r="I39" s="32" t="n"/>
      <c r="J39" s="33">
        <f>IF(D39="","",MAX(D39-IFERROR(H39,0)-IFERROR(I39,0),0))</f>
        <v/>
      </c>
      <c r="K39" s="34">
        <f>IF(E39="","",IFERROR(VLOOKUP(E39,Settings!$A$22:$B$27,2,FALSE),""))</f>
        <v/>
      </c>
      <c r="L39" s="32" t="n"/>
      <c r="M39" s="31" t="n"/>
      <c r="N39" s="30" t="n"/>
    </row>
    <row r="40" ht="17" customHeight="1">
      <c r="A40" s="30" t="n"/>
      <c r="B40" s="30" t="n"/>
      <c r="C40" s="31" t="n"/>
      <c r="D40" s="32" t="n"/>
      <c r="E40" s="30" t="n"/>
      <c r="F40" s="30" t="n"/>
      <c r="G40" s="30" t="n"/>
      <c r="H40" s="32" t="n"/>
      <c r="I40" s="32" t="n"/>
      <c r="J40" s="33">
        <f>IF(D40="","",MAX(D40-IFERROR(H40,0)-IFERROR(I40,0),0))</f>
        <v/>
      </c>
      <c r="K40" s="34">
        <f>IF(E40="","",IFERROR(VLOOKUP(E40,Settings!$A$22:$B$27,2,FALSE),""))</f>
        <v/>
      </c>
      <c r="L40" s="32" t="n"/>
      <c r="M40" s="31" t="n"/>
      <c r="N40" s="30" t="n"/>
    </row>
    <row r="41" ht="17" customHeight="1">
      <c r="A41" s="30" t="n"/>
      <c r="B41" s="30" t="n"/>
      <c r="C41" s="31" t="n"/>
      <c r="D41" s="32" t="n"/>
      <c r="E41" s="30" t="n"/>
      <c r="F41" s="30" t="n"/>
      <c r="G41" s="30" t="n"/>
      <c r="H41" s="32" t="n"/>
      <c r="I41" s="32" t="n"/>
      <c r="J41" s="33">
        <f>IF(D41="","",MAX(D41-IFERROR(H41,0)-IFERROR(I41,0),0))</f>
        <v/>
      </c>
      <c r="K41" s="34">
        <f>IF(E41="","",IFERROR(VLOOKUP(E41,Settings!$A$22:$B$27,2,FALSE),""))</f>
        <v/>
      </c>
      <c r="L41" s="32" t="n"/>
      <c r="M41" s="31" t="n"/>
      <c r="N41" s="30" t="n"/>
    </row>
    <row r="42" ht="17" customHeight="1">
      <c r="A42" s="30" t="n"/>
      <c r="B42" s="30" t="n"/>
      <c r="C42" s="31" t="n"/>
      <c r="D42" s="32" t="n"/>
      <c r="E42" s="30" t="n"/>
      <c r="F42" s="30" t="n"/>
      <c r="G42" s="30" t="n"/>
      <c r="H42" s="32" t="n"/>
      <c r="I42" s="32" t="n"/>
      <c r="J42" s="33">
        <f>IF(D42="","",MAX(D42-IFERROR(H42,0)-IFERROR(I42,0),0))</f>
        <v/>
      </c>
      <c r="K42" s="34">
        <f>IF(E42="","",IFERROR(VLOOKUP(E42,Settings!$A$22:$B$27,2,FALSE),""))</f>
        <v/>
      </c>
      <c r="L42" s="32" t="n"/>
      <c r="M42" s="31" t="n"/>
      <c r="N42" s="30" t="n"/>
    </row>
    <row r="43" ht="17" customHeight="1">
      <c r="A43" s="30" t="n"/>
      <c r="B43" s="30" t="n"/>
      <c r="C43" s="31" t="n"/>
      <c r="D43" s="32" t="n"/>
      <c r="E43" s="30" t="n"/>
      <c r="F43" s="30" t="n"/>
      <c r="G43" s="30" t="n"/>
      <c r="H43" s="32" t="n"/>
      <c r="I43" s="32" t="n"/>
      <c r="J43" s="33">
        <f>IF(D43="","",MAX(D43-IFERROR(H43,0)-IFERROR(I43,0),0))</f>
        <v/>
      </c>
      <c r="K43" s="34">
        <f>IF(E43="","",IFERROR(VLOOKUP(E43,Settings!$A$22:$B$27,2,FALSE),""))</f>
        <v/>
      </c>
      <c r="L43" s="32" t="n"/>
      <c r="M43" s="31" t="n"/>
      <c r="N43" s="30" t="n"/>
    </row>
    <row r="44" ht="17" customHeight="1">
      <c r="A44" s="30" t="n"/>
      <c r="B44" s="30" t="n"/>
      <c r="C44" s="31" t="n"/>
      <c r="D44" s="32" t="n"/>
      <c r="E44" s="30" t="n"/>
      <c r="F44" s="30" t="n"/>
      <c r="G44" s="30" t="n"/>
      <c r="H44" s="32" t="n"/>
      <c r="I44" s="32" t="n"/>
      <c r="J44" s="33">
        <f>IF(D44="","",MAX(D44-IFERROR(H44,0)-IFERROR(I44,0),0))</f>
        <v/>
      </c>
      <c r="K44" s="34">
        <f>IF(E44="","",IFERROR(VLOOKUP(E44,Settings!$A$22:$B$27,2,FALSE),""))</f>
        <v/>
      </c>
      <c r="L44" s="32" t="n"/>
      <c r="M44" s="31" t="n"/>
      <c r="N44" s="30" t="n"/>
    </row>
    <row r="45" ht="17" customHeight="1">
      <c r="A45" s="30" t="n"/>
      <c r="B45" s="30" t="n"/>
      <c r="C45" s="31" t="n"/>
      <c r="D45" s="32" t="n"/>
      <c r="E45" s="30" t="n"/>
      <c r="F45" s="30" t="n"/>
      <c r="G45" s="30" t="n"/>
      <c r="H45" s="32" t="n"/>
      <c r="I45" s="32" t="n"/>
      <c r="J45" s="33">
        <f>IF(D45="","",MAX(D45-IFERROR(H45,0)-IFERROR(I45,0),0))</f>
        <v/>
      </c>
      <c r="K45" s="34">
        <f>IF(E45="","",IFERROR(VLOOKUP(E45,Settings!$A$22:$B$27,2,FALSE),""))</f>
        <v/>
      </c>
      <c r="L45" s="32" t="n"/>
      <c r="M45" s="31" t="n"/>
      <c r="N45" s="30" t="n"/>
    </row>
    <row r="46" ht="17" customHeight="1">
      <c r="A46" s="30" t="n"/>
      <c r="B46" s="30" t="n"/>
      <c r="C46" s="31" t="n"/>
      <c r="D46" s="32" t="n"/>
      <c r="E46" s="30" t="n"/>
      <c r="F46" s="30" t="n"/>
      <c r="G46" s="30" t="n"/>
      <c r="H46" s="32" t="n"/>
      <c r="I46" s="32" t="n"/>
      <c r="J46" s="33">
        <f>IF(D46="","",MAX(D46-IFERROR(H46,0)-IFERROR(I46,0),0))</f>
        <v/>
      </c>
      <c r="K46" s="34">
        <f>IF(E46="","",IFERROR(VLOOKUP(E46,Settings!$A$22:$B$27,2,FALSE),""))</f>
        <v/>
      </c>
      <c r="L46" s="32" t="n"/>
      <c r="M46" s="31" t="n"/>
      <c r="N46" s="30" t="n"/>
    </row>
    <row r="47" ht="17" customHeight="1">
      <c r="A47" s="30" t="n"/>
      <c r="B47" s="30" t="n"/>
      <c r="C47" s="31" t="n"/>
      <c r="D47" s="32" t="n"/>
      <c r="E47" s="30" t="n"/>
      <c r="F47" s="30" t="n"/>
      <c r="G47" s="30" t="n"/>
      <c r="H47" s="32" t="n"/>
      <c r="I47" s="32" t="n"/>
      <c r="J47" s="33">
        <f>IF(D47="","",MAX(D47-IFERROR(H47,0)-IFERROR(I47,0),0))</f>
        <v/>
      </c>
      <c r="K47" s="34">
        <f>IF(E47="","",IFERROR(VLOOKUP(E47,Settings!$A$22:$B$27,2,FALSE),""))</f>
        <v/>
      </c>
      <c r="L47" s="32" t="n"/>
      <c r="M47" s="31" t="n"/>
      <c r="N47" s="30" t="n"/>
    </row>
    <row r="48" ht="17" customHeight="1">
      <c r="A48" s="30" t="n"/>
      <c r="B48" s="30" t="n"/>
      <c r="C48" s="31" t="n"/>
      <c r="D48" s="32" t="n"/>
      <c r="E48" s="30" t="n"/>
      <c r="F48" s="30" t="n"/>
      <c r="G48" s="30" t="n"/>
      <c r="H48" s="32" t="n"/>
      <c r="I48" s="32" t="n"/>
      <c r="J48" s="33">
        <f>IF(D48="","",MAX(D48-IFERROR(H48,0)-IFERROR(I48,0),0))</f>
        <v/>
      </c>
      <c r="K48" s="34">
        <f>IF(E48="","",IFERROR(VLOOKUP(E48,Settings!$A$22:$B$27,2,FALSE),""))</f>
        <v/>
      </c>
      <c r="L48" s="32" t="n"/>
      <c r="M48" s="31" t="n"/>
      <c r="N48" s="30" t="n"/>
    </row>
    <row r="49" ht="17" customHeight="1">
      <c r="A49" s="30" t="n"/>
      <c r="B49" s="30" t="n"/>
      <c r="C49" s="31" t="n"/>
      <c r="D49" s="32" t="n"/>
      <c r="E49" s="30" t="n"/>
      <c r="F49" s="30" t="n"/>
      <c r="G49" s="30" t="n"/>
      <c r="H49" s="32" t="n"/>
      <c r="I49" s="32" t="n"/>
      <c r="J49" s="33">
        <f>IF(D49="","",MAX(D49-IFERROR(H49,0)-IFERROR(I49,0),0))</f>
        <v/>
      </c>
      <c r="K49" s="34">
        <f>IF(E49="","",IFERROR(VLOOKUP(E49,Settings!$A$22:$B$27,2,FALSE),""))</f>
        <v/>
      </c>
      <c r="L49" s="32" t="n"/>
      <c r="M49" s="31" t="n"/>
      <c r="N49" s="30" t="n"/>
    </row>
    <row r="50" ht="17" customHeight="1">
      <c r="A50" s="30" t="n"/>
      <c r="B50" s="30" t="n"/>
      <c r="C50" s="31" t="n"/>
      <c r="D50" s="32" t="n"/>
      <c r="E50" s="30" t="n"/>
      <c r="F50" s="30" t="n"/>
      <c r="G50" s="30" t="n"/>
      <c r="H50" s="32" t="n"/>
      <c r="I50" s="32" t="n"/>
      <c r="J50" s="33">
        <f>IF(D50="","",MAX(D50-IFERROR(H50,0)-IFERROR(I50,0),0))</f>
        <v/>
      </c>
      <c r="K50" s="34">
        <f>IF(E50="","",IFERROR(VLOOKUP(E50,Settings!$A$22:$B$27,2,FALSE),""))</f>
        <v/>
      </c>
      <c r="L50" s="32" t="n"/>
      <c r="M50" s="31" t="n"/>
      <c r="N50" s="30" t="n"/>
    </row>
    <row r="51" ht="17" customHeight="1">
      <c r="A51" s="30" t="n"/>
      <c r="B51" s="30" t="n"/>
      <c r="C51" s="31" t="n"/>
      <c r="D51" s="32" t="n"/>
      <c r="E51" s="30" t="n"/>
      <c r="F51" s="30" t="n"/>
      <c r="G51" s="30" t="n"/>
      <c r="H51" s="32" t="n"/>
      <c r="I51" s="32" t="n"/>
      <c r="J51" s="33">
        <f>IF(D51="","",MAX(D51-IFERROR(H51,0)-IFERROR(I51,0),0))</f>
        <v/>
      </c>
      <c r="K51" s="34">
        <f>IF(E51="","",IFERROR(VLOOKUP(E51,Settings!$A$22:$B$27,2,FALSE),""))</f>
        <v/>
      </c>
      <c r="L51" s="32" t="n"/>
      <c r="M51" s="31" t="n"/>
      <c r="N51" s="30" t="n"/>
    </row>
    <row r="52" ht="17" customHeight="1">
      <c r="A52" s="30" t="n"/>
      <c r="B52" s="30" t="n"/>
      <c r="C52" s="31" t="n"/>
      <c r="D52" s="32" t="n"/>
      <c r="E52" s="30" t="n"/>
      <c r="F52" s="30" t="n"/>
      <c r="G52" s="30" t="n"/>
      <c r="H52" s="32" t="n"/>
      <c r="I52" s="32" t="n"/>
      <c r="J52" s="33">
        <f>IF(D52="","",MAX(D52-IFERROR(H52,0)-IFERROR(I52,0),0))</f>
        <v/>
      </c>
      <c r="K52" s="34">
        <f>IF(E52="","",IFERROR(VLOOKUP(E52,Settings!$A$22:$B$27,2,FALSE),""))</f>
        <v/>
      </c>
      <c r="L52" s="32" t="n"/>
      <c r="M52" s="31" t="n"/>
      <c r="N52" s="30" t="n"/>
    </row>
    <row r="53" ht="17" customHeight="1">
      <c r="A53" s="30" t="n"/>
      <c r="B53" s="30" t="n"/>
      <c r="C53" s="31" t="n"/>
      <c r="D53" s="32" t="n"/>
      <c r="E53" s="30" t="n"/>
      <c r="F53" s="30" t="n"/>
      <c r="G53" s="30" t="n"/>
      <c r="H53" s="32" t="n"/>
      <c r="I53" s="32" t="n"/>
      <c r="J53" s="33">
        <f>IF(D53="","",MAX(D53-IFERROR(H53,0)-IFERROR(I53,0),0))</f>
        <v/>
      </c>
      <c r="K53" s="34">
        <f>IF(E53="","",IFERROR(VLOOKUP(E53,Settings!$A$22:$B$27,2,FALSE),""))</f>
        <v/>
      </c>
      <c r="L53" s="32" t="n"/>
      <c r="M53" s="31" t="n"/>
      <c r="N53" s="30" t="n"/>
    </row>
    <row r="54" ht="17" customHeight="1">
      <c r="A54" s="30" t="n"/>
      <c r="B54" s="30" t="n"/>
      <c r="C54" s="31" t="n"/>
      <c r="D54" s="32" t="n"/>
      <c r="E54" s="30" t="n"/>
      <c r="F54" s="30" t="n"/>
      <c r="G54" s="30" t="n"/>
      <c r="H54" s="32" t="n"/>
      <c r="I54" s="32" t="n"/>
      <c r="J54" s="33">
        <f>IF(D54="","",MAX(D54-IFERROR(H54,0)-IFERROR(I54,0),0))</f>
        <v/>
      </c>
      <c r="K54" s="34">
        <f>IF(E54="","",IFERROR(VLOOKUP(E54,Settings!$A$22:$B$27,2,FALSE),""))</f>
        <v/>
      </c>
      <c r="L54" s="32" t="n"/>
      <c r="M54" s="31" t="n"/>
      <c r="N54" s="30" t="n"/>
    </row>
    <row r="55" ht="17" customHeight="1">
      <c r="A55" s="30" t="n"/>
      <c r="B55" s="30" t="n"/>
      <c r="C55" s="31" t="n"/>
      <c r="D55" s="32" t="n"/>
      <c r="E55" s="30" t="n"/>
      <c r="F55" s="30" t="n"/>
      <c r="G55" s="30" t="n"/>
      <c r="H55" s="32" t="n"/>
      <c r="I55" s="32" t="n"/>
      <c r="J55" s="33">
        <f>IF(D55="","",MAX(D55-IFERROR(H55,0)-IFERROR(I55,0),0))</f>
        <v/>
      </c>
      <c r="K55" s="34">
        <f>IF(E55="","",IFERROR(VLOOKUP(E55,Settings!$A$22:$B$27,2,FALSE),""))</f>
        <v/>
      </c>
      <c r="L55" s="32" t="n"/>
      <c r="M55" s="31" t="n"/>
      <c r="N55" s="30" t="n"/>
    </row>
    <row r="56" ht="17" customHeight="1">
      <c r="A56" s="30" t="n"/>
      <c r="B56" s="30" t="n"/>
      <c r="C56" s="31" t="n"/>
      <c r="D56" s="32" t="n"/>
      <c r="E56" s="30" t="n"/>
      <c r="F56" s="30" t="n"/>
      <c r="G56" s="30" t="n"/>
      <c r="H56" s="32" t="n"/>
      <c r="I56" s="32" t="n"/>
      <c r="J56" s="33">
        <f>IF(D56="","",MAX(D56-IFERROR(H56,0)-IFERROR(I56,0),0))</f>
        <v/>
      </c>
      <c r="K56" s="34">
        <f>IF(E56="","",IFERROR(VLOOKUP(E56,Settings!$A$22:$B$27,2,FALSE),""))</f>
        <v/>
      </c>
      <c r="L56" s="32" t="n"/>
      <c r="M56" s="31" t="n"/>
      <c r="N56" s="30" t="n"/>
    </row>
    <row r="57" ht="17" customHeight="1">
      <c r="A57" s="30" t="n"/>
      <c r="B57" s="30" t="n"/>
      <c r="C57" s="31" t="n"/>
      <c r="D57" s="32" t="n"/>
      <c r="E57" s="30" t="n"/>
      <c r="F57" s="30" t="n"/>
      <c r="G57" s="30" t="n"/>
      <c r="H57" s="32" t="n"/>
      <c r="I57" s="32" t="n"/>
      <c r="J57" s="33">
        <f>IF(D57="","",MAX(D57-IFERROR(H57,0)-IFERROR(I57,0),0))</f>
        <v/>
      </c>
      <c r="K57" s="34">
        <f>IF(E57="","",IFERROR(VLOOKUP(E57,Settings!$A$22:$B$27,2,FALSE),""))</f>
        <v/>
      </c>
      <c r="L57" s="32" t="n"/>
      <c r="M57" s="31" t="n"/>
      <c r="N57" s="30" t="n"/>
    </row>
    <row r="58" ht="17" customHeight="1">
      <c r="A58" s="30" t="n"/>
      <c r="B58" s="30" t="n"/>
      <c r="C58" s="31" t="n"/>
      <c r="D58" s="32" t="n"/>
      <c r="E58" s="30" t="n"/>
      <c r="F58" s="30" t="n"/>
      <c r="G58" s="30" t="n"/>
      <c r="H58" s="32" t="n"/>
      <c r="I58" s="32" t="n"/>
      <c r="J58" s="33">
        <f>IF(D58="","",MAX(D58-IFERROR(H58,0)-IFERROR(I58,0),0))</f>
        <v/>
      </c>
      <c r="K58" s="34">
        <f>IF(E58="","",IFERROR(VLOOKUP(E58,Settings!$A$22:$B$27,2,FALSE),""))</f>
        <v/>
      </c>
      <c r="L58" s="32" t="n"/>
      <c r="M58" s="31" t="n"/>
      <c r="N58" s="30" t="n"/>
    </row>
    <row r="59" ht="17" customHeight="1">
      <c r="A59" s="30" t="n"/>
      <c r="B59" s="30" t="n"/>
      <c r="C59" s="31" t="n"/>
      <c r="D59" s="32" t="n"/>
      <c r="E59" s="30" t="n"/>
      <c r="F59" s="30" t="n"/>
      <c r="G59" s="30" t="n"/>
      <c r="H59" s="32" t="n"/>
      <c r="I59" s="32" t="n"/>
      <c r="J59" s="33">
        <f>IF(D59="","",MAX(D59-IFERROR(H59,0)-IFERROR(I59,0),0))</f>
        <v/>
      </c>
      <c r="K59" s="34">
        <f>IF(E59="","",IFERROR(VLOOKUP(E59,Settings!$A$22:$B$27,2,FALSE),""))</f>
        <v/>
      </c>
      <c r="L59" s="32" t="n"/>
      <c r="M59" s="31" t="n"/>
      <c r="N59" s="30" t="n"/>
    </row>
    <row r="60" ht="17" customHeight="1">
      <c r="A60" s="30" t="n"/>
      <c r="B60" s="30" t="n"/>
      <c r="C60" s="31" t="n"/>
      <c r="D60" s="32" t="n"/>
      <c r="E60" s="30" t="n"/>
      <c r="F60" s="30" t="n"/>
      <c r="G60" s="30" t="n"/>
      <c r="H60" s="32" t="n"/>
      <c r="I60" s="32" t="n"/>
      <c r="J60" s="33">
        <f>IF(D60="","",MAX(D60-IFERROR(H60,0)-IFERROR(I60,0),0))</f>
        <v/>
      </c>
      <c r="K60" s="34">
        <f>IF(E60="","",IFERROR(VLOOKUP(E60,Settings!$A$22:$B$27,2,FALSE),""))</f>
        <v/>
      </c>
      <c r="L60" s="32" t="n"/>
      <c r="M60" s="31" t="n"/>
      <c r="N60" s="30" t="n"/>
    </row>
    <row r="61" ht="17" customHeight="1">
      <c r="A61" s="30" t="n"/>
      <c r="B61" s="30" t="n"/>
      <c r="C61" s="31" t="n"/>
      <c r="D61" s="32" t="n"/>
      <c r="E61" s="30" t="n"/>
      <c r="F61" s="30" t="n"/>
      <c r="G61" s="30" t="n"/>
      <c r="H61" s="32" t="n"/>
      <c r="I61" s="32" t="n"/>
      <c r="J61" s="33">
        <f>IF(D61="","",MAX(D61-IFERROR(H61,0)-IFERROR(I61,0),0))</f>
        <v/>
      </c>
      <c r="K61" s="34">
        <f>IF(E61="","",IFERROR(VLOOKUP(E61,Settings!$A$22:$B$27,2,FALSE),""))</f>
        <v/>
      </c>
      <c r="L61" s="32" t="n"/>
      <c r="M61" s="31" t="n"/>
      <c r="N61" s="30" t="n"/>
    </row>
    <row r="62" ht="17" customHeight="1">
      <c r="A62" s="30" t="n"/>
      <c r="B62" s="30" t="n"/>
      <c r="C62" s="31" t="n"/>
      <c r="D62" s="32" t="n"/>
      <c r="E62" s="30" t="n"/>
      <c r="F62" s="30" t="n"/>
      <c r="G62" s="30" t="n"/>
      <c r="H62" s="32" t="n"/>
      <c r="I62" s="32" t="n"/>
      <c r="J62" s="33">
        <f>IF(D62="","",MAX(D62-IFERROR(H62,0)-IFERROR(I62,0),0))</f>
        <v/>
      </c>
      <c r="K62" s="34">
        <f>IF(E62="","",IFERROR(VLOOKUP(E62,Settings!$A$22:$B$27,2,FALSE),""))</f>
        <v/>
      </c>
      <c r="L62" s="32" t="n"/>
      <c r="M62" s="31" t="n"/>
      <c r="N62" s="30" t="n"/>
    </row>
    <row r="63" ht="17" customHeight="1">
      <c r="A63" s="30" t="n"/>
      <c r="B63" s="30" t="n"/>
      <c r="C63" s="31" t="n"/>
      <c r="D63" s="32" t="n"/>
      <c r="E63" s="30" t="n"/>
      <c r="F63" s="30" t="n"/>
      <c r="G63" s="30" t="n"/>
      <c r="H63" s="32" t="n"/>
      <c r="I63" s="32" t="n"/>
      <c r="J63" s="33">
        <f>IF(D63="","",MAX(D63-IFERROR(H63,0)-IFERROR(I63,0),0))</f>
        <v/>
      </c>
      <c r="K63" s="34">
        <f>IF(E63="","",IFERROR(VLOOKUP(E63,Settings!$A$22:$B$27,2,FALSE),""))</f>
        <v/>
      </c>
      <c r="L63" s="32" t="n"/>
      <c r="M63" s="31" t="n"/>
      <c r="N63" s="30" t="n"/>
    </row>
    <row r="64" ht="17" customHeight="1">
      <c r="A64" s="30" t="n"/>
      <c r="B64" s="30" t="n"/>
      <c r="C64" s="31" t="n"/>
      <c r="D64" s="32" t="n"/>
      <c r="E64" s="30" t="n"/>
      <c r="F64" s="30" t="n"/>
      <c r="G64" s="30" t="n"/>
      <c r="H64" s="32" t="n"/>
      <c r="I64" s="32" t="n"/>
      <c r="J64" s="33">
        <f>IF(D64="","",MAX(D64-IFERROR(H64,0)-IFERROR(I64,0),0))</f>
        <v/>
      </c>
      <c r="K64" s="34">
        <f>IF(E64="","",IFERROR(VLOOKUP(E64,Settings!$A$22:$B$27,2,FALSE),""))</f>
        <v/>
      </c>
      <c r="L64" s="32" t="n"/>
      <c r="M64" s="31" t="n"/>
      <c r="N64" s="30" t="n"/>
    </row>
    <row r="65" ht="17" customHeight="1">
      <c r="A65" s="30" t="n"/>
      <c r="B65" s="30" t="n"/>
      <c r="C65" s="31" t="n"/>
      <c r="D65" s="32" t="n"/>
      <c r="E65" s="30" t="n"/>
      <c r="F65" s="30" t="n"/>
      <c r="G65" s="30" t="n"/>
      <c r="H65" s="32" t="n"/>
      <c r="I65" s="32" t="n"/>
      <c r="J65" s="33">
        <f>IF(D65="","",MAX(D65-IFERROR(H65,0)-IFERROR(I65,0),0))</f>
        <v/>
      </c>
      <c r="K65" s="34">
        <f>IF(E65="","",IFERROR(VLOOKUP(E65,Settings!$A$22:$B$27,2,FALSE),""))</f>
        <v/>
      </c>
      <c r="L65" s="32" t="n"/>
      <c r="M65" s="31" t="n"/>
      <c r="N65" s="30" t="n"/>
    </row>
    <row r="66" ht="17" customHeight="1">
      <c r="A66" s="30" t="n"/>
      <c r="B66" s="30" t="n"/>
      <c r="C66" s="31" t="n"/>
      <c r="D66" s="32" t="n"/>
      <c r="E66" s="30" t="n"/>
      <c r="F66" s="30" t="n"/>
      <c r="G66" s="30" t="n"/>
      <c r="H66" s="32" t="n"/>
      <c r="I66" s="32" t="n"/>
      <c r="J66" s="33">
        <f>IF(D66="","",MAX(D66-IFERROR(H66,0)-IFERROR(I66,0),0))</f>
        <v/>
      </c>
      <c r="K66" s="34">
        <f>IF(E66="","",IFERROR(VLOOKUP(E66,Settings!$A$22:$B$27,2,FALSE),""))</f>
        <v/>
      </c>
      <c r="L66" s="32" t="n"/>
      <c r="M66" s="31" t="n"/>
      <c r="N66" s="30" t="n"/>
    </row>
    <row r="67" ht="17" customHeight="1">
      <c r="A67" s="30" t="n"/>
      <c r="B67" s="30" t="n"/>
      <c r="C67" s="31" t="n"/>
      <c r="D67" s="32" t="n"/>
      <c r="E67" s="30" t="n"/>
      <c r="F67" s="30" t="n"/>
      <c r="G67" s="30" t="n"/>
      <c r="H67" s="32" t="n"/>
      <c r="I67" s="32" t="n"/>
      <c r="J67" s="33">
        <f>IF(D67="","",MAX(D67-IFERROR(H67,0)-IFERROR(I67,0),0))</f>
        <v/>
      </c>
      <c r="K67" s="34">
        <f>IF(E67="","",IFERROR(VLOOKUP(E67,Settings!$A$22:$B$27,2,FALSE),""))</f>
        <v/>
      </c>
      <c r="L67" s="32" t="n"/>
      <c r="M67" s="31" t="n"/>
      <c r="N67" s="30" t="n"/>
    </row>
    <row r="68" ht="17" customHeight="1">
      <c r="A68" s="30" t="n"/>
      <c r="B68" s="30" t="n"/>
      <c r="C68" s="31" t="n"/>
      <c r="D68" s="32" t="n"/>
      <c r="E68" s="30" t="n"/>
      <c r="F68" s="30" t="n"/>
      <c r="G68" s="30" t="n"/>
      <c r="H68" s="32" t="n"/>
      <c r="I68" s="32" t="n"/>
      <c r="J68" s="33">
        <f>IF(D68="","",MAX(D68-IFERROR(H68,0)-IFERROR(I68,0),0))</f>
        <v/>
      </c>
      <c r="K68" s="34">
        <f>IF(E68="","",IFERROR(VLOOKUP(E68,Settings!$A$22:$B$27,2,FALSE),""))</f>
        <v/>
      </c>
      <c r="L68" s="32" t="n"/>
      <c r="M68" s="31" t="n"/>
      <c r="N68" s="30" t="n"/>
    </row>
    <row r="69" ht="17" customHeight="1">
      <c r="A69" s="30" t="n"/>
      <c r="B69" s="30" t="n"/>
      <c r="C69" s="31" t="n"/>
      <c r="D69" s="32" t="n"/>
      <c r="E69" s="30" t="n"/>
      <c r="F69" s="30" t="n"/>
      <c r="G69" s="30" t="n"/>
      <c r="H69" s="32" t="n"/>
      <c r="I69" s="32" t="n"/>
      <c r="J69" s="33">
        <f>IF(D69="","",MAX(D69-IFERROR(H69,0)-IFERROR(I69,0),0))</f>
        <v/>
      </c>
      <c r="K69" s="34">
        <f>IF(E69="","",IFERROR(VLOOKUP(E69,Settings!$A$22:$B$27,2,FALSE),""))</f>
        <v/>
      </c>
      <c r="L69" s="32" t="n"/>
      <c r="M69" s="31" t="n"/>
      <c r="N69" s="30" t="n"/>
    </row>
    <row r="70" ht="17" customHeight="1">
      <c r="A70" s="30" t="n"/>
      <c r="B70" s="30" t="n"/>
      <c r="C70" s="31" t="n"/>
      <c r="D70" s="32" t="n"/>
      <c r="E70" s="30" t="n"/>
      <c r="F70" s="30" t="n"/>
      <c r="G70" s="30" t="n"/>
      <c r="H70" s="32" t="n"/>
      <c r="I70" s="32" t="n"/>
      <c r="J70" s="33">
        <f>IF(D70="","",MAX(D70-IFERROR(H70,0)-IFERROR(I70,0),0))</f>
        <v/>
      </c>
      <c r="K70" s="34">
        <f>IF(E70="","",IFERROR(VLOOKUP(E70,Settings!$A$22:$B$27,2,FALSE),""))</f>
        <v/>
      </c>
      <c r="L70" s="32" t="n"/>
      <c r="M70" s="31" t="n"/>
      <c r="N70" s="30" t="n"/>
    </row>
    <row r="71" ht="17" customHeight="1">
      <c r="A71" s="30" t="n"/>
      <c r="B71" s="30" t="n"/>
      <c r="C71" s="31" t="n"/>
      <c r="D71" s="32" t="n"/>
      <c r="E71" s="30" t="n"/>
      <c r="F71" s="30" t="n"/>
      <c r="G71" s="30" t="n"/>
      <c r="H71" s="32" t="n"/>
      <c r="I71" s="32" t="n"/>
      <c r="J71" s="33">
        <f>IF(D71="","",MAX(D71-IFERROR(H71,0)-IFERROR(I71,0),0))</f>
        <v/>
      </c>
      <c r="K71" s="34">
        <f>IF(E71="","",IFERROR(VLOOKUP(E71,Settings!$A$22:$B$27,2,FALSE),""))</f>
        <v/>
      </c>
      <c r="L71" s="32" t="n"/>
      <c r="M71" s="31" t="n"/>
      <c r="N71" s="30" t="n"/>
    </row>
    <row r="72" ht="17" customHeight="1">
      <c r="A72" s="30" t="n"/>
      <c r="B72" s="30" t="n"/>
      <c r="C72" s="31" t="n"/>
      <c r="D72" s="32" t="n"/>
      <c r="E72" s="30" t="n"/>
      <c r="F72" s="30" t="n"/>
      <c r="G72" s="30" t="n"/>
      <c r="H72" s="32" t="n"/>
      <c r="I72" s="32" t="n"/>
      <c r="J72" s="33">
        <f>IF(D72="","",MAX(D72-IFERROR(H72,0)-IFERROR(I72,0),0))</f>
        <v/>
      </c>
      <c r="K72" s="34">
        <f>IF(E72="","",IFERROR(VLOOKUP(E72,Settings!$A$22:$B$27,2,FALSE),""))</f>
        <v/>
      </c>
      <c r="L72" s="32" t="n"/>
      <c r="M72" s="31" t="n"/>
      <c r="N72" s="30" t="n"/>
    </row>
    <row r="73" ht="17" customHeight="1">
      <c r="A73" s="30" t="n"/>
      <c r="B73" s="30" t="n"/>
      <c r="C73" s="31" t="n"/>
      <c r="D73" s="32" t="n"/>
      <c r="E73" s="30" t="n"/>
      <c r="F73" s="30" t="n"/>
      <c r="G73" s="30" t="n"/>
      <c r="H73" s="32" t="n"/>
      <c r="I73" s="32" t="n"/>
      <c r="J73" s="33">
        <f>IF(D73="","",MAX(D73-IFERROR(H73,0)-IFERROR(I73,0),0))</f>
        <v/>
      </c>
      <c r="K73" s="34">
        <f>IF(E73="","",IFERROR(VLOOKUP(E73,Settings!$A$22:$B$27,2,FALSE),""))</f>
        <v/>
      </c>
      <c r="L73" s="32" t="n"/>
      <c r="M73" s="31" t="n"/>
      <c r="N73" s="30" t="n"/>
    </row>
    <row r="74" ht="17" customHeight="1">
      <c r="A74" s="30" t="n"/>
      <c r="B74" s="30" t="n"/>
      <c r="C74" s="31" t="n"/>
      <c r="D74" s="32" t="n"/>
      <c r="E74" s="30" t="n"/>
      <c r="F74" s="30" t="n"/>
      <c r="G74" s="30" t="n"/>
      <c r="H74" s="32" t="n"/>
      <c r="I74" s="32" t="n"/>
      <c r="J74" s="33">
        <f>IF(D74="","",MAX(D74-IFERROR(H74,0)-IFERROR(I74,0),0))</f>
        <v/>
      </c>
      <c r="K74" s="34">
        <f>IF(E74="","",IFERROR(VLOOKUP(E74,Settings!$A$22:$B$27,2,FALSE),""))</f>
        <v/>
      </c>
      <c r="L74" s="32" t="n"/>
      <c r="M74" s="31" t="n"/>
      <c r="N74" s="30" t="n"/>
    </row>
    <row r="75" ht="17" customHeight="1">
      <c r="A75" s="30" t="n"/>
      <c r="B75" s="30" t="n"/>
      <c r="C75" s="31" t="n"/>
      <c r="D75" s="32" t="n"/>
      <c r="E75" s="30" t="n"/>
      <c r="F75" s="30" t="n"/>
      <c r="G75" s="30" t="n"/>
      <c r="H75" s="32" t="n"/>
      <c r="I75" s="32" t="n"/>
      <c r="J75" s="33">
        <f>IF(D75="","",MAX(D75-IFERROR(H75,0)-IFERROR(I75,0),0))</f>
        <v/>
      </c>
      <c r="K75" s="34">
        <f>IF(E75="","",IFERROR(VLOOKUP(E75,Settings!$A$22:$B$27,2,FALSE),""))</f>
        <v/>
      </c>
      <c r="L75" s="32" t="n"/>
      <c r="M75" s="31" t="n"/>
      <c r="N75" s="30" t="n"/>
    </row>
    <row r="76" ht="17" customHeight="1">
      <c r="A76" s="30" t="n"/>
      <c r="B76" s="30" t="n"/>
      <c r="C76" s="31" t="n"/>
      <c r="D76" s="32" t="n"/>
      <c r="E76" s="30" t="n"/>
      <c r="F76" s="30" t="n"/>
      <c r="G76" s="30" t="n"/>
      <c r="H76" s="32" t="n"/>
      <c r="I76" s="32" t="n"/>
      <c r="J76" s="33">
        <f>IF(D76="","",MAX(D76-IFERROR(H76,0)-IFERROR(I76,0),0))</f>
        <v/>
      </c>
      <c r="K76" s="34">
        <f>IF(E76="","",IFERROR(VLOOKUP(E76,Settings!$A$22:$B$27,2,FALSE),""))</f>
        <v/>
      </c>
      <c r="L76" s="32" t="n"/>
      <c r="M76" s="31" t="n"/>
      <c r="N76" s="30" t="n"/>
    </row>
    <row r="77" ht="17" customHeight="1">
      <c r="A77" s="30" t="n"/>
      <c r="B77" s="30" t="n"/>
      <c r="C77" s="31" t="n"/>
      <c r="D77" s="32" t="n"/>
      <c r="E77" s="30" t="n"/>
      <c r="F77" s="30" t="n"/>
      <c r="G77" s="30" t="n"/>
      <c r="H77" s="32" t="n"/>
      <c r="I77" s="32" t="n"/>
      <c r="J77" s="33">
        <f>IF(D77="","",MAX(D77-IFERROR(H77,0)-IFERROR(I77,0),0))</f>
        <v/>
      </c>
      <c r="K77" s="34">
        <f>IF(E77="","",IFERROR(VLOOKUP(E77,Settings!$A$22:$B$27,2,FALSE),""))</f>
        <v/>
      </c>
      <c r="L77" s="32" t="n"/>
      <c r="M77" s="31" t="n"/>
      <c r="N77" s="30" t="n"/>
    </row>
    <row r="78" ht="17" customHeight="1">
      <c r="A78" s="30" t="n"/>
      <c r="B78" s="30" t="n"/>
      <c r="C78" s="31" t="n"/>
      <c r="D78" s="32" t="n"/>
      <c r="E78" s="30" t="n"/>
      <c r="F78" s="30" t="n"/>
      <c r="G78" s="30" t="n"/>
      <c r="H78" s="32" t="n"/>
      <c r="I78" s="32" t="n"/>
      <c r="J78" s="33">
        <f>IF(D78="","",MAX(D78-IFERROR(H78,0)-IFERROR(I78,0),0))</f>
        <v/>
      </c>
      <c r="K78" s="34">
        <f>IF(E78="","",IFERROR(VLOOKUP(E78,Settings!$A$22:$B$27,2,FALSE),""))</f>
        <v/>
      </c>
      <c r="L78" s="32" t="n"/>
      <c r="M78" s="31" t="n"/>
      <c r="N78" s="30" t="n"/>
    </row>
    <row r="79" ht="17" customHeight="1">
      <c r="A79" s="30" t="n"/>
      <c r="B79" s="30" t="n"/>
      <c r="C79" s="31" t="n"/>
      <c r="D79" s="32" t="n"/>
      <c r="E79" s="30" t="n"/>
      <c r="F79" s="30" t="n"/>
      <c r="G79" s="30" t="n"/>
      <c r="H79" s="32" t="n"/>
      <c r="I79" s="32" t="n"/>
      <c r="J79" s="33">
        <f>IF(D79="","",MAX(D79-IFERROR(H79,0)-IFERROR(I79,0),0))</f>
        <v/>
      </c>
      <c r="K79" s="34">
        <f>IF(E79="","",IFERROR(VLOOKUP(E79,Settings!$A$22:$B$27,2,FALSE),""))</f>
        <v/>
      </c>
      <c r="L79" s="32" t="n"/>
      <c r="M79" s="31" t="n"/>
      <c r="N79" s="30" t="n"/>
    </row>
    <row r="80" ht="17" customHeight="1">
      <c r="A80" s="30" t="n"/>
      <c r="B80" s="30" t="n"/>
      <c r="C80" s="31" t="n"/>
      <c r="D80" s="32" t="n"/>
      <c r="E80" s="30" t="n"/>
      <c r="F80" s="30" t="n"/>
      <c r="G80" s="30" t="n"/>
      <c r="H80" s="32" t="n"/>
      <c r="I80" s="32" t="n"/>
      <c r="J80" s="33">
        <f>IF(D80="","",MAX(D80-IFERROR(H80,0)-IFERROR(I80,0),0))</f>
        <v/>
      </c>
      <c r="K80" s="34">
        <f>IF(E80="","",IFERROR(VLOOKUP(E80,Settings!$A$22:$B$27,2,FALSE),""))</f>
        <v/>
      </c>
      <c r="L80" s="32" t="n"/>
      <c r="M80" s="31" t="n"/>
      <c r="N80" s="30" t="n"/>
    </row>
    <row r="81" ht="17" customHeight="1">
      <c r="A81" s="30" t="n"/>
      <c r="B81" s="30" t="n"/>
      <c r="C81" s="31" t="n"/>
      <c r="D81" s="32" t="n"/>
      <c r="E81" s="30" t="n"/>
      <c r="F81" s="30" t="n"/>
      <c r="G81" s="30" t="n"/>
      <c r="H81" s="32" t="n"/>
      <c r="I81" s="32" t="n"/>
      <c r="J81" s="33">
        <f>IF(D81="","",MAX(D81-IFERROR(H81,0)-IFERROR(I81,0),0))</f>
        <v/>
      </c>
      <c r="K81" s="34">
        <f>IF(E81="","",IFERROR(VLOOKUP(E81,Settings!$A$22:$B$27,2,FALSE),""))</f>
        <v/>
      </c>
      <c r="L81" s="32" t="n"/>
      <c r="M81" s="31" t="n"/>
      <c r="N81" s="30" t="n"/>
    </row>
    <row r="82" ht="17" customHeight="1">
      <c r="A82" s="30" t="n"/>
      <c r="B82" s="30" t="n"/>
      <c r="C82" s="31" t="n"/>
      <c r="D82" s="32" t="n"/>
      <c r="E82" s="30" t="n"/>
      <c r="F82" s="30" t="n"/>
      <c r="G82" s="30" t="n"/>
      <c r="H82" s="32" t="n"/>
      <c r="I82" s="32" t="n"/>
      <c r="J82" s="33">
        <f>IF(D82="","",MAX(D82-IFERROR(H82,0)-IFERROR(I82,0),0))</f>
        <v/>
      </c>
      <c r="K82" s="34">
        <f>IF(E82="","",IFERROR(VLOOKUP(E82,Settings!$A$22:$B$27,2,FALSE),""))</f>
        <v/>
      </c>
      <c r="L82" s="32" t="n"/>
      <c r="M82" s="31" t="n"/>
      <c r="N82" s="30" t="n"/>
    </row>
    <row r="83" ht="17" customHeight="1">
      <c r="A83" s="30" t="n"/>
      <c r="B83" s="30" t="n"/>
      <c r="C83" s="31" t="n"/>
      <c r="D83" s="32" t="n"/>
      <c r="E83" s="30" t="n"/>
      <c r="F83" s="30" t="n"/>
      <c r="G83" s="30" t="n"/>
      <c r="H83" s="32" t="n"/>
      <c r="I83" s="32" t="n"/>
      <c r="J83" s="33">
        <f>IF(D83="","",MAX(D83-IFERROR(H83,0)-IFERROR(I83,0),0))</f>
        <v/>
      </c>
      <c r="K83" s="34">
        <f>IF(E83="","",IFERROR(VLOOKUP(E83,Settings!$A$22:$B$27,2,FALSE),""))</f>
        <v/>
      </c>
      <c r="L83" s="32" t="n"/>
      <c r="M83" s="31" t="n"/>
      <c r="N83" s="30" t="n"/>
    </row>
    <row r="84" ht="17" customHeight="1">
      <c r="A84" s="30" t="n"/>
      <c r="B84" s="30" t="n"/>
      <c r="C84" s="31" t="n"/>
      <c r="D84" s="32" t="n"/>
      <c r="E84" s="30" t="n"/>
      <c r="F84" s="30" t="n"/>
      <c r="G84" s="30" t="n"/>
      <c r="H84" s="32" t="n"/>
      <c r="I84" s="32" t="n"/>
      <c r="J84" s="33">
        <f>IF(D84="","",MAX(D84-IFERROR(H84,0)-IFERROR(I84,0),0))</f>
        <v/>
      </c>
      <c r="K84" s="34">
        <f>IF(E84="","",IFERROR(VLOOKUP(E84,Settings!$A$22:$B$27,2,FALSE),""))</f>
        <v/>
      </c>
      <c r="L84" s="32" t="n"/>
      <c r="M84" s="31" t="n"/>
      <c r="N84" s="30" t="n"/>
    </row>
    <row r="85" ht="17" customHeight="1">
      <c r="A85" s="30" t="n"/>
      <c r="B85" s="30" t="n"/>
      <c r="C85" s="31" t="n"/>
      <c r="D85" s="32" t="n"/>
      <c r="E85" s="30" t="n"/>
      <c r="F85" s="30" t="n"/>
      <c r="G85" s="30" t="n"/>
      <c r="H85" s="32" t="n"/>
      <c r="I85" s="32" t="n"/>
      <c r="J85" s="33">
        <f>IF(D85="","",MAX(D85-IFERROR(H85,0)-IFERROR(I85,0),0))</f>
        <v/>
      </c>
      <c r="K85" s="34">
        <f>IF(E85="","",IFERROR(VLOOKUP(E85,Settings!$A$22:$B$27,2,FALSE),""))</f>
        <v/>
      </c>
      <c r="L85" s="32" t="n"/>
      <c r="M85" s="31" t="n"/>
      <c r="N85" s="30" t="n"/>
    </row>
    <row r="86" ht="17" customHeight="1">
      <c r="A86" s="30" t="n"/>
      <c r="B86" s="30" t="n"/>
      <c r="C86" s="31" t="n"/>
      <c r="D86" s="32" t="n"/>
      <c r="E86" s="30" t="n"/>
      <c r="F86" s="30" t="n"/>
      <c r="G86" s="30" t="n"/>
      <c r="H86" s="32" t="n"/>
      <c r="I86" s="32" t="n"/>
      <c r="J86" s="33">
        <f>IF(D86="","",MAX(D86-IFERROR(H86,0)-IFERROR(I86,0),0))</f>
        <v/>
      </c>
      <c r="K86" s="34">
        <f>IF(E86="","",IFERROR(VLOOKUP(E86,Settings!$A$22:$B$27,2,FALSE),""))</f>
        <v/>
      </c>
      <c r="L86" s="32" t="n"/>
      <c r="M86" s="31" t="n"/>
      <c r="N86" s="30" t="n"/>
    </row>
    <row r="87" ht="17" customHeight="1">
      <c r="A87" s="30" t="n"/>
      <c r="B87" s="30" t="n"/>
      <c r="C87" s="31" t="n"/>
      <c r="D87" s="32" t="n"/>
      <c r="E87" s="30" t="n"/>
      <c r="F87" s="30" t="n"/>
      <c r="G87" s="30" t="n"/>
      <c r="H87" s="32" t="n"/>
      <c r="I87" s="32" t="n"/>
      <c r="J87" s="33">
        <f>IF(D87="","",MAX(D87-IFERROR(H87,0)-IFERROR(I87,0),0))</f>
        <v/>
      </c>
      <c r="K87" s="34">
        <f>IF(E87="","",IFERROR(VLOOKUP(E87,Settings!$A$22:$B$27,2,FALSE),""))</f>
        <v/>
      </c>
      <c r="L87" s="32" t="n"/>
      <c r="M87" s="31" t="n"/>
      <c r="N87" s="30" t="n"/>
    </row>
    <row r="88" ht="17" customHeight="1">
      <c r="A88" s="30" t="n"/>
      <c r="B88" s="30" t="n"/>
      <c r="C88" s="31" t="n"/>
      <c r="D88" s="32" t="n"/>
      <c r="E88" s="30" t="n"/>
      <c r="F88" s="30" t="n"/>
      <c r="G88" s="30" t="n"/>
      <c r="H88" s="32" t="n"/>
      <c r="I88" s="32" t="n"/>
      <c r="J88" s="33">
        <f>IF(D88="","",MAX(D88-IFERROR(H88,0)-IFERROR(I88,0),0))</f>
        <v/>
      </c>
      <c r="K88" s="34">
        <f>IF(E88="","",IFERROR(VLOOKUP(E88,Settings!$A$22:$B$27,2,FALSE),""))</f>
        <v/>
      </c>
      <c r="L88" s="32" t="n"/>
      <c r="M88" s="31" t="n"/>
      <c r="N88" s="30" t="n"/>
    </row>
    <row r="89" ht="17" customHeight="1">
      <c r="A89" s="30" t="n"/>
      <c r="B89" s="30" t="n"/>
      <c r="C89" s="31" t="n"/>
      <c r="D89" s="32" t="n"/>
      <c r="E89" s="30" t="n"/>
      <c r="F89" s="30" t="n"/>
      <c r="G89" s="30" t="n"/>
      <c r="H89" s="32" t="n"/>
      <c r="I89" s="32" t="n"/>
      <c r="J89" s="33">
        <f>IF(D89="","",MAX(D89-IFERROR(H89,0)-IFERROR(I89,0),0))</f>
        <v/>
      </c>
      <c r="K89" s="34">
        <f>IF(E89="","",IFERROR(VLOOKUP(E89,Settings!$A$22:$B$27,2,FALSE),""))</f>
        <v/>
      </c>
      <c r="L89" s="32" t="n"/>
      <c r="M89" s="31" t="n"/>
      <c r="N89" s="30" t="n"/>
    </row>
    <row r="90" ht="17" customHeight="1">
      <c r="A90" s="30" t="n"/>
      <c r="B90" s="30" t="n"/>
      <c r="C90" s="31" t="n"/>
      <c r="D90" s="32" t="n"/>
      <c r="E90" s="30" t="n"/>
      <c r="F90" s="30" t="n"/>
      <c r="G90" s="30" t="n"/>
      <c r="H90" s="32" t="n"/>
      <c r="I90" s="32" t="n"/>
      <c r="J90" s="33">
        <f>IF(D90="","",MAX(D90-IFERROR(H90,0)-IFERROR(I90,0),0))</f>
        <v/>
      </c>
      <c r="K90" s="34">
        <f>IF(E90="","",IFERROR(VLOOKUP(E90,Settings!$A$22:$B$27,2,FALSE),""))</f>
        <v/>
      </c>
      <c r="L90" s="32" t="n"/>
      <c r="M90" s="31" t="n"/>
      <c r="N90" s="30" t="n"/>
    </row>
    <row r="91" ht="17" customHeight="1">
      <c r="A91" s="30" t="n"/>
      <c r="B91" s="30" t="n"/>
      <c r="C91" s="31" t="n"/>
      <c r="D91" s="32" t="n"/>
      <c r="E91" s="30" t="n"/>
      <c r="F91" s="30" t="n"/>
      <c r="G91" s="30" t="n"/>
      <c r="H91" s="32" t="n"/>
      <c r="I91" s="32" t="n"/>
      <c r="J91" s="33">
        <f>IF(D91="","",MAX(D91-IFERROR(H91,0)-IFERROR(I91,0),0))</f>
        <v/>
      </c>
      <c r="K91" s="34">
        <f>IF(E91="","",IFERROR(VLOOKUP(E91,Settings!$A$22:$B$27,2,FALSE),""))</f>
        <v/>
      </c>
      <c r="L91" s="32" t="n"/>
      <c r="M91" s="31" t="n"/>
      <c r="N91" s="30" t="n"/>
    </row>
    <row r="92" ht="17" customHeight="1">
      <c r="A92" s="30" t="n"/>
      <c r="B92" s="30" t="n"/>
      <c r="C92" s="31" t="n"/>
      <c r="D92" s="32" t="n"/>
      <c r="E92" s="30" t="n"/>
      <c r="F92" s="30" t="n"/>
      <c r="G92" s="30" t="n"/>
      <c r="H92" s="32" t="n"/>
      <c r="I92" s="32" t="n"/>
      <c r="J92" s="33">
        <f>IF(D92="","",MAX(D92-IFERROR(H92,0)-IFERROR(I92,0),0))</f>
        <v/>
      </c>
      <c r="K92" s="34">
        <f>IF(E92="","",IFERROR(VLOOKUP(E92,Settings!$A$22:$B$27,2,FALSE),""))</f>
        <v/>
      </c>
      <c r="L92" s="32" t="n"/>
      <c r="M92" s="31" t="n"/>
      <c r="N92" s="30" t="n"/>
    </row>
    <row r="93" ht="17" customHeight="1">
      <c r="A93" s="30" t="n"/>
      <c r="B93" s="30" t="n"/>
      <c r="C93" s="31" t="n"/>
      <c r="D93" s="32" t="n"/>
      <c r="E93" s="30" t="n"/>
      <c r="F93" s="30" t="n"/>
      <c r="G93" s="30" t="n"/>
      <c r="H93" s="32" t="n"/>
      <c r="I93" s="32" t="n"/>
      <c r="J93" s="33">
        <f>IF(D93="","",MAX(D93-IFERROR(H93,0)-IFERROR(I93,0),0))</f>
        <v/>
      </c>
      <c r="K93" s="34">
        <f>IF(E93="","",IFERROR(VLOOKUP(E93,Settings!$A$22:$B$27,2,FALSE),""))</f>
        <v/>
      </c>
      <c r="L93" s="32" t="n"/>
      <c r="M93" s="31" t="n"/>
      <c r="N93" s="30" t="n"/>
    </row>
    <row r="94" ht="17" customHeight="1">
      <c r="A94" s="30" t="n"/>
      <c r="B94" s="30" t="n"/>
      <c r="C94" s="31" t="n"/>
      <c r="D94" s="32" t="n"/>
      <c r="E94" s="30" t="n"/>
      <c r="F94" s="30" t="n"/>
      <c r="G94" s="30" t="n"/>
      <c r="H94" s="32" t="n"/>
      <c r="I94" s="32" t="n"/>
      <c r="J94" s="33">
        <f>IF(D94="","",MAX(D94-IFERROR(H94,0)-IFERROR(I94,0),0))</f>
        <v/>
      </c>
      <c r="K94" s="34">
        <f>IF(E94="","",IFERROR(VLOOKUP(E94,Settings!$A$22:$B$27,2,FALSE),""))</f>
        <v/>
      </c>
      <c r="L94" s="32" t="n"/>
      <c r="M94" s="31" t="n"/>
      <c r="N94" s="30" t="n"/>
    </row>
    <row r="95" ht="17" customHeight="1">
      <c r="A95" s="30" t="n"/>
      <c r="B95" s="30" t="n"/>
      <c r="C95" s="31" t="n"/>
      <c r="D95" s="32" t="n"/>
      <c r="E95" s="30" t="n"/>
      <c r="F95" s="30" t="n"/>
      <c r="G95" s="30" t="n"/>
      <c r="H95" s="32" t="n"/>
      <c r="I95" s="32" t="n"/>
      <c r="J95" s="33">
        <f>IF(D95="","",MAX(D95-IFERROR(H95,0)-IFERROR(I95,0),0))</f>
        <v/>
      </c>
      <c r="K95" s="34">
        <f>IF(E95="","",IFERROR(VLOOKUP(E95,Settings!$A$22:$B$27,2,FALSE),""))</f>
        <v/>
      </c>
      <c r="L95" s="32" t="n"/>
      <c r="M95" s="31" t="n"/>
      <c r="N95" s="30" t="n"/>
    </row>
    <row r="96" ht="17" customHeight="1">
      <c r="A96" s="30" t="n"/>
      <c r="B96" s="30" t="n"/>
      <c r="C96" s="31" t="n"/>
      <c r="D96" s="32" t="n"/>
      <c r="E96" s="30" t="n"/>
      <c r="F96" s="30" t="n"/>
      <c r="G96" s="30" t="n"/>
      <c r="H96" s="32" t="n"/>
      <c r="I96" s="32" t="n"/>
      <c r="J96" s="33">
        <f>IF(D96="","",MAX(D96-IFERROR(H96,0)-IFERROR(I96,0),0))</f>
        <v/>
      </c>
      <c r="K96" s="34">
        <f>IF(E96="","",IFERROR(VLOOKUP(E96,Settings!$A$22:$B$27,2,FALSE),""))</f>
        <v/>
      </c>
      <c r="L96" s="32" t="n"/>
      <c r="M96" s="31" t="n"/>
      <c r="N96" s="30" t="n"/>
    </row>
    <row r="97" ht="17" customHeight="1">
      <c r="A97" s="30" t="n"/>
      <c r="B97" s="30" t="n"/>
      <c r="C97" s="31" t="n"/>
      <c r="D97" s="32" t="n"/>
      <c r="E97" s="30" t="n"/>
      <c r="F97" s="30" t="n"/>
      <c r="G97" s="30" t="n"/>
      <c r="H97" s="32" t="n"/>
      <c r="I97" s="32" t="n"/>
      <c r="J97" s="33">
        <f>IF(D97="","",MAX(D97-IFERROR(H97,0)-IFERROR(I97,0),0))</f>
        <v/>
      </c>
      <c r="K97" s="34">
        <f>IF(E97="","",IFERROR(VLOOKUP(E97,Settings!$A$22:$B$27,2,FALSE),""))</f>
        <v/>
      </c>
      <c r="L97" s="32" t="n"/>
      <c r="M97" s="31" t="n"/>
      <c r="N97" s="30" t="n"/>
    </row>
    <row r="98" ht="17" customHeight="1">
      <c r="A98" s="30" t="n"/>
      <c r="B98" s="30" t="n"/>
      <c r="C98" s="31" t="n"/>
      <c r="D98" s="32" t="n"/>
      <c r="E98" s="30" t="n"/>
      <c r="F98" s="30" t="n"/>
      <c r="G98" s="30" t="n"/>
      <c r="H98" s="32" t="n"/>
      <c r="I98" s="32" t="n"/>
      <c r="J98" s="33">
        <f>IF(D98="","",MAX(D98-IFERROR(H98,0)-IFERROR(I98,0),0))</f>
        <v/>
      </c>
      <c r="K98" s="34">
        <f>IF(E98="","",IFERROR(VLOOKUP(E98,Settings!$A$22:$B$27,2,FALSE),""))</f>
        <v/>
      </c>
      <c r="L98" s="32" t="n"/>
      <c r="M98" s="31" t="n"/>
      <c r="N98" s="30" t="n"/>
    </row>
    <row r="99" ht="17" customHeight="1">
      <c r="A99" s="30" t="n"/>
      <c r="B99" s="30" t="n"/>
      <c r="C99" s="31" t="n"/>
      <c r="D99" s="32" t="n"/>
      <c r="E99" s="30" t="n"/>
      <c r="F99" s="30" t="n"/>
      <c r="G99" s="30" t="n"/>
      <c r="H99" s="32" t="n"/>
      <c r="I99" s="32" t="n"/>
      <c r="J99" s="33">
        <f>IF(D99="","",MAX(D99-IFERROR(H99,0)-IFERROR(I99,0),0))</f>
        <v/>
      </c>
      <c r="K99" s="34">
        <f>IF(E99="","",IFERROR(VLOOKUP(E99,Settings!$A$22:$B$27,2,FALSE),""))</f>
        <v/>
      </c>
      <c r="L99" s="32" t="n"/>
      <c r="M99" s="31" t="n"/>
      <c r="N99" s="30" t="n"/>
    </row>
    <row r="100" ht="17" customHeight="1">
      <c r="A100" s="30" t="n"/>
      <c r="B100" s="30" t="n"/>
      <c r="C100" s="31" t="n"/>
      <c r="D100" s="32" t="n"/>
      <c r="E100" s="30" t="n"/>
      <c r="F100" s="30" t="n"/>
      <c r="G100" s="30" t="n"/>
      <c r="H100" s="32" t="n"/>
      <c r="I100" s="32" t="n"/>
      <c r="J100" s="33">
        <f>IF(D100="","",MAX(D100-IFERROR(H100,0)-IFERROR(I100,0),0))</f>
        <v/>
      </c>
      <c r="K100" s="34">
        <f>IF(E100="","",IFERROR(VLOOKUP(E100,Settings!$A$22:$B$27,2,FALSE),""))</f>
        <v/>
      </c>
      <c r="L100" s="32" t="n"/>
      <c r="M100" s="31" t="n"/>
      <c r="N100" s="30" t="n"/>
    </row>
    <row r="101" ht="17" customHeight="1">
      <c r="A101" s="30" t="n"/>
      <c r="B101" s="30" t="n"/>
      <c r="C101" s="31" t="n"/>
      <c r="D101" s="32" t="n"/>
      <c r="E101" s="30" t="n"/>
      <c r="F101" s="30" t="n"/>
      <c r="G101" s="30" t="n"/>
      <c r="H101" s="32" t="n"/>
      <c r="I101" s="32" t="n"/>
      <c r="J101" s="33">
        <f>IF(D101="","",MAX(D101-IFERROR(H101,0)-IFERROR(I101,0),0))</f>
        <v/>
      </c>
      <c r="K101" s="34">
        <f>IF(E101="","",IFERROR(VLOOKUP(E101,Settings!$A$22:$B$27,2,FALSE),""))</f>
        <v/>
      </c>
      <c r="L101" s="32" t="n"/>
      <c r="M101" s="31" t="n"/>
      <c r="N101" s="30" t="n"/>
    </row>
    <row r="102" ht="17" customHeight="1">
      <c r="A102" s="30" t="n"/>
      <c r="B102" s="30" t="n"/>
      <c r="C102" s="31" t="n"/>
      <c r="D102" s="32" t="n"/>
      <c r="E102" s="30" t="n"/>
      <c r="F102" s="30" t="n"/>
      <c r="G102" s="30" t="n"/>
      <c r="H102" s="32" t="n"/>
      <c r="I102" s="32" t="n"/>
      <c r="J102" s="33">
        <f>IF(D102="","",MAX(D102-IFERROR(H102,0)-IFERROR(I102,0),0))</f>
        <v/>
      </c>
      <c r="K102" s="34">
        <f>IF(E102="","",IFERROR(VLOOKUP(E102,Settings!$A$22:$B$27,2,FALSE),""))</f>
        <v/>
      </c>
      <c r="L102" s="32" t="n"/>
      <c r="M102" s="31" t="n"/>
      <c r="N102" s="30" t="n"/>
    </row>
    <row r="103" ht="17" customHeight="1">
      <c r="A103" s="30" t="n"/>
      <c r="B103" s="30" t="n"/>
      <c r="C103" s="31" t="n"/>
      <c r="D103" s="32" t="n"/>
      <c r="E103" s="30" t="n"/>
      <c r="F103" s="30" t="n"/>
      <c r="G103" s="30" t="n"/>
      <c r="H103" s="32" t="n"/>
      <c r="I103" s="32" t="n"/>
      <c r="J103" s="33">
        <f>IF(D103="","",MAX(D103-IFERROR(H103,0)-IFERROR(I103,0),0))</f>
        <v/>
      </c>
      <c r="K103" s="34">
        <f>IF(E103="","",IFERROR(VLOOKUP(E103,Settings!$A$22:$B$27,2,FALSE),""))</f>
        <v/>
      </c>
      <c r="L103" s="32" t="n"/>
      <c r="M103" s="31" t="n"/>
      <c r="N103" s="30" t="n"/>
    </row>
    <row r="104" ht="17" customHeight="1">
      <c r="A104" s="30" t="n"/>
      <c r="B104" s="30" t="n"/>
      <c r="C104" s="31" t="n"/>
      <c r="D104" s="32" t="n"/>
      <c r="E104" s="30" t="n"/>
      <c r="F104" s="30" t="n"/>
      <c r="G104" s="30" t="n"/>
      <c r="H104" s="32" t="n"/>
      <c r="I104" s="32" t="n"/>
      <c r="J104" s="33">
        <f>IF(D104="","",MAX(D104-IFERROR(H104,0)-IFERROR(I104,0),0))</f>
        <v/>
      </c>
      <c r="K104" s="34">
        <f>IF(E104="","",IFERROR(VLOOKUP(E104,Settings!$A$22:$B$27,2,FALSE),""))</f>
        <v/>
      </c>
      <c r="L104" s="32" t="n"/>
      <c r="M104" s="31" t="n"/>
      <c r="N104" s="30" t="n"/>
    </row>
    <row r="105" ht="17" customHeight="1">
      <c r="A105" s="30" t="n"/>
      <c r="B105" s="30" t="n"/>
      <c r="C105" s="31" t="n"/>
      <c r="D105" s="32" t="n"/>
      <c r="E105" s="30" t="n"/>
      <c r="F105" s="30" t="n"/>
      <c r="G105" s="30" t="n"/>
      <c r="H105" s="32" t="n"/>
      <c r="I105" s="32" t="n"/>
      <c r="J105" s="33">
        <f>IF(D105="","",MAX(D105-IFERROR(H105,0)-IFERROR(I105,0),0))</f>
        <v/>
      </c>
      <c r="K105" s="34">
        <f>IF(E105="","",IFERROR(VLOOKUP(E105,Settings!$A$22:$B$27,2,FALSE),""))</f>
        <v/>
      </c>
      <c r="L105" s="32" t="n"/>
      <c r="M105" s="31" t="n"/>
      <c r="N105" s="30" t="n"/>
    </row>
    <row r="106" ht="17" customHeight="1">
      <c r="A106" s="30" t="n"/>
      <c r="B106" s="30" t="n"/>
      <c r="C106" s="31" t="n"/>
      <c r="D106" s="32" t="n"/>
      <c r="E106" s="30" t="n"/>
      <c r="F106" s="30" t="n"/>
      <c r="G106" s="30" t="n"/>
      <c r="H106" s="32" t="n"/>
      <c r="I106" s="32" t="n"/>
      <c r="J106" s="33">
        <f>IF(D106="","",MAX(D106-IFERROR(H106,0)-IFERROR(I106,0),0))</f>
        <v/>
      </c>
      <c r="K106" s="34">
        <f>IF(E106="","",IFERROR(VLOOKUP(E106,Settings!$A$22:$B$27,2,FALSE),""))</f>
        <v/>
      </c>
      <c r="L106" s="32" t="n"/>
      <c r="M106" s="31" t="n"/>
      <c r="N106" s="30" t="n"/>
    </row>
    <row r="107" ht="17" customHeight="1">
      <c r="A107" s="30" t="n"/>
      <c r="B107" s="30" t="n"/>
      <c r="C107" s="31" t="n"/>
      <c r="D107" s="32" t="n"/>
      <c r="E107" s="30" t="n"/>
      <c r="F107" s="30" t="n"/>
      <c r="G107" s="30" t="n"/>
      <c r="H107" s="32" t="n"/>
      <c r="I107" s="32" t="n"/>
      <c r="J107" s="33">
        <f>IF(D107="","",MAX(D107-IFERROR(H107,0)-IFERROR(I107,0),0))</f>
        <v/>
      </c>
      <c r="K107" s="34">
        <f>IF(E107="","",IFERROR(VLOOKUP(E107,Settings!$A$22:$B$27,2,FALSE),""))</f>
        <v/>
      </c>
      <c r="L107" s="32" t="n"/>
      <c r="M107" s="31" t="n"/>
      <c r="N107" s="30" t="n"/>
    </row>
    <row r="108" ht="24" customHeight="1">
      <c r="A108" s="35" t="inlineStr">
        <is>
          <t>Portfolio totals:</t>
        </is>
      </c>
      <c r="D108" s="36">
        <f>SUM(D8:D107)</f>
        <v/>
      </c>
      <c r="H108" s="36">
        <f>SUM(H8:H107)</f>
        <v/>
      </c>
      <c r="I108" s="36">
        <f>SUM(I8:I107)</f>
        <v/>
      </c>
      <c r="J108" s="36">
        <f>SUM(J8:J107)</f>
        <v/>
      </c>
    </row>
    <row r="110" ht="36" customHeight="1">
      <c r="A110" s="20" t="inlineStr">
        <is>
          <t>ⓘ  Adjusted basis = Cost − §179 − Bonus.  This is the amount the year-by-year MACRS schedule depreciates over the recovery period.  If you elect §179 or bonus, the standard percentage tables apply only to the residual basis, not the full cost.</t>
        </is>
      </c>
    </row>
  </sheetData>
  <mergeCells count="6">
    <mergeCell ref="J2:L2"/>
    <mergeCell ref="D2:I2"/>
    <mergeCell ref="A6:N6"/>
    <mergeCell ref="A4:N4"/>
    <mergeCell ref="A110:L110"/>
    <mergeCell ref="A2:C2"/>
  </mergeCells>
  <dataValidations count="4">
    <dataValidation sqref="B8:B107" showDropDown="0" showInputMessage="0" showErrorMessage="0" allowBlank="1" type="list">
      <formula1>"Smokies Ridge Cabin,Creek Side Lodge,Lakehouse A"</formula1>
    </dataValidation>
    <dataValidation sqref="E8:E107" showDropDown="0" showInputMessage="0" showErrorMessage="0" allowBlank="1" type="list">
      <formula1>"5,7,15,27.5,39,Land"</formula1>
    </dataValidation>
    <dataValidation sqref="F8:F107" showDropDown="0" showInputMessage="0" showErrorMessage="0" allowBlank="1" type="list">
      <formula1>"HY,MQ,MM"</formula1>
    </dataValidation>
    <dataValidation sqref="G8:G107" showDropDown="0" showInputMessage="0" showErrorMessage="0" allowBlank="1" type="list">
      <formula1>"200% DB,150% DB,SL"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AD110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HYPERLINK("#'Asset Register'!A1", "← BACK")</f>
        <v/>
      </c>
      <c r="B2" s="17" t="n"/>
      <c r="C2" s="17" t="n"/>
      <c r="D2" s="24" t="inlineStr">
        <is>
          <t>SCHEDULE BY YEAR</t>
        </is>
      </c>
      <c r="J2" s="25">
        <f>HYPERLINK("#'Current Year Summary'!A1",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7" t="inlineStr">
        <is>
          <t>Asset × Year matrix.  Each cell = (Adjusted basis × MACRS Y_n %) from the Settings lookup table.  Bottom row = portfolio total per year.</t>
        </is>
      </c>
    </row>
    <row r="7" ht="22" customHeight="1">
      <c r="A7" s="29" t="inlineStr">
        <is>
          <t>Asset</t>
        </is>
      </c>
      <c r="B7" s="29" t="inlineStr">
        <is>
          <t>Class</t>
        </is>
      </c>
      <c r="C7" s="29" t="inlineStr">
        <is>
          <t>Adj. basis</t>
        </is>
      </c>
      <c r="D7" s="29" t="inlineStr">
        <is>
          <t>Year 1</t>
        </is>
      </c>
      <c r="E7" s="29" t="inlineStr">
        <is>
          <t>Year 2</t>
        </is>
      </c>
      <c r="F7" s="29" t="inlineStr">
        <is>
          <t>Year 3</t>
        </is>
      </c>
      <c r="G7" s="29" t="inlineStr">
        <is>
          <t>Year 4</t>
        </is>
      </c>
      <c r="H7" s="29" t="inlineStr">
        <is>
          <t>Year 5</t>
        </is>
      </c>
      <c r="I7" s="29" t="inlineStr">
        <is>
          <t>Year 6</t>
        </is>
      </c>
      <c r="J7" s="29" t="inlineStr">
        <is>
          <t>Year 7</t>
        </is>
      </c>
      <c r="K7" s="29" t="inlineStr">
        <is>
          <t>Year 8</t>
        </is>
      </c>
      <c r="L7" s="29" t="inlineStr">
        <is>
          <t>Year 9</t>
        </is>
      </c>
      <c r="M7" s="29" t="inlineStr">
        <is>
          <t>Year 10</t>
        </is>
      </c>
      <c r="N7" s="29" t="inlineStr">
        <is>
          <t>Year 11</t>
        </is>
      </c>
      <c r="O7" s="29" t="inlineStr">
        <is>
          <t>Year 12</t>
        </is>
      </c>
      <c r="P7" s="29" t="inlineStr">
        <is>
          <t>Year 13</t>
        </is>
      </c>
      <c r="Q7" s="29" t="inlineStr">
        <is>
          <t>Year 14</t>
        </is>
      </c>
      <c r="R7" s="29" t="inlineStr">
        <is>
          <t>Year 15</t>
        </is>
      </c>
      <c r="S7" s="29" t="inlineStr">
        <is>
          <t>Year 16</t>
        </is>
      </c>
      <c r="T7" s="29" t="inlineStr">
        <is>
          <t>Year 17</t>
        </is>
      </c>
      <c r="U7" s="29" t="inlineStr">
        <is>
          <t>Year 18</t>
        </is>
      </c>
      <c r="V7" s="29" t="inlineStr">
        <is>
          <t>Year 19</t>
        </is>
      </c>
      <c r="W7" s="29" t="inlineStr">
        <is>
          <t>Year 20</t>
        </is>
      </c>
      <c r="X7" s="29" t="inlineStr">
        <is>
          <t>Year 21</t>
        </is>
      </c>
      <c r="Y7" s="29" t="inlineStr">
        <is>
          <t>Year 22</t>
        </is>
      </c>
      <c r="Z7" s="29" t="inlineStr">
        <is>
          <t>Year 23</t>
        </is>
      </c>
      <c r="AA7" s="29" t="inlineStr">
        <is>
          <t>Year 24</t>
        </is>
      </c>
      <c r="AB7" s="29" t="inlineStr">
        <is>
          <t>Year 25</t>
        </is>
      </c>
      <c r="AC7" s="29" t="inlineStr">
        <is>
          <t>Year 26</t>
        </is>
      </c>
      <c r="AD7" s="29" t="inlineStr">
        <is>
          <t>Year 27</t>
        </is>
      </c>
    </row>
    <row r="8" ht="16" customHeight="1">
      <c r="A8" s="37">
        <f>'Asset Register'!A8</f>
        <v/>
      </c>
      <c r="B8" s="34">
        <f>'Asset Register'!E8</f>
        <v/>
      </c>
      <c r="C8" s="33">
        <f>'Asset Register'!J8</f>
        <v/>
      </c>
      <c r="D8" s="38">
        <f>IF(OR($B8="",$B8="Land",$C8=""),"",IFERROR($C8*INDEX(Settings!$C$22:$AC$27,MATCH($B8,Settings!$A$22:$A$27,0),1),0))</f>
        <v/>
      </c>
      <c r="E8" s="38">
        <f>IF(OR($B8="",$B8="Land",$C8=""),"",IFERROR($C8*INDEX(Settings!$C$22:$AC$27,MATCH($B8,Settings!$A$22:$A$27,0),2),0))</f>
        <v/>
      </c>
      <c r="F8" s="38">
        <f>IF(OR($B8="",$B8="Land",$C8=""),"",IFERROR($C8*INDEX(Settings!$C$22:$AC$27,MATCH($B8,Settings!$A$22:$A$27,0),3),0))</f>
        <v/>
      </c>
      <c r="G8" s="38">
        <f>IF(OR($B8="",$B8="Land",$C8=""),"",IFERROR($C8*INDEX(Settings!$C$22:$AC$27,MATCH($B8,Settings!$A$22:$A$27,0),4),0))</f>
        <v/>
      </c>
      <c r="H8" s="38">
        <f>IF(OR($B8="",$B8="Land",$C8=""),"",IFERROR($C8*INDEX(Settings!$C$22:$AC$27,MATCH($B8,Settings!$A$22:$A$27,0),5),0))</f>
        <v/>
      </c>
      <c r="I8" s="38">
        <f>IF(OR($B8="",$B8="Land",$C8=""),"",IFERROR($C8*INDEX(Settings!$C$22:$AC$27,MATCH($B8,Settings!$A$22:$A$27,0),6),0))</f>
        <v/>
      </c>
      <c r="J8" s="38">
        <f>IF(OR($B8="",$B8="Land",$C8=""),"",IFERROR($C8*INDEX(Settings!$C$22:$AC$27,MATCH($B8,Settings!$A$22:$A$27,0),7),0))</f>
        <v/>
      </c>
      <c r="K8" s="38">
        <f>IF(OR($B8="",$B8="Land",$C8=""),"",IFERROR($C8*INDEX(Settings!$C$22:$AC$27,MATCH($B8,Settings!$A$22:$A$27,0),8),0))</f>
        <v/>
      </c>
      <c r="L8" s="38">
        <f>IF(OR($B8="",$B8="Land",$C8=""),"",IFERROR($C8*INDEX(Settings!$C$22:$AC$27,MATCH($B8,Settings!$A$22:$A$27,0),9),0))</f>
        <v/>
      </c>
      <c r="M8" s="38">
        <f>IF(OR($B8="",$B8="Land",$C8=""),"",IFERROR($C8*INDEX(Settings!$C$22:$AC$27,MATCH($B8,Settings!$A$22:$A$27,0),10),0))</f>
        <v/>
      </c>
      <c r="N8" s="38">
        <f>IF(OR($B8="",$B8="Land",$C8=""),"",IFERROR($C8*INDEX(Settings!$C$22:$AC$27,MATCH($B8,Settings!$A$22:$A$27,0),11),0))</f>
        <v/>
      </c>
      <c r="O8" s="38">
        <f>IF(OR($B8="",$B8="Land",$C8=""),"",IFERROR($C8*INDEX(Settings!$C$22:$AC$27,MATCH($B8,Settings!$A$22:$A$27,0),12),0))</f>
        <v/>
      </c>
      <c r="P8" s="38">
        <f>IF(OR($B8="",$B8="Land",$C8=""),"",IFERROR($C8*INDEX(Settings!$C$22:$AC$27,MATCH($B8,Settings!$A$22:$A$27,0),13),0))</f>
        <v/>
      </c>
      <c r="Q8" s="38">
        <f>IF(OR($B8="",$B8="Land",$C8=""),"",IFERROR($C8*INDEX(Settings!$C$22:$AC$27,MATCH($B8,Settings!$A$22:$A$27,0),14),0))</f>
        <v/>
      </c>
      <c r="R8" s="38">
        <f>IF(OR($B8="",$B8="Land",$C8=""),"",IFERROR($C8*INDEX(Settings!$C$22:$AC$27,MATCH($B8,Settings!$A$22:$A$27,0),15),0))</f>
        <v/>
      </c>
      <c r="S8" s="38">
        <f>IF(OR($B8="",$B8="Land",$C8=""),"",IFERROR($C8*INDEX(Settings!$C$22:$AC$27,MATCH($B8,Settings!$A$22:$A$27,0),16),0))</f>
        <v/>
      </c>
      <c r="T8" s="38">
        <f>IF(OR($B8="",$B8="Land",$C8=""),"",IFERROR($C8*INDEX(Settings!$C$22:$AC$27,MATCH($B8,Settings!$A$22:$A$27,0),17),0))</f>
        <v/>
      </c>
      <c r="U8" s="38">
        <f>IF(OR($B8="",$B8="Land",$C8=""),"",IFERROR($C8*INDEX(Settings!$C$22:$AC$27,MATCH($B8,Settings!$A$22:$A$27,0),18),0))</f>
        <v/>
      </c>
      <c r="V8" s="38">
        <f>IF(OR($B8="",$B8="Land",$C8=""),"",IFERROR($C8*INDEX(Settings!$C$22:$AC$27,MATCH($B8,Settings!$A$22:$A$27,0),19),0))</f>
        <v/>
      </c>
      <c r="W8" s="38">
        <f>IF(OR($B8="",$B8="Land",$C8=""),"",IFERROR($C8*INDEX(Settings!$C$22:$AC$27,MATCH($B8,Settings!$A$22:$A$27,0),20),0))</f>
        <v/>
      </c>
      <c r="X8" s="38">
        <f>IF(OR($B8="",$B8="Land",$C8=""),"",IFERROR($C8*INDEX(Settings!$C$22:$AC$27,MATCH($B8,Settings!$A$22:$A$27,0),21),0))</f>
        <v/>
      </c>
      <c r="Y8" s="38">
        <f>IF(OR($B8="",$B8="Land",$C8=""),"",IFERROR($C8*INDEX(Settings!$C$22:$AC$27,MATCH($B8,Settings!$A$22:$A$27,0),22),0))</f>
        <v/>
      </c>
      <c r="Z8" s="38">
        <f>IF(OR($B8="",$B8="Land",$C8=""),"",IFERROR($C8*INDEX(Settings!$C$22:$AC$27,MATCH($B8,Settings!$A$22:$A$27,0),23),0))</f>
        <v/>
      </c>
      <c r="AA8" s="38">
        <f>IF(OR($B8="",$B8="Land",$C8=""),"",IFERROR($C8*INDEX(Settings!$C$22:$AC$27,MATCH($B8,Settings!$A$22:$A$27,0),24),0))</f>
        <v/>
      </c>
      <c r="AB8" s="38">
        <f>IF(OR($B8="",$B8="Land",$C8=""),"",IFERROR($C8*INDEX(Settings!$C$22:$AC$27,MATCH($B8,Settings!$A$22:$A$27,0),25),0))</f>
        <v/>
      </c>
      <c r="AC8" s="38">
        <f>IF(OR($B8="",$B8="Land",$C8=""),"",IFERROR($C8*INDEX(Settings!$C$22:$AC$27,MATCH($B8,Settings!$A$22:$A$27,0),26),0))</f>
        <v/>
      </c>
      <c r="AD8" s="38">
        <f>IF(OR($B8="",$B8="Land",$C8=""),"",IFERROR($C8*INDEX(Settings!$C$22:$AC$27,MATCH($B8,Settings!$A$22:$A$27,0),27),0))</f>
        <v/>
      </c>
    </row>
    <row r="9" ht="16" customHeight="1">
      <c r="A9" s="37">
        <f>'Asset Register'!A9</f>
        <v/>
      </c>
      <c r="B9" s="34">
        <f>'Asset Register'!E9</f>
        <v/>
      </c>
      <c r="C9" s="33">
        <f>'Asset Register'!J9</f>
        <v/>
      </c>
      <c r="D9" s="38">
        <f>IF(OR($B9="",$B9="Land",$C9=""),"",IFERROR($C9*INDEX(Settings!$C$22:$AC$27,MATCH($B9,Settings!$A$22:$A$27,0),1),0))</f>
        <v/>
      </c>
      <c r="E9" s="38">
        <f>IF(OR($B9="",$B9="Land",$C9=""),"",IFERROR($C9*INDEX(Settings!$C$22:$AC$27,MATCH($B9,Settings!$A$22:$A$27,0),2),0))</f>
        <v/>
      </c>
      <c r="F9" s="38">
        <f>IF(OR($B9="",$B9="Land",$C9=""),"",IFERROR($C9*INDEX(Settings!$C$22:$AC$27,MATCH($B9,Settings!$A$22:$A$27,0),3),0))</f>
        <v/>
      </c>
      <c r="G9" s="38">
        <f>IF(OR($B9="",$B9="Land",$C9=""),"",IFERROR($C9*INDEX(Settings!$C$22:$AC$27,MATCH($B9,Settings!$A$22:$A$27,0),4),0))</f>
        <v/>
      </c>
      <c r="H9" s="38">
        <f>IF(OR($B9="",$B9="Land",$C9=""),"",IFERROR($C9*INDEX(Settings!$C$22:$AC$27,MATCH($B9,Settings!$A$22:$A$27,0),5),0))</f>
        <v/>
      </c>
      <c r="I9" s="38">
        <f>IF(OR($B9="",$B9="Land",$C9=""),"",IFERROR($C9*INDEX(Settings!$C$22:$AC$27,MATCH($B9,Settings!$A$22:$A$27,0),6),0))</f>
        <v/>
      </c>
      <c r="J9" s="38">
        <f>IF(OR($B9="",$B9="Land",$C9=""),"",IFERROR($C9*INDEX(Settings!$C$22:$AC$27,MATCH($B9,Settings!$A$22:$A$27,0),7),0))</f>
        <v/>
      </c>
      <c r="K9" s="38">
        <f>IF(OR($B9="",$B9="Land",$C9=""),"",IFERROR($C9*INDEX(Settings!$C$22:$AC$27,MATCH($B9,Settings!$A$22:$A$27,0),8),0))</f>
        <v/>
      </c>
      <c r="L9" s="38">
        <f>IF(OR($B9="",$B9="Land",$C9=""),"",IFERROR($C9*INDEX(Settings!$C$22:$AC$27,MATCH($B9,Settings!$A$22:$A$27,0),9),0))</f>
        <v/>
      </c>
      <c r="M9" s="38">
        <f>IF(OR($B9="",$B9="Land",$C9=""),"",IFERROR($C9*INDEX(Settings!$C$22:$AC$27,MATCH($B9,Settings!$A$22:$A$27,0),10),0))</f>
        <v/>
      </c>
      <c r="N9" s="38">
        <f>IF(OR($B9="",$B9="Land",$C9=""),"",IFERROR($C9*INDEX(Settings!$C$22:$AC$27,MATCH($B9,Settings!$A$22:$A$27,0),11),0))</f>
        <v/>
      </c>
      <c r="O9" s="38">
        <f>IF(OR($B9="",$B9="Land",$C9=""),"",IFERROR($C9*INDEX(Settings!$C$22:$AC$27,MATCH($B9,Settings!$A$22:$A$27,0),12),0))</f>
        <v/>
      </c>
      <c r="P9" s="38">
        <f>IF(OR($B9="",$B9="Land",$C9=""),"",IFERROR($C9*INDEX(Settings!$C$22:$AC$27,MATCH($B9,Settings!$A$22:$A$27,0),13),0))</f>
        <v/>
      </c>
      <c r="Q9" s="38">
        <f>IF(OR($B9="",$B9="Land",$C9=""),"",IFERROR($C9*INDEX(Settings!$C$22:$AC$27,MATCH($B9,Settings!$A$22:$A$27,0),14),0))</f>
        <v/>
      </c>
      <c r="R9" s="38">
        <f>IF(OR($B9="",$B9="Land",$C9=""),"",IFERROR($C9*INDEX(Settings!$C$22:$AC$27,MATCH($B9,Settings!$A$22:$A$27,0),15),0))</f>
        <v/>
      </c>
      <c r="S9" s="38">
        <f>IF(OR($B9="",$B9="Land",$C9=""),"",IFERROR($C9*INDEX(Settings!$C$22:$AC$27,MATCH($B9,Settings!$A$22:$A$27,0),16),0))</f>
        <v/>
      </c>
      <c r="T9" s="38">
        <f>IF(OR($B9="",$B9="Land",$C9=""),"",IFERROR($C9*INDEX(Settings!$C$22:$AC$27,MATCH($B9,Settings!$A$22:$A$27,0),17),0))</f>
        <v/>
      </c>
      <c r="U9" s="38">
        <f>IF(OR($B9="",$B9="Land",$C9=""),"",IFERROR($C9*INDEX(Settings!$C$22:$AC$27,MATCH($B9,Settings!$A$22:$A$27,0),18),0))</f>
        <v/>
      </c>
      <c r="V9" s="38">
        <f>IF(OR($B9="",$B9="Land",$C9=""),"",IFERROR($C9*INDEX(Settings!$C$22:$AC$27,MATCH($B9,Settings!$A$22:$A$27,0),19),0))</f>
        <v/>
      </c>
      <c r="W9" s="38">
        <f>IF(OR($B9="",$B9="Land",$C9=""),"",IFERROR($C9*INDEX(Settings!$C$22:$AC$27,MATCH($B9,Settings!$A$22:$A$27,0),20),0))</f>
        <v/>
      </c>
      <c r="X9" s="38">
        <f>IF(OR($B9="",$B9="Land",$C9=""),"",IFERROR($C9*INDEX(Settings!$C$22:$AC$27,MATCH($B9,Settings!$A$22:$A$27,0),21),0))</f>
        <v/>
      </c>
      <c r="Y9" s="38">
        <f>IF(OR($B9="",$B9="Land",$C9=""),"",IFERROR($C9*INDEX(Settings!$C$22:$AC$27,MATCH($B9,Settings!$A$22:$A$27,0),22),0))</f>
        <v/>
      </c>
      <c r="Z9" s="38">
        <f>IF(OR($B9="",$B9="Land",$C9=""),"",IFERROR($C9*INDEX(Settings!$C$22:$AC$27,MATCH($B9,Settings!$A$22:$A$27,0),23),0))</f>
        <v/>
      </c>
      <c r="AA9" s="38">
        <f>IF(OR($B9="",$B9="Land",$C9=""),"",IFERROR($C9*INDEX(Settings!$C$22:$AC$27,MATCH($B9,Settings!$A$22:$A$27,0),24),0))</f>
        <v/>
      </c>
      <c r="AB9" s="38">
        <f>IF(OR($B9="",$B9="Land",$C9=""),"",IFERROR($C9*INDEX(Settings!$C$22:$AC$27,MATCH($B9,Settings!$A$22:$A$27,0),25),0))</f>
        <v/>
      </c>
      <c r="AC9" s="38">
        <f>IF(OR($B9="",$B9="Land",$C9=""),"",IFERROR($C9*INDEX(Settings!$C$22:$AC$27,MATCH($B9,Settings!$A$22:$A$27,0),26),0))</f>
        <v/>
      </c>
      <c r="AD9" s="38">
        <f>IF(OR($B9="",$B9="Land",$C9=""),"",IFERROR($C9*INDEX(Settings!$C$22:$AC$27,MATCH($B9,Settings!$A$22:$A$27,0),27),0))</f>
        <v/>
      </c>
    </row>
    <row r="10" ht="16" customHeight="1">
      <c r="A10" s="37">
        <f>'Asset Register'!A10</f>
        <v/>
      </c>
      <c r="B10" s="34">
        <f>'Asset Register'!E10</f>
        <v/>
      </c>
      <c r="C10" s="33">
        <f>'Asset Register'!J10</f>
        <v/>
      </c>
      <c r="D10" s="38">
        <f>IF(OR($B10="",$B10="Land",$C10=""),"",IFERROR($C10*INDEX(Settings!$C$22:$AC$27,MATCH($B10,Settings!$A$22:$A$27,0),1),0))</f>
        <v/>
      </c>
      <c r="E10" s="38">
        <f>IF(OR($B10="",$B10="Land",$C10=""),"",IFERROR($C10*INDEX(Settings!$C$22:$AC$27,MATCH($B10,Settings!$A$22:$A$27,0),2),0))</f>
        <v/>
      </c>
      <c r="F10" s="38">
        <f>IF(OR($B10="",$B10="Land",$C10=""),"",IFERROR($C10*INDEX(Settings!$C$22:$AC$27,MATCH($B10,Settings!$A$22:$A$27,0),3),0))</f>
        <v/>
      </c>
      <c r="G10" s="38">
        <f>IF(OR($B10="",$B10="Land",$C10=""),"",IFERROR($C10*INDEX(Settings!$C$22:$AC$27,MATCH($B10,Settings!$A$22:$A$27,0),4),0))</f>
        <v/>
      </c>
      <c r="H10" s="38">
        <f>IF(OR($B10="",$B10="Land",$C10=""),"",IFERROR($C10*INDEX(Settings!$C$22:$AC$27,MATCH($B10,Settings!$A$22:$A$27,0),5),0))</f>
        <v/>
      </c>
      <c r="I10" s="38">
        <f>IF(OR($B10="",$B10="Land",$C10=""),"",IFERROR($C10*INDEX(Settings!$C$22:$AC$27,MATCH($B10,Settings!$A$22:$A$27,0),6),0))</f>
        <v/>
      </c>
      <c r="J10" s="38">
        <f>IF(OR($B10="",$B10="Land",$C10=""),"",IFERROR($C10*INDEX(Settings!$C$22:$AC$27,MATCH($B10,Settings!$A$22:$A$27,0),7),0))</f>
        <v/>
      </c>
      <c r="K10" s="38">
        <f>IF(OR($B10="",$B10="Land",$C10=""),"",IFERROR($C10*INDEX(Settings!$C$22:$AC$27,MATCH($B10,Settings!$A$22:$A$27,0),8),0))</f>
        <v/>
      </c>
      <c r="L10" s="38">
        <f>IF(OR($B10="",$B10="Land",$C10=""),"",IFERROR($C10*INDEX(Settings!$C$22:$AC$27,MATCH($B10,Settings!$A$22:$A$27,0),9),0))</f>
        <v/>
      </c>
      <c r="M10" s="38">
        <f>IF(OR($B10="",$B10="Land",$C10=""),"",IFERROR($C10*INDEX(Settings!$C$22:$AC$27,MATCH($B10,Settings!$A$22:$A$27,0),10),0))</f>
        <v/>
      </c>
      <c r="N10" s="38">
        <f>IF(OR($B10="",$B10="Land",$C10=""),"",IFERROR($C10*INDEX(Settings!$C$22:$AC$27,MATCH($B10,Settings!$A$22:$A$27,0),11),0))</f>
        <v/>
      </c>
      <c r="O10" s="38">
        <f>IF(OR($B10="",$B10="Land",$C10=""),"",IFERROR($C10*INDEX(Settings!$C$22:$AC$27,MATCH($B10,Settings!$A$22:$A$27,0),12),0))</f>
        <v/>
      </c>
      <c r="P10" s="38">
        <f>IF(OR($B10="",$B10="Land",$C10=""),"",IFERROR($C10*INDEX(Settings!$C$22:$AC$27,MATCH($B10,Settings!$A$22:$A$27,0),13),0))</f>
        <v/>
      </c>
      <c r="Q10" s="38">
        <f>IF(OR($B10="",$B10="Land",$C10=""),"",IFERROR($C10*INDEX(Settings!$C$22:$AC$27,MATCH($B10,Settings!$A$22:$A$27,0),14),0))</f>
        <v/>
      </c>
      <c r="R10" s="38">
        <f>IF(OR($B10="",$B10="Land",$C10=""),"",IFERROR($C10*INDEX(Settings!$C$22:$AC$27,MATCH($B10,Settings!$A$22:$A$27,0),15),0))</f>
        <v/>
      </c>
      <c r="S10" s="38">
        <f>IF(OR($B10="",$B10="Land",$C10=""),"",IFERROR($C10*INDEX(Settings!$C$22:$AC$27,MATCH($B10,Settings!$A$22:$A$27,0),16),0))</f>
        <v/>
      </c>
      <c r="T10" s="38">
        <f>IF(OR($B10="",$B10="Land",$C10=""),"",IFERROR($C10*INDEX(Settings!$C$22:$AC$27,MATCH($B10,Settings!$A$22:$A$27,0),17),0))</f>
        <v/>
      </c>
      <c r="U10" s="38">
        <f>IF(OR($B10="",$B10="Land",$C10=""),"",IFERROR($C10*INDEX(Settings!$C$22:$AC$27,MATCH($B10,Settings!$A$22:$A$27,0),18),0))</f>
        <v/>
      </c>
      <c r="V10" s="38">
        <f>IF(OR($B10="",$B10="Land",$C10=""),"",IFERROR($C10*INDEX(Settings!$C$22:$AC$27,MATCH($B10,Settings!$A$22:$A$27,0),19),0))</f>
        <v/>
      </c>
      <c r="W10" s="38">
        <f>IF(OR($B10="",$B10="Land",$C10=""),"",IFERROR($C10*INDEX(Settings!$C$22:$AC$27,MATCH($B10,Settings!$A$22:$A$27,0),20),0))</f>
        <v/>
      </c>
      <c r="X10" s="38">
        <f>IF(OR($B10="",$B10="Land",$C10=""),"",IFERROR($C10*INDEX(Settings!$C$22:$AC$27,MATCH($B10,Settings!$A$22:$A$27,0),21),0))</f>
        <v/>
      </c>
      <c r="Y10" s="38">
        <f>IF(OR($B10="",$B10="Land",$C10=""),"",IFERROR($C10*INDEX(Settings!$C$22:$AC$27,MATCH($B10,Settings!$A$22:$A$27,0),22),0))</f>
        <v/>
      </c>
      <c r="Z10" s="38">
        <f>IF(OR($B10="",$B10="Land",$C10=""),"",IFERROR($C10*INDEX(Settings!$C$22:$AC$27,MATCH($B10,Settings!$A$22:$A$27,0),23),0))</f>
        <v/>
      </c>
      <c r="AA10" s="38">
        <f>IF(OR($B10="",$B10="Land",$C10=""),"",IFERROR($C10*INDEX(Settings!$C$22:$AC$27,MATCH($B10,Settings!$A$22:$A$27,0),24),0))</f>
        <v/>
      </c>
      <c r="AB10" s="38">
        <f>IF(OR($B10="",$B10="Land",$C10=""),"",IFERROR($C10*INDEX(Settings!$C$22:$AC$27,MATCH($B10,Settings!$A$22:$A$27,0),25),0))</f>
        <v/>
      </c>
      <c r="AC10" s="38">
        <f>IF(OR($B10="",$B10="Land",$C10=""),"",IFERROR($C10*INDEX(Settings!$C$22:$AC$27,MATCH($B10,Settings!$A$22:$A$27,0),26),0))</f>
        <v/>
      </c>
      <c r="AD10" s="38">
        <f>IF(OR($B10="",$B10="Land",$C10=""),"",IFERROR($C10*INDEX(Settings!$C$22:$AC$27,MATCH($B10,Settings!$A$22:$A$27,0),27),0))</f>
        <v/>
      </c>
    </row>
    <row r="11" ht="16" customHeight="1">
      <c r="A11" s="37">
        <f>'Asset Register'!A11</f>
        <v/>
      </c>
      <c r="B11" s="34">
        <f>'Asset Register'!E11</f>
        <v/>
      </c>
      <c r="C11" s="33">
        <f>'Asset Register'!J11</f>
        <v/>
      </c>
      <c r="D11" s="38">
        <f>IF(OR($B11="",$B11="Land",$C11=""),"",IFERROR($C11*INDEX(Settings!$C$22:$AC$27,MATCH($B11,Settings!$A$22:$A$27,0),1),0))</f>
        <v/>
      </c>
      <c r="E11" s="38">
        <f>IF(OR($B11="",$B11="Land",$C11=""),"",IFERROR($C11*INDEX(Settings!$C$22:$AC$27,MATCH($B11,Settings!$A$22:$A$27,0),2),0))</f>
        <v/>
      </c>
      <c r="F11" s="38">
        <f>IF(OR($B11="",$B11="Land",$C11=""),"",IFERROR($C11*INDEX(Settings!$C$22:$AC$27,MATCH($B11,Settings!$A$22:$A$27,0),3),0))</f>
        <v/>
      </c>
      <c r="G11" s="38">
        <f>IF(OR($B11="",$B11="Land",$C11=""),"",IFERROR($C11*INDEX(Settings!$C$22:$AC$27,MATCH($B11,Settings!$A$22:$A$27,0),4),0))</f>
        <v/>
      </c>
      <c r="H11" s="38">
        <f>IF(OR($B11="",$B11="Land",$C11=""),"",IFERROR($C11*INDEX(Settings!$C$22:$AC$27,MATCH($B11,Settings!$A$22:$A$27,0),5),0))</f>
        <v/>
      </c>
      <c r="I11" s="38">
        <f>IF(OR($B11="",$B11="Land",$C11=""),"",IFERROR($C11*INDEX(Settings!$C$22:$AC$27,MATCH($B11,Settings!$A$22:$A$27,0),6),0))</f>
        <v/>
      </c>
      <c r="J11" s="38">
        <f>IF(OR($B11="",$B11="Land",$C11=""),"",IFERROR($C11*INDEX(Settings!$C$22:$AC$27,MATCH($B11,Settings!$A$22:$A$27,0),7),0))</f>
        <v/>
      </c>
      <c r="K11" s="38">
        <f>IF(OR($B11="",$B11="Land",$C11=""),"",IFERROR($C11*INDEX(Settings!$C$22:$AC$27,MATCH($B11,Settings!$A$22:$A$27,0),8),0))</f>
        <v/>
      </c>
      <c r="L11" s="38">
        <f>IF(OR($B11="",$B11="Land",$C11=""),"",IFERROR($C11*INDEX(Settings!$C$22:$AC$27,MATCH($B11,Settings!$A$22:$A$27,0),9),0))</f>
        <v/>
      </c>
      <c r="M11" s="38">
        <f>IF(OR($B11="",$B11="Land",$C11=""),"",IFERROR($C11*INDEX(Settings!$C$22:$AC$27,MATCH($B11,Settings!$A$22:$A$27,0),10),0))</f>
        <v/>
      </c>
      <c r="N11" s="38">
        <f>IF(OR($B11="",$B11="Land",$C11=""),"",IFERROR($C11*INDEX(Settings!$C$22:$AC$27,MATCH($B11,Settings!$A$22:$A$27,0),11),0))</f>
        <v/>
      </c>
      <c r="O11" s="38">
        <f>IF(OR($B11="",$B11="Land",$C11=""),"",IFERROR($C11*INDEX(Settings!$C$22:$AC$27,MATCH($B11,Settings!$A$22:$A$27,0),12),0))</f>
        <v/>
      </c>
      <c r="P11" s="38">
        <f>IF(OR($B11="",$B11="Land",$C11=""),"",IFERROR($C11*INDEX(Settings!$C$22:$AC$27,MATCH($B11,Settings!$A$22:$A$27,0),13),0))</f>
        <v/>
      </c>
      <c r="Q11" s="38">
        <f>IF(OR($B11="",$B11="Land",$C11=""),"",IFERROR($C11*INDEX(Settings!$C$22:$AC$27,MATCH($B11,Settings!$A$22:$A$27,0),14),0))</f>
        <v/>
      </c>
      <c r="R11" s="38">
        <f>IF(OR($B11="",$B11="Land",$C11=""),"",IFERROR($C11*INDEX(Settings!$C$22:$AC$27,MATCH($B11,Settings!$A$22:$A$27,0),15),0))</f>
        <v/>
      </c>
      <c r="S11" s="38">
        <f>IF(OR($B11="",$B11="Land",$C11=""),"",IFERROR($C11*INDEX(Settings!$C$22:$AC$27,MATCH($B11,Settings!$A$22:$A$27,0),16),0))</f>
        <v/>
      </c>
      <c r="T11" s="38">
        <f>IF(OR($B11="",$B11="Land",$C11=""),"",IFERROR($C11*INDEX(Settings!$C$22:$AC$27,MATCH($B11,Settings!$A$22:$A$27,0),17),0))</f>
        <v/>
      </c>
      <c r="U11" s="38">
        <f>IF(OR($B11="",$B11="Land",$C11=""),"",IFERROR($C11*INDEX(Settings!$C$22:$AC$27,MATCH($B11,Settings!$A$22:$A$27,0),18),0))</f>
        <v/>
      </c>
      <c r="V11" s="38">
        <f>IF(OR($B11="",$B11="Land",$C11=""),"",IFERROR($C11*INDEX(Settings!$C$22:$AC$27,MATCH($B11,Settings!$A$22:$A$27,0),19),0))</f>
        <v/>
      </c>
      <c r="W11" s="38">
        <f>IF(OR($B11="",$B11="Land",$C11=""),"",IFERROR($C11*INDEX(Settings!$C$22:$AC$27,MATCH($B11,Settings!$A$22:$A$27,0),20),0))</f>
        <v/>
      </c>
      <c r="X11" s="38">
        <f>IF(OR($B11="",$B11="Land",$C11=""),"",IFERROR($C11*INDEX(Settings!$C$22:$AC$27,MATCH($B11,Settings!$A$22:$A$27,0),21),0))</f>
        <v/>
      </c>
      <c r="Y11" s="38">
        <f>IF(OR($B11="",$B11="Land",$C11=""),"",IFERROR($C11*INDEX(Settings!$C$22:$AC$27,MATCH($B11,Settings!$A$22:$A$27,0),22),0))</f>
        <v/>
      </c>
      <c r="Z11" s="38">
        <f>IF(OR($B11="",$B11="Land",$C11=""),"",IFERROR($C11*INDEX(Settings!$C$22:$AC$27,MATCH($B11,Settings!$A$22:$A$27,0),23),0))</f>
        <v/>
      </c>
      <c r="AA11" s="38">
        <f>IF(OR($B11="",$B11="Land",$C11=""),"",IFERROR($C11*INDEX(Settings!$C$22:$AC$27,MATCH($B11,Settings!$A$22:$A$27,0),24),0))</f>
        <v/>
      </c>
      <c r="AB11" s="38">
        <f>IF(OR($B11="",$B11="Land",$C11=""),"",IFERROR($C11*INDEX(Settings!$C$22:$AC$27,MATCH($B11,Settings!$A$22:$A$27,0),25),0))</f>
        <v/>
      </c>
      <c r="AC11" s="38">
        <f>IF(OR($B11="",$B11="Land",$C11=""),"",IFERROR($C11*INDEX(Settings!$C$22:$AC$27,MATCH($B11,Settings!$A$22:$A$27,0),26),0))</f>
        <v/>
      </c>
      <c r="AD11" s="38">
        <f>IF(OR($B11="",$B11="Land",$C11=""),"",IFERROR($C11*INDEX(Settings!$C$22:$AC$27,MATCH($B11,Settings!$A$22:$A$27,0),27),0))</f>
        <v/>
      </c>
    </row>
    <row r="12" ht="16" customHeight="1">
      <c r="A12" s="37">
        <f>'Asset Register'!A12</f>
        <v/>
      </c>
      <c r="B12" s="34">
        <f>'Asset Register'!E12</f>
        <v/>
      </c>
      <c r="C12" s="33">
        <f>'Asset Register'!J12</f>
        <v/>
      </c>
      <c r="D12" s="38">
        <f>IF(OR($B12="",$B12="Land",$C12=""),"",IFERROR($C12*INDEX(Settings!$C$22:$AC$27,MATCH($B12,Settings!$A$22:$A$27,0),1),0))</f>
        <v/>
      </c>
      <c r="E12" s="38">
        <f>IF(OR($B12="",$B12="Land",$C12=""),"",IFERROR($C12*INDEX(Settings!$C$22:$AC$27,MATCH($B12,Settings!$A$22:$A$27,0),2),0))</f>
        <v/>
      </c>
      <c r="F12" s="38">
        <f>IF(OR($B12="",$B12="Land",$C12=""),"",IFERROR($C12*INDEX(Settings!$C$22:$AC$27,MATCH($B12,Settings!$A$22:$A$27,0),3),0))</f>
        <v/>
      </c>
      <c r="G12" s="38">
        <f>IF(OR($B12="",$B12="Land",$C12=""),"",IFERROR($C12*INDEX(Settings!$C$22:$AC$27,MATCH($B12,Settings!$A$22:$A$27,0),4),0))</f>
        <v/>
      </c>
      <c r="H12" s="38">
        <f>IF(OR($B12="",$B12="Land",$C12=""),"",IFERROR($C12*INDEX(Settings!$C$22:$AC$27,MATCH($B12,Settings!$A$22:$A$27,0),5),0))</f>
        <v/>
      </c>
      <c r="I12" s="38">
        <f>IF(OR($B12="",$B12="Land",$C12=""),"",IFERROR($C12*INDEX(Settings!$C$22:$AC$27,MATCH($B12,Settings!$A$22:$A$27,0),6),0))</f>
        <v/>
      </c>
      <c r="J12" s="38">
        <f>IF(OR($B12="",$B12="Land",$C12=""),"",IFERROR($C12*INDEX(Settings!$C$22:$AC$27,MATCH($B12,Settings!$A$22:$A$27,0),7),0))</f>
        <v/>
      </c>
      <c r="K12" s="38">
        <f>IF(OR($B12="",$B12="Land",$C12=""),"",IFERROR($C12*INDEX(Settings!$C$22:$AC$27,MATCH($B12,Settings!$A$22:$A$27,0),8),0))</f>
        <v/>
      </c>
      <c r="L12" s="38">
        <f>IF(OR($B12="",$B12="Land",$C12=""),"",IFERROR($C12*INDEX(Settings!$C$22:$AC$27,MATCH($B12,Settings!$A$22:$A$27,0),9),0))</f>
        <v/>
      </c>
      <c r="M12" s="38">
        <f>IF(OR($B12="",$B12="Land",$C12=""),"",IFERROR($C12*INDEX(Settings!$C$22:$AC$27,MATCH($B12,Settings!$A$22:$A$27,0),10),0))</f>
        <v/>
      </c>
      <c r="N12" s="38">
        <f>IF(OR($B12="",$B12="Land",$C12=""),"",IFERROR($C12*INDEX(Settings!$C$22:$AC$27,MATCH($B12,Settings!$A$22:$A$27,0),11),0))</f>
        <v/>
      </c>
      <c r="O12" s="38">
        <f>IF(OR($B12="",$B12="Land",$C12=""),"",IFERROR($C12*INDEX(Settings!$C$22:$AC$27,MATCH($B12,Settings!$A$22:$A$27,0),12),0))</f>
        <v/>
      </c>
      <c r="P12" s="38">
        <f>IF(OR($B12="",$B12="Land",$C12=""),"",IFERROR($C12*INDEX(Settings!$C$22:$AC$27,MATCH($B12,Settings!$A$22:$A$27,0),13),0))</f>
        <v/>
      </c>
      <c r="Q12" s="38">
        <f>IF(OR($B12="",$B12="Land",$C12=""),"",IFERROR($C12*INDEX(Settings!$C$22:$AC$27,MATCH($B12,Settings!$A$22:$A$27,0),14),0))</f>
        <v/>
      </c>
      <c r="R12" s="38">
        <f>IF(OR($B12="",$B12="Land",$C12=""),"",IFERROR($C12*INDEX(Settings!$C$22:$AC$27,MATCH($B12,Settings!$A$22:$A$27,0),15),0))</f>
        <v/>
      </c>
      <c r="S12" s="38">
        <f>IF(OR($B12="",$B12="Land",$C12=""),"",IFERROR($C12*INDEX(Settings!$C$22:$AC$27,MATCH($B12,Settings!$A$22:$A$27,0),16),0))</f>
        <v/>
      </c>
      <c r="T12" s="38">
        <f>IF(OR($B12="",$B12="Land",$C12=""),"",IFERROR($C12*INDEX(Settings!$C$22:$AC$27,MATCH($B12,Settings!$A$22:$A$27,0),17),0))</f>
        <v/>
      </c>
      <c r="U12" s="38">
        <f>IF(OR($B12="",$B12="Land",$C12=""),"",IFERROR($C12*INDEX(Settings!$C$22:$AC$27,MATCH($B12,Settings!$A$22:$A$27,0),18),0))</f>
        <v/>
      </c>
      <c r="V12" s="38">
        <f>IF(OR($B12="",$B12="Land",$C12=""),"",IFERROR($C12*INDEX(Settings!$C$22:$AC$27,MATCH($B12,Settings!$A$22:$A$27,0),19),0))</f>
        <v/>
      </c>
      <c r="W12" s="38">
        <f>IF(OR($B12="",$B12="Land",$C12=""),"",IFERROR($C12*INDEX(Settings!$C$22:$AC$27,MATCH($B12,Settings!$A$22:$A$27,0),20),0))</f>
        <v/>
      </c>
      <c r="X12" s="38">
        <f>IF(OR($B12="",$B12="Land",$C12=""),"",IFERROR($C12*INDEX(Settings!$C$22:$AC$27,MATCH($B12,Settings!$A$22:$A$27,0),21),0))</f>
        <v/>
      </c>
      <c r="Y12" s="38">
        <f>IF(OR($B12="",$B12="Land",$C12=""),"",IFERROR($C12*INDEX(Settings!$C$22:$AC$27,MATCH($B12,Settings!$A$22:$A$27,0),22),0))</f>
        <v/>
      </c>
      <c r="Z12" s="38">
        <f>IF(OR($B12="",$B12="Land",$C12=""),"",IFERROR($C12*INDEX(Settings!$C$22:$AC$27,MATCH($B12,Settings!$A$22:$A$27,0),23),0))</f>
        <v/>
      </c>
      <c r="AA12" s="38">
        <f>IF(OR($B12="",$B12="Land",$C12=""),"",IFERROR($C12*INDEX(Settings!$C$22:$AC$27,MATCH($B12,Settings!$A$22:$A$27,0),24),0))</f>
        <v/>
      </c>
      <c r="AB12" s="38">
        <f>IF(OR($B12="",$B12="Land",$C12=""),"",IFERROR($C12*INDEX(Settings!$C$22:$AC$27,MATCH($B12,Settings!$A$22:$A$27,0),25),0))</f>
        <v/>
      </c>
      <c r="AC12" s="38">
        <f>IF(OR($B12="",$B12="Land",$C12=""),"",IFERROR($C12*INDEX(Settings!$C$22:$AC$27,MATCH($B12,Settings!$A$22:$A$27,0),26),0))</f>
        <v/>
      </c>
      <c r="AD12" s="38">
        <f>IF(OR($B12="",$B12="Land",$C12=""),"",IFERROR($C12*INDEX(Settings!$C$22:$AC$27,MATCH($B12,Settings!$A$22:$A$27,0),27),0))</f>
        <v/>
      </c>
    </row>
    <row r="13" ht="16" customHeight="1">
      <c r="A13" s="37">
        <f>'Asset Register'!A13</f>
        <v/>
      </c>
      <c r="B13" s="34">
        <f>'Asset Register'!E13</f>
        <v/>
      </c>
      <c r="C13" s="33">
        <f>'Asset Register'!J13</f>
        <v/>
      </c>
      <c r="D13" s="38">
        <f>IF(OR($B13="",$B13="Land",$C13=""),"",IFERROR($C13*INDEX(Settings!$C$22:$AC$27,MATCH($B13,Settings!$A$22:$A$27,0),1),0))</f>
        <v/>
      </c>
      <c r="E13" s="38">
        <f>IF(OR($B13="",$B13="Land",$C13=""),"",IFERROR($C13*INDEX(Settings!$C$22:$AC$27,MATCH($B13,Settings!$A$22:$A$27,0),2),0))</f>
        <v/>
      </c>
      <c r="F13" s="38">
        <f>IF(OR($B13="",$B13="Land",$C13=""),"",IFERROR($C13*INDEX(Settings!$C$22:$AC$27,MATCH($B13,Settings!$A$22:$A$27,0),3),0))</f>
        <v/>
      </c>
      <c r="G13" s="38">
        <f>IF(OR($B13="",$B13="Land",$C13=""),"",IFERROR($C13*INDEX(Settings!$C$22:$AC$27,MATCH($B13,Settings!$A$22:$A$27,0),4),0))</f>
        <v/>
      </c>
      <c r="H13" s="38">
        <f>IF(OR($B13="",$B13="Land",$C13=""),"",IFERROR($C13*INDEX(Settings!$C$22:$AC$27,MATCH($B13,Settings!$A$22:$A$27,0),5),0))</f>
        <v/>
      </c>
      <c r="I13" s="38">
        <f>IF(OR($B13="",$B13="Land",$C13=""),"",IFERROR($C13*INDEX(Settings!$C$22:$AC$27,MATCH($B13,Settings!$A$22:$A$27,0),6),0))</f>
        <v/>
      </c>
      <c r="J13" s="38">
        <f>IF(OR($B13="",$B13="Land",$C13=""),"",IFERROR($C13*INDEX(Settings!$C$22:$AC$27,MATCH($B13,Settings!$A$22:$A$27,0),7),0))</f>
        <v/>
      </c>
      <c r="K13" s="38">
        <f>IF(OR($B13="",$B13="Land",$C13=""),"",IFERROR($C13*INDEX(Settings!$C$22:$AC$27,MATCH($B13,Settings!$A$22:$A$27,0),8),0))</f>
        <v/>
      </c>
      <c r="L13" s="38">
        <f>IF(OR($B13="",$B13="Land",$C13=""),"",IFERROR($C13*INDEX(Settings!$C$22:$AC$27,MATCH($B13,Settings!$A$22:$A$27,0),9),0))</f>
        <v/>
      </c>
      <c r="M13" s="38">
        <f>IF(OR($B13="",$B13="Land",$C13=""),"",IFERROR($C13*INDEX(Settings!$C$22:$AC$27,MATCH($B13,Settings!$A$22:$A$27,0),10),0))</f>
        <v/>
      </c>
      <c r="N13" s="38">
        <f>IF(OR($B13="",$B13="Land",$C13=""),"",IFERROR($C13*INDEX(Settings!$C$22:$AC$27,MATCH($B13,Settings!$A$22:$A$27,0),11),0))</f>
        <v/>
      </c>
      <c r="O13" s="38">
        <f>IF(OR($B13="",$B13="Land",$C13=""),"",IFERROR($C13*INDEX(Settings!$C$22:$AC$27,MATCH($B13,Settings!$A$22:$A$27,0),12),0))</f>
        <v/>
      </c>
      <c r="P13" s="38">
        <f>IF(OR($B13="",$B13="Land",$C13=""),"",IFERROR($C13*INDEX(Settings!$C$22:$AC$27,MATCH($B13,Settings!$A$22:$A$27,0),13),0))</f>
        <v/>
      </c>
      <c r="Q13" s="38">
        <f>IF(OR($B13="",$B13="Land",$C13=""),"",IFERROR($C13*INDEX(Settings!$C$22:$AC$27,MATCH($B13,Settings!$A$22:$A$27,0),14),0))</f>
        <v/>
      </c>
      <c r="R13" s="38">
        <f>IF(OR($B13="",$B13="Land",$C13=""),"",IFERROR($C13*INDEX(Settings!$C$22:$AC$27,MATCH($B13,Settings!$A$22:$A$27,0),15),0))</f>
        <v/>
      </c>
      <c r="S13" s="38">
        <f>IF(OR($B13="",$B13="Land",$C13=""),"",IFERROR($C13*INDEX(Settings!$C$22:$AC$27,MATCH($B13,Settings!$A$22:$A$27,0),16),0))</f>
        <v/>
      </c>
      <c r="T13" s="38">
        <f>IF(OR($B13="",$B13="Land",$C13=""),"",IFERROR($C13*INDEX(Settings!$C$22:$AC$27,MATCH($B13,Settings!$A$22:$A$27,0),17),0))</f>
        <v/>
      </c>
      <c r="U13" s="38">
        <f>IF(OR($B13="",$B13="Land",$C13=""),"",IFERROR($C13*INDEX(Settings!$C$22:$AC$27,MATCH($B13,Settings!$A$22:$A$27,0),18),0))</f>
        <v/>
      </c>
      <c r="V13" s="38">
        <f>IF(OR($B13="",$B13="Land",$C13=""),"",IFERROR($C13*INDEX(Settings!$C$22:$AC$27,MATCH($B13,Settings!$A$22:$A$27,0),19),0))</f>
        <v/>
      </c>
      <c r="W13" s="38">
        <f>IF(OR($B13="",$B13="Land",$C13=""),"",IFERROR($C13*INDEX(Settings!$C$22:$AC$27,MATCH($B13,Settings!$A$22:$A$27,0),20),0))</f>
        <v/>
      </c>
      <c r="X13" s="38">
        <f>IF(OR($B13="",$B13="Land",$C13=""),"",IFERROR($C13*INDEX(Settings!$C$22:$AC$27,MATCH($B13,Settings!$A$22:$A$27,0),21),0))</f>
        <v/>
      </c>
      <c r="Y13" s="38">
        <f>IF(OR($B13="",$B13="Land",$C13=""),"",IFERROR($C13*INDEX(Settings!$C$22:$AC$27,MATCH($B13,Settings!$A$22:$A$27,0),22),0))</f>
        <v/>
      </c>
      <c r="Z13" s="38">
        <f>IF(OR($B13="",$B13="Land",$C13=""),"",IFERROR($C13*INDEX(Settings!$C$22:$AC$27,MATCH($B13,Settings!$A$22:$A$27,0),23),0))</f>
        <v/>
      </c>
      <c r="AA13" s="38">
        <f>IF(OR($B13="",$B13="Land",$C13=""),"",IFERROR($C13*INDEX(Settings!$C$22:$AC$27,MATCH($B13,Settings!$A$22:$A$27,0),24),0))</f>
        <v/>
      </c>
      <c r="AB13" s="38">
        <f>IF(OR($B13="",$B13="Land",$C13=""),"",IFERROR($C13*INDEX(Settings!$C$22:$AC$27,MATCH($B13,Settings!$A$22:$A$27,0),25),0))</f>
        <v/>
      </c>
      <c r="AC13" s="38">
        <f>IF(OR($B13="",$B13="Land",$C13=""),"",IFERROR($C13*INDEX(Settings!$C$22:$AC$27,MATCH($B13,Settings!$A$22:$A$27,0),26),0))</f>
        <v/>
      </c>
      <c r="AD13" s="38">
        <f>IF(OR($B13="",$B13="Land",$C13=""),"",IFERROR($C13*INDEX(Settings!$C$22:$AC$27,MATCH($B13,Settings!$A$22:$A$27,0),27),0))</f>
        <v/>
      </c>
    </row>
    <row r="14" ht="16" customHeight="1">
      <c r="A14" s="37">
        <f>'Asset Register'!A14</f>
        <v/>
      </c>
      <c r="B14" s="34">
        <f>'Asset Register'!E14</f>
        <v/>
      </c>
      <c r="C14" s="33">
        <f>'Asset Register'!J14</f>
        <v/>
      </c>
      <c r="D14" s="38">
        <f>IF(OR($B14="",$B14="Land",$C14=""),"",IFERROR($C14*INDEX(Settings!$C$22:$AC$27,MATCH($B14,Settings!$A$22:$A$27,0),1),0))</f>
        <v/>
      </c>
      <c r="E14" s="38">
        <f>IF(OR($B14="",$B14="Land",$C14=""),"",IFERROR($C14*INDEX(Settings!$C$22:$AC$27,MATCH($B14,Settings!$A$22:$A$27,0),2),0))</f>
        <v/>
      </c>
      <c r="F14" s="38">
        <f>IF(OR($B14="",$B14="Land",$C14=""),"",IFERROR($C14*INDEX(Settings!$C$22:$AC$27,MATCH($B14,Settings!$A$22:$A$27,0),3),0))</f>
        <v/>
      </c>
      <c r="G14" s="38">
        <f>IF(OR($B14="",$B14="Land",$C14=""),"",IFERROR($C14*INDEX(Settings!$C$22:$AC$27,MATCH($B14,Settings!$A$22:$A$27,0),4),0))</f>
        <v/>
      </c>
      <c r="H14" s="38">
        <f>IF(OR($B14="",$B14="Land",$C14=""),"",IFERROR($C14*INDEX(Settings!$C$22:$AC$27,MATCH($B14,Settings!$A$22:$A$27,0),5),0))</f>
        <v/>
      </c>
      <c r="I14" s="38">
        <f>IF(OR($B14="",$B14="Land",$C14=""),"",IFERROR($C14*INDEX(Settings!$C$22:$AC$27,MATCH($B14,Settings!$A$22:$A$27,0),6),0))</f>
        <v/>
      </c>
      <c r="J14" s="38">
        <f>IF(OR($B14="",$B14="Land",$C14=""),"",IFERROR($C14*INDEX(Settings!$C$22:$AC$27,MATCH($B14,Settings!$A$22:$A$27,0),7),0))</f>
        <v/>
      </c>
      <c r="K14" s="38">
        <f>IF(OR($B14="",$B14="Land",$C14=""),"",IFERROR($C14*INDEX(Settings!$C$22:$AC$27,MATCH($B14,Settings!$A$22:$A$27,0),8),0))</f>
        <v/>
      </c>
      <c r="L14" s="38">
        <f>IF(OR($B14="",$B14="Land",$C14=""),"",IFERROR($C14*INDEX(Settings!$C$22:$AC$27,MATCH($B14,Settings!$A$22:$A$27,0),9),0))</f>
        <v/>
      </c>
      <c r="M14" s="38">
        <f>IF(OR($B14="",$B14="Land",$C14=""),"",IFERROR($C14*INDEX(Settings!$C$22:$AC$27,MATCH($B14,Settings!$A$22:$A$27,0),10),0))</f>
        <v/>
      </c>
      <c r="N14" s="38">
        <f>IF(OR($B14="",$B14="Land",$C14=""),"",IFERROR($C14*INDEX(Settings!$C$22:$AC$27,MATCH($B14,Settings!$A$22:$A$27,0),11),0))</f>
        <v/>
      </c>
      <c r="O14" s="38">
        <f>IF(OR($B14="",$B14="Land",$C14=""),"",IFERROR($C14*INDEX(Settings!$C$22:$AC$27,MATCH($B14,Settings!$A$22:$A$27,0),12),0))</f>
        <v/>
      </c>
      <c r="P14" s="38">
        <f>IF(OR($B14="",$B14="Land",$C14=""),"",IFERROR($C14*INDEX(Settings!$C$22:$AC$27,MATCH($B14,Settings!$A$22:$A$27,0),13),0))</f>
        <v/>
      </c>
      <c r="Q14" s="38">
        <f>IF(OR($B14="",$B14="Land",$C14=""),"",IFERROR($C14*INDEX(Settings!$C$22:$AC$27,MATCH($B14,Settings!$A$22:$A$27,0),14),0))</f>
        <v/>
      </c>
      <c r="R14" s="38">
        <f>IF(OR($B14="",$B14="Land",$C14=""),"",IFERROR($C14*INDEX(Settings!$C$22:$AC$27,MATCH($B14,Settings!$A$22:$A$27,0),15),0))</f>
        <v/>
      </c>
      <c r="S14" s="38">
        <f>IF(OR($B14="",$B14="Land",$C14=""),"",IFERROR($C14*INDEX(Settings!$C$22:$AC$27,MATCH($B14,Settings!$A$22:$A$27,0),16),0))</f>
        <v/>
      </c>
      <c r="T14" s="38">
        <f>IF(OR($B14="",$B14="Land",$C14=""),"",IFERROR($C14*INDEX(Settings!$C$22:$AC$27,MATCH($B14,Settings!$A$22:$A$27,0),17),0))</f>
        <v/>
      </c>
      <c r="U14" s="38">
        <f>IF(OR($B14="",$B14="Land",$C14=""),"",IFERROR($C14*INDEX(Settings!$C$22:$AC$27,MATCH($B14,Settings!$A$22:$A$27,0),18),0))</f>
        <v/>
      </c>
      <c r="V14" s="38">
        <f>IF(OR($B14="",$B14="Land",$C14=""),"",IFERROR($C14*INDEX(Settings!$C$22:$AC$27,MATCH($B14,Settings!$A$22:$A$27,0),19),0))</f>
        <v/>
      </c>
      <c r="W14" s="38">
        <f>IF(OR($B14="",$B14="Land",$C14=""),"",IFERROR($C14*INDEX(Settings!$C$22:$AC$27,MATCH($B14,Settings!$A$22:$A$27,0),20),0))</f>
        <v/>
      </c>
      <c r="X14" s="38">
        <f>IF(OR($B14="",$B14="Land",$C14=""),"",IFERROR($C14*INDEX(Settings!$C$22:$AC$27,MATCH($B14,Settings!$A$22:$A$27,0),21),0))</f>
        <v/>
      </c>
      <c r="Y14" s="38">
        <f>IF(OR($B14="",$B14="Land",$C14=""),"",IFERROR($C14*INDEX(Settings!$C$22:$AC$27,MATCH($B14,Settings!$A$22:$A$27,0),22),0))</f>
        <v/>
      </c>
      <c r="Z14" s="38">
        <f>IF(OR($B14="",$B14="Land",$C14=""),"",IFERROR($C14*INDEX(Settings!$C$22:$AC$27,MATCH($B14,Settings!$A$22:$A$27,0),23),0))</f>
        <v/>
      </c>
      <c r="AA14" s="38">
        <f>IF(OR($B14="",$B14="Land",$C14=""),"",IFERROR($C14*INDEX(Settings!$C$22:$AC$27,MATCH($B14,Settings!$A$22:$A$27,0),24),0))</f>
        <v/>
      </c>
      <c r="AB14" s="38">
        <f>IF(OR($B14="",$B14="Land",$C14=""),"",IFERROR($C14*INDEX(Settings!$C$22:$AC$27,MATCH($B14,Settings!$A$22:$A$27,0),25),0))</f>
        <v/>
      </c>
      <c r="AC14" s="38">
        <f>IF(OR($B14="",$B14="Land",$C14=""),"",IFERROR($C14*INDEX(Settings!$C$22:$AC$27,MATCH($B14,Settings!$A$22:$A$27,0),26),0))</f>
        <v/>
      </c>
      <c r="AD14" s="38">
        <f>IF(OR($B14="",$B14="Land",$C14=""),"",IFERROR($C14*INDEX(Settings!$C$22:$AC$27,MATCH($B14,Settings!$A$22:$A$27,0),27),0))</f>
        <v/>
      </c>
    </row>
    <row r="15" ht="16" customHeight="1">
      <c r="A15" s="37">
        <f>'Asset Register'!A15</f>
        <v/>
      </c>
      <c r="B15" s="34">
        <f>'Asset Register'!E15</f>
        <v/>
      </c>
      <c r="C15" s="33">
        <f>'Asset Register'!J15</f>
        <v/>
      </c>
      <c r="D15" s="38">
        <f>IF(OR($B15="",$B15="Land",$C15=""),"",IFERROR($C15*INDEX(Settings!$C$22:$AC$27,MATCH($B15,Settings!$A$22:$A$27,0),1),0))</f>
        <v/>
      </c>
      <c r="E15" s="38">
        <f>IF(OR($B15="",$B15="Land",$C15=""),"",IFERROR($C15*INDEX(Settings!$C$22:$AC$27,MATCH($B15,Settings!$A$22:$A$27,0),2),0))</f>
        <v/>
      </c>
      <c r="F15" s="38">
        <f>IF(OR($B15="",$B15="Land",$C15=""),"",IFERROR($C15*INDEX(Settings!$C$22:$AC$27,MATCH($B15,Settings!$A$22:$A$27,0),3),0))</f>
        <v/>
      </c>
      <c r="G15" s="38">
        <f>IF(OR($B15="",$B15="Land",$C15=""),"",IFERROR($C15*INDEX(Settings!$C$22:$AC$27,MATCH($B15,Settings!$A$22:$A$27,0),4),0))</f>
        <v/>
      </c>
      <c r="H15" s="38">
        <f>IF(OR($B15="",$B15="Land",$C15=""),"",IFERROR($C15*INDEX(Settings!$C$22:$AC$27,MATCH($B15,Settings!$A$22:$A$27,0),5),0))</f>
        <v/>
      </c>
      <c r="I15" s="38">
        <f>IF(OR($B15="",$B15="Land",$C15=""),"",IFERROR($C15*INDEX(Settings!$C$22:$AC$27,MATCH($B15,Settings!$A$22:$A$27,0),6),0))</f>
        <v/>
      </c>
      <c r="J15" s="38">
        <f>IF(OR($B15="",$B15="Land",$C15=""),"",IFERROR($C15*INDEX(Settings!$C$22:$AC$27,MATCH($B15,Settings!$A$22:$A$27,0),7),0))</f>
        <v/>
      </c>
      <c r="K15" s="38">
        <f>IF(OR($B15="",$B15="Land",$C15=""),"",IFERROR($C15*INDEX(Settings!$C$22:$AC$27,MATCH($B15,Settings!$A$22:$A$27,0),8),0))</f>
        <v/>
      </c>
      <c r="L15" s="38">
        <f>IF(OR($B15="",$B15="Land",$C15=""),"",IFERROR($C15*INDEX(Settings!$C$22:$AC$27,MATCH($B15,Settings!$A$22:$A$27,0),9),0))</f>
        <v/>
      </c>
      <c r="M15" s="38">
        <f>IF(OR($B15="",$B15="Land",$C15=""),"",IFERROR($C15*INDEX(Settings!$C$22:$AC$27,MATCH($B15,Settings!$A$22:$A$27,0),10),0))</f>
        <v/>
      </c>
      <c r="N15" s="38">
        <f>IF(OR($B15="",$B15="Land",$C15=""),"",IFERROR($C15*INDEX(Settings!$C$22:$AC$27,MATCH($B15,Settings!$A$22:$A$27,0),11),0))</f>
        <v/>
      </c>
      <c r="O15" s="38">
        <f>IF(OR($B15="",$B15="Land",$C15=""),"",IFERROR($C15*INDEX(Settings!$C$22:$AC$27,MATCH($B15,Settings!$A$22:$A$27,0),12),0))</f>
        <v/>
      </c>
      <c r="P15" s="38">
        <f>IF(OR($B15="",$B15="Land",$C15=""),"",IFERROR($C15*INDEX(Settings!$C$22:$AC$27,MATCH($B15,Settings!$A$22:$A$27,0),13),0))</f>
        <v/>
      </c>
      <c r="Q15" s="38">
        <f>IF(OR($B15="",$B15="Land",$C15=""),"",IFERROR($C15*INDEX(Settings!$C$22:$AC$27,MATCH($B15,Settings!$A$22:$A$27,0),14),0))</f>
        <v/>
      </c>
      <c r="R15" s="38">
        <f>IF(OR($B15="",$B15="Land",$C15=""),"",IFERROR($C15*INDEX(Settings!$C$22:$AC$27,MATCH($B15,Settings!$A$22:$A$27,0),15),0))</f>
        <v/>
      </c>
      <c r="S15" s="38">
        <f>IF(OR($B15="",$B15="Land",$C15=""),"",IFERROR($C15*INDEX(Settings!$C$22:$AC$27,MATCH($B15,Settings!$A$22:$A$27,0),16),0))</f>
        <v/>
      </c>
      <c r="T15" s="38">
        <f>IF(OR($B15="",$B15="Land",$C15=""),"",IFERROR($C15*INDEX(Settings!$C$22:$AC$27,MATCH($B15,Settings!$A$22:$A$27,0),17),0))</f>
        <v/>
      </c>
      <c r="U15" s="38">
        <f>IF(OR($B15="",$B15="Land",$C15=""),"",IFERROR($C15*INDEX(Settings!$C$22:$AC$27,MATCH($B15,Settings!$A$22:$A$27,0),18),0))</f>
        <v/>
      </c>
      <c r="V15" s="38">
        <f>IF(OR($B15="",$B15="Land",$C15=""),"",IFERROR($C15*INDEX(Settings!$C$22:$AC$27,MATCH($B15,Settings!$A$22:$A$27,0),19),0))</f>
        <v/>
      </c>
      <c r="W15" s="38">
        <f>IF(OR($B15="",$B15="Land",$C15=""),"",IFERROR($C15*INDEX(Settings!$C$22:$AC$27,MATCH($B15,Settings!$A$22:$A$27,0),20),0))</f>
        <v/>
      </c>
      <c r="X15" s="38">
        <f>IF(OR($B15="",$B15="Land",$C15=""),"",IFERROR($C15*INDEX(Settings!$C$22:$AC$27,MATCH($B15,Settings!$A$22:$A$27,0),21),0))</f>
        <v/>
      </c>
      <c r="Y15" s="38">
        <f>IF(OR($B15="",$B15="Land",$C15=""),"",IFERROR($C15*INDEX(Settings!$C$22:$AC$27,MATCH($B15,Settings!$A$22:$A$27,0),22),0))</f>
        <v/>
      </c>
      <c r="Z15" s="38">
        <f>IF(OR($B15="",$B15="Land",$C15=""),"",IFERROR($C15*INDEX(Settings!$C$22:$AC$27,MATCH($B15,Settings!$A$22:$A$27,0),23),0))</f>
        <v/>
      </c>
      <c r="AA15" s="38">
        <f>IF(OR($B15="",$B15="Land",$C15=""),"",IFERROR($C15*INDEX(Settings!$C$22:$AC$27,MATCH($B15,Settings!$A$22:$A$27,0),24),0))</f>
        <v/>
      </c>
      <c r="AB15" s="38">
        <f>IF(OR($B15="",$B15="Land",$C15=""),"",IFERROR($C15*INDEX(Settings!$C$22:$AC$27,MATCH($B15,Settings!$A$22:$A$27,0),25),0))</f>
        <v/>
      </c>
      <c r="AC15" s="38">
        <f>IF(OR($B15="",$B15="Land",$C15=""),"",IFERROR($C15*INDEX(Settings!$C$22:$AC$27,MATCH($B15,Settings!$A$22:$A$27,0),26),0))</f>
        <v/>
      </c>
      <c r="AD15" s="38">
        <f>IF(OR($B15="",$B15="Land",$C15=""),"",IFERROR($C15*INDEX(Settings!$C$22:$AC$27,MATCH($B15,Settings!$A$22:$A$27,0),27),0))</f>
        <v/>
      </c>
    </row>
    <row r="16" ht="16" customHeight="1">
      <c r="A16" s="37">
        <f>'Asset Register'!A16</f>
        <v/>
      </c>
      <c r="B16" s="34">
        <f>'Asset Register'!E16</f>
        <v/>
      </c>
      <c r="C16" s="33">
        <f>'Asset Register'!J16</f>
        <v/>
      </c>
      <c r="D16" s="38">
        <f>IF(OR($B16="",$B16="Land",$C16=""),"",IFERROR($C16*INDEX(Settings!$C$22:$AC$27,MATCH($B16,Settings!$A$22:$A$27,0),1),0))</f>
        <v/>
      </c>
      <c r="E16" s="38">
        <f>IF(OR($B16="",$B16="Land",$C16=""),"",IFERROR($C16*INDEX(Settings!$C$22:$AC$27,MATCH($B16,Settings!$A$22:$A$27,0),2),0))</f>
        <v/>
      </c>
      <c r="F16" s="38">
        <f>IF(OR($B16="",$B16="Land",$C16=""),"",IFERROR($C16*INDEX(Settings!$C$22:$AC$27,MATCH($B16,Settings!$A$22:$A$27,0),3),0))</f>
        <v/>
      </c>
      <c r="G16" s="38">
        <f>IF(OR($B16="",$B16="Land",$C16=""),"",IFERROR($C16*INDEX(Settings!$C$22:$AC$27,MATCH($B16,Settings!$A$22:$A$27,0),4),0))</f>
        <v/>
      </c>
      <c r="H16" s="38">
        <f>IF(OR($B16="",$B16="Land",$C16=""),"",IFERROR($C16*INDEX(Settings!$C$22:$AC$27,MATCH($B16,Settings!$A$22:$A$27,0),5),0))</f>
        <v/>
      </c>
      <c r="I16" s="38">
        <f>IF(OR($B16="",$B16="Land",$C16=""),"",IFERROR($C16*INDEX(Settings!$C$22:$AC$27,MATCH($B16,Settings!$A$22:$A$27,0),6),0))</f>
        <v/>
      </c>
      <c r="J16" s="38">
        <f>IF(OR($B16="",$B16="Land",$C16=""),"",IFERROR($C16*INDEX(Settings!$C$22:$AC$27,MATCH($B16,Settings!$A$22:$A$27,0),7),0))</f>
        <v/>
      </c>
      <c r="K16" s="38">
        <f>IF(OR($B16="",$B16="Land",$C16=""),"",IFERROR($C16*INDEX(Settings!$C$22:$AC$27,MATCH($B16,Settings!$A$22:$A$27,0),8),0))</f>
        <v/>
      </c>
      <c r="L16" s="38">
        <f>IF(OR($B16="",$B16="Land",$C16=""),"",IFERROR($C16*INDEX(Settings!$C$22:$AC$27,MATCH($B16,Settings!$A$22:$A$27,0),9),0))</f>
        <v/>
      </c>
      <c r="M16" s="38">
        <f>IF(OR($B16="",$B16="Land",$C16=""),"",IFERROR($C16*INDEX(Settings!$C$22:$AC$27,MATCH($B16,Settings!$A$22:$A$27,0),10),0))</f>
        <v/>
      </c>
      <c r="N16" s="38">
        <f>IF(OR($B16="",$B16="Land",$C16=""),"",IFERROR($C16*INDEX(Settings!$C$22:$AC$27,MATCH($B16,Settings!$A$22:$A$27,0),11),0))</f>
        <v/>
      </c>
      <c r="O16" s="38">
        <f>IF(OR($B16="",$B16="Land",$C16=""),"",IFERROR($C16*INDEX(Settings!$C$22:$AC$27,MATCH($B16,Settings!$A$22:$A$27,0),12),0))</f>
        <v/>
      </c>
      <c r="P16" s="38">
        <f>IF(OR($B16="",$B16="Land",$C16=""),"",IFERROR($C16*INDEX(Settings!$C$22:$AC$27,MATCH($B16,Settings!$A$22:$A$27,0),13),0))</f>
        <v/>
      </c>
      <c r="Q16" s="38">
        <f>IF(OR($B16="",$B16="Land",$C16=""),"",IFERROR($C16*INDEX(Settings!$C$22:$AC$27,MATCH($B16,Settings!$A$22:$A$27,0),14),0))</f>
        <v/>
      </c>
      <c r="R16" s="38">
        <f>IF(OR($B16="",$B16="Land",$C16=""),"",IFERROR($C16*INDEX(Settings!$C$22:$AC$27,MATCH($B16,Settings!$A$22:$A$27,0),15),0))</f>
        <v/>
      </c>
      <c r="S16" s="38">
        <f>IF(OR($B16="",$B16="Land",$C16=""),"",IFERROR($C16*INDEX(Settings!$C$22:$AC$27,MATCH($B16,Settings!$A$22:$A$27,0),16),0))</f>
        <v/>
      </c>
      <c r="T16" s="38">
        <f>IF(OR($B16="",$B16="Land",$C16=""),"",IFERROR($C16*INDEX(Settings!$C$22:$AC$27,MATCH($B16,Settings!$A$22:$A$27,0),17),0))</f>
        <v/>
      </c>
      <c r="U16" s="38">
        <f>IF(OR($B16="",$B16="Land",$C16=""),"",IFERROR($C16*INDEX(Settings!$C$22:$AC$27,MATCH($B16,Settings!$A$22:$A$27,0),18),0))</f>
        <v/>
      </c>
      <c r="V16" s="38">
        <f>IF(OR($B16="",$B16="Land",$C16=""),"",IFERROR($C16*INDEX(Settings!$C$22:$AC$27,MATCH($B16,Settings!$A$22:$A$27,0),19),0))</f>
        <v/>
      </c>
      <c r="W16" s="38">
        <f>IF(OR($B16="",$B16="Land",$C16=""),"",IFERROR($C16*INDEX(Settings!$C$22:$AC$27,MATCH($B16,Settings!$A$22:$A$27,0),20),0))</f>
        <v/>
      </c>
      <c r="X16" s="38">
        <f>IF(OR($B16="",$B16="Land",$C16=""),"",IFERROR($C16*INDEX(Settings!$C$22:$AC$27,MATCH($B16,Settings!$A$22:$A$27,0),21),0))</f>
        <v/>
      </c>
      <c r="Y16" s="38">
        <f>IF(OR($B16="",$B16="Land",$C16=""),"",IFERROR($C16*INDEX(Settings!$C$22:$AC$27,MATCH($B16,Settings!$A$22:$A$27,0),22),0))</f>
        <v/>
      </c>
      <c r="Z16" s="38">
        <f>IF(OR($B16="",$B16="Land",$C16=""),"",IFERROR($C16*INDEX(Settings!$C$22:$AC$27,MATCH($B16,Settings!$A$22:$A$27,0),23),0))</f>
        <v/>
      </c>
      <c r="AA16" s="38">
        <f>IF(OR($B16="",$B16="Land",$C16=""),"",IFERROR($C16*INDEX(Settings!$C$22:$AC$27,MATCH($B16,Settings!$A$22:$A$27,0),24),0))</f>
        <v/>
      </c>
      <c r="AB16" s="38">
        <f>IF(OR($B16="",$B16="Land",$C16=""),"",IFERROR($C16*INDEX(Settings!$C$22:$AC$27,MATCH($B16,Settings!$A$22:$A$27,0),25),0))</f>
        <v/>
      </c>
      <c r="AC16" s="38">
        <f>IF(OR($B16="",$B16="Land",$C16=""),"",IFERROR($C16*INDEX(Settings!$C$22:$AC$27,MATCH($B16,Settings!$A$22:$A$27,0),26),0))</f>
        <v/>
      </c>
      <c r="AD16" s="38">
        <f>IF(OR($B16="",$B16="Land",$C16=""),"",IFERROR($C16*INDEX(Settings!$C$22:$AC$27,MATCH($B16,Settings!$A$22:$A$27,0),27),0))</f>
        <v/>
      </c>
    </row>
    <row r="17" ht="16" customHeight="1">
      <c r="A17" s="37">
        <f>'Asset Register'!A17</f>
        <v/>
      </c>
      <c r="B17" s="34">
        <f>'Asset Register'!E17</f>
        <v/>
      </c>
      <c r="C17" s="33">
        <f>'Asset Register'!J17</f>
        <v/>
      </c>
      <c r="D17" s="38">
        <f>IF(OR($B17="",$B17="Land",$C17=""),"",IFERROR($C17*INDEX(Settings!$C$22:$AC$27,MATCH($B17,Settings!$A$22:$A$27,0),1),0))</f>
        <v/>
      </c>
      <c r="E17" s="38">
        <f>IF(OR($B17="",$B17="Land",$C17=""),"",IFERROR($C17*INDEX(Settings!$C$22:$AC$27,MATCH($B17,Settings!$A$22:$A$27,0),2),0))</f>
        <v/>
      </c>
      <c r="F17" s="38">
        <f>IF(OR($B17="",$B17="Land",$C17=""),"",IFERROR($C17*INDEX(Settings!$C$22:$AC$27,MATCH($B17,Settings!$A$22:$A$27,0),3),0))</f>
        <v/>
      </c>
      <c r="G17" s="38">
        <f>IF(OR($B17="",$B17="Land",$C17=""),"",IFERROR($C17*INDEX(Settings!$C$22:$AC$27,MATCH($B17,Settings!$A$22:$A$27,0),4),0))</f>
        <v/>
      </c>
      <c r="H17" s="38">
        <f>IF(OR($B17="",$B17="Land",$C17=""),"",IFERROR($C17*INDEX(Settings!$C$22:$AC$27,MATCH($B17,Settings!$A$22:$A$27,0),5),0))</f>
        <v/>
      </c>
      <c r="I17" s="38">
        <f>IF(OR($B17="",$B17="Land",$C17=""),"",IFERROR($C17*INDEX(Settings!$C$22:$AC$27,MATCH($B17,Settings!$A$22:$A$27,0),6),0))</f>
        <v/>
      </c>
      <c r="J17" s="38">
        <f>IF(OR($B17="",$B17="Land",$C17=""),"",IFERROR($C17*INDEX(Settings!$C$22:$AC$27,MATCH($B17,Settings!$A$22:$A$27,0),7),0))</f>
        <v/>
      </c>
      <c r="K17" s="38">
        <f>IF(OR($B17="",$B17="Land",$C17=""),"",IFERROR($C17*INDEX(Settings!$C$22:$AC$27,MATCH($B17,Settings!$A$22:$A$27,0),8),0))</f>
        <v/>
      </c>
      <c r="L17" s="38">
        <f>IF(OR($B17="",$B17="Land",$C17=""),"",IFERROR($C17*INDEX(Settings!$C$22:$AC$27,MATCH($B17,Settings!$A$22:$A$27,0),9),0))</f>
        <v/>
      </c>
      <c r="M17" s="38">
        <f>IF(OR($B17="",$B17="Land",$C17=""),"",IFERROR($C17*INDEX(Settings!$C$22:$AC$27,MATCH($B17,Settings!$A$22:$A$27,0),10),0))</f>
        <v/>
      </c>
      <c r="N17" s="38">
        <f>IF(OR($B17="",$B17="Land",$C17=""),"",IFERROR($C17*INDEX(Settings!$C$22:$AC$27,MATCH($B17,Settings!$A$22:$A$27,0),11),0))</f>
        <v/>
      </c>
      <c r="O17" s="38">
        <f>IF(OR($B17="",$B17="Land",$C17=""),"",IFERROR($C17*INDEX(Settings!$C$22:$AC$27,MATCH($B17,Settings!$A$22:$A$27,0),12),0))</f>
        <v/>
      </c>
      <c r="P17" s="38">
        <f>IF(OR($B17="",$B17="Land",$C17=""),"",IFERROR($C17*INDEX(Settings!$C$22:$AC$27,MATCH($B17,Settings!$A$22:$A$27,0),13),0))</f>
        <v/>
      </c>
      <c r="Q17" s="38">
        <f>IF(OR($B17="",$B17="Land",$C17=""),"",IFERROR($C17*INDEX(Settings!$C$22:$AC$27,MATCH($B17,Settings!$A$22:$A$27,0),14),0))</f>
        <v/>
      </c>
      <c r="R17" s="38">
        <f>IF(OR($B17="",$B17="Land",$C17=""),"",IFERROR($C17*INDEX(Settings!$C$22:$AC$27,MATCH($B17,Settings!$A$22:$A$27,0),15),0))</f>
        <v/>
      </c>
      <c r="S17" s="38">
        <f>IF(OR($B17="",$B17="Land",$C17=""),"",IFERROR($C17*INDEX(Settings!$C$22:$AC$27,MATCH($B17,Settings!$A$22:$A$27,0),16),0))</f>
        <v/>
      </c>
      <c r="T17" s="38">
        <f>IF(OR($B17="",$B17="Land",$C17=""),"",IFERROR($C17*INDEX(Settings!$C$22:$AC$27,MATCH($B17,Settings!$A$22:$A$27,0),17),0))</f>
        <v/>
      </c>
      <c r="U17" s="38">
        <f>IF(OR($B17="",$B17="Land",$C17=""),"",IFERROR($C17*INDEX(Settings!$C$22:$AC$27,MATCH($B17,Settings!$A$22:$A$27,0),18),0))</f>
        <v/>
      </c>
      <c r="V17" s="38">
        <f>IF(OR($B17="",$B17="Land",$C17=""),"",IFERROR($C17*INDEX(Settings!$C$22:$AC$27,MATCH($B17,Settings!$A$22:$A$27,0),19),0))</f>
        <v/>
      </c>
      <c r="W17" s="38">
        <f>IF(OR($B17="",$B17="Land",$C17=""),"",IFERROR($C17*INDEX(Settings!$C$22:$AC$27,MATCH($B17,Settings!$A$22:$A$27,0),20),0))</f>
        <v/>
      </c>
      <c r="X17" s="38">
        <f>IF(OR($B17="",$B17="Land",$C17=""),"",IFERROR($C17*INDEX(Settings!$C$22:$AC$27,MATCH($B17,Settings!$A$22:$A$27,0),21),0))</f>
        <v/>
      </c>
      <c r="Y17" s="38">
        <f>IF(OR($B17="",$B17="Land",$C17=""),"",IFERROR($C17*INDEX(Settings!$C$22:$AC$27,MATCH($B17,Settings!$A$22:$A$27,0),22),0))</f>
        <v/>
      </c>
      <c r="Z17" s="38">
        <f>IF(OR($B17="",$B17="Land",$C17=""),"",IFERROR($C17*INDEX(Settings!$C$22:$AC$27,MATCH($B17,Settings!$A$22:$A$27,0),23),0))</f>
        <v/>
      </c>
      <c r="AA17" s="38">
        <f>IF(OR($B17="",$B17="Land",$C17=""),"",IFERROR($C17*INDEX(Settings!$C$22:$AC$27,MATCH($B17,Settings!$A$22:$A$27,0),24),0))</f>
        <v/>
      </c>
      <c r="AB17" s="38">
        <f>IF(OR($B17="",$B17="Land",$C17=""),"",IFERROR($C17*INDEX(Settings!$C$22:$AC$27,MATCH($B17,Settings!$A$22:$A$27,0),25),0))</f>
        <v/>
      </c>
      <c r="AC17" s="38">
        <f>IF(OR($B17="",$B17="Land",$C17=""),"",IFERROR($C17*INDEX(Settings!$C$22:$AC$27,MATCH($B17,Settings!$A$22:$A$27,0),26),0))</f>
        <v/>
      </c>
      <c r="AD17" s="38">
        <f>IF(OR($B17="",$B17="Land",$C17=""),"",IFERROR($C17*INDEX(Settings!$C$22:$AC$27,MATCH($B17,Settings!$A$22:$A$27,0),27),0))</f>
        <v/>
      </c>
    </row>
    <row r="18" ht="16" customHeight="1">
      <c r="A18" s="37">
        <f>'Asset Register'!A18</f>
        <v/>
      </c>
      <c r="B18" s="34">
        <f>'Asset Register'!E18</f>
        <v/>
      </c>
      <c r="C18" s="33">
        <f>'Asset Register'!J18</f>
        <v/>
      </c>
      <c r="D18" s="38">
        <f>IF(OR($B18="",$B18="Land",$C18=""),"",IFERROR($C18*INDEX(Settings!$C$22:$AC$27,MATCH($B18,Settings!$A$22:$A$27,0),1),0))</f>
        <v/>
      </c>
      <c r="E18" s="38">
        <f>IF(OR($B18="",$B18="Land",$C18=""),"",IFERROR($C18*INDEX(Settings!$C$22:$AC$27,MATCH($B18,Settings!$A$22:$A$27,0),2),0))</f>
        <v/>
      </c>
      <c r="F18" s="38">
        <f>IF(OR($B18="",$B18="Land",$C18=""),"",IFERROR($C18*INDEX(Settings!$C$22:$AC$27,MATCH($B18,Settings!$A$22:$A$27,0),3),0))</f>
        <v/>
      </c>
      <c r="G18" s="38">
        <f>IF(OR($B18="",$B18="Land",$C18=""),"",IFERROR($C18*INDEX(Settings!$C$22:$AC$27,MATCH($B18,Settings!$A$22:$A$27,0),4),0))</f>
        <v/>
      </c>
      <c r="H18" s="38">
        <f>IF(OR($B18="",$B18="Land",$C18=""),"",IFERROR($C18*INDEX(Settings!$C$22:$AC$27,MATCH($B18,Settings!$A$22:$A$27,0),5),0))</f>
        <v/>
      </c>
      <c r="I18" s="38">
        <f>IF(OR($B18="",$B18="Land",$C18=""),"",IFERROR($C18*INDEX(Settings!$C$22:$AC$27,MATCH($B18,Settings!$A$22:$A$27,0),6),0))</f>
        <v/>
      </c>
      <c r="J18" s="38">
        <f>IF(OR($B18="",$B18="Land",$C18=""),"",IFERROR($C18*INDEX(Settings!$C$22:$AC$27,MATCH($B18,Settings!$A$22:$A$27,0),7),0))</f>
        <v/>
      </c>
      <c r="K18" s="38">
        <f>IF(OR($B18="",$B18="Land",$C18=""),"",IFERROR($C18*INDEX(Settings!$C$22:$AC$27,MATCH($B18,Settings!$A$22:$A$27,0),8),0))</f>
        <v/>
      </c>
      <c r="L18" s="38">
        <f>IF(OR($B18="",$B18="Land",$C18=""),"",IFERROR($C18*INDEX(Settings!$C$22:$AC$27,MATCH($B18,Settings!$A$22:$A$27,0),9),0))</f>
        <v/>
      </c>
      <c r="M18" s="38">
        <f>IF(OR($B18="",$B18="Land",$C18=""),"",IFERROR($C18*INDEX(Settings!$C$22:$AC$27,MATCH($B18,Settings!$A$22:$A$27,0),10),0))</f>
        <v/>
      </c>
      <c r="N18" s="38">
        <f>IF(OR($B18="",$B18="Land",$C18=""),"",IFERROR($C18*INDEX(Settings!$C$22:$AC$27,MATCH($B18,Settings!$A$22:$A$27,0),11),0))</f>
        <v/>
      </c>
      <c r="O18" s="38">
        <f>IF(OR($B18="",$B18="Land",$C18=""),"",IFERROR($C18*INDEX(Settings!$C$22:$AC$27,MATCH($B18,Settings!$A$22:$A$27,0),12),0))</f>
        <v/>
      </c>
      <c r="P18" s="38">
        <f>IF(OR($B18="",$B18="Land",$C18=""),"",IFERROR($C18*INDEX(Settings!$C$22:$AC$27,MATCH($B18,Settings!$A$22:$A$27,0),13),0))</f>
        <v/>
      </c>
      <c r="Q18" s="38">
        <f>IF(OR($B18="",$B18="Land",$C18=""),"",IFERROR($C18*INDEX(Settings!$C$22:$AC$27,MATCH($B18,Settings!$A$22:$A$27,0),14),0))</f>
        <v/>
      </c>
      <c r="R18" s="38">
        <f>IF(OR($B18="",$B18="Land",$C18=""),"",IFERROR($C18*INDEX(Settings!$C$22:$AC$27,MATCH($B18,Settings!$A$22:$A$27,0),15),0))</f>
        <v/>
      </c>
      <c r="S18" s="38">
        <f>IF(OR($B18="",$B18="Land",$C18=""),"",IFERROR($C18*INDEX(Settings!$C$22:$AC$27,MATCH($B18,Settings!$A$22:$A$27,0),16),0))</f>
        <v/>
      </c>
      <c r="T18" s="38">
        <f>IF(OR($B18="",$B18="Land",$C18=""),"",IFERROR($C18*INDEX(Settings!$C$22:$AC$27,MATCH($B18,Settings!$A$22:$A$27,0),17),0))</f>
        <v/>
      </c>
      <c r="U18" s="38">
        <f>IF(OR($B18="",$B18="Land",$C18=""),"",IFERROR($C18*INDEX(Settings!$C$22:$AC$27,MATCH($B18,Settings!$A$22:$A$27,0),18),0))</f>
        <v/>
      </c>
      <c r="V18" s="38">
        <f>IF(OR($B18="",$B18="Land",$C18=""),"",IFERROR($C18*INDEX(Settings!$C$22:$AC$27,MATCH($B18,Settings!$A$22:$A$27,0),19),0))</f>
        <v/>
      </c>
      <c r="W18" s="38">
        <f>IF(OR($B18="",$B18="Land",$C18=""),"",IFERROR($C18*INDEX(Settings!$C$22:$AC$27,MATCH($B18,Settings!$A$22:$A$27,0),20),0))</f>
        <v/>
      </c>
      <c r="X18" s="38">
        <f>IF(OR($B18="",$B18="Land",$C18=""),"",IFERROR($C18*INDEX(Settings!$C$22:$AC$27,MATCH($B18,Settings!$A$22:$A$27,0),21),0))</f>
        <v/>
      </c>
      <c r="Y18" s="38">
        <f>IF(OR($B18="",$B18="Land",$C18=""),"",IFERROR($C18*INDEX(Settings!$C$22:$AC$27,MATCH($B18,Settings!$A$22:$A$27,0),22),0))</f>
        <v/>
      </c>
      <c r="Z18" s="38">
        <f>IF(OR($B18="",$B18="Land",$C18=""),"",IFERROR($C18*INDEX(Settings!$C$22:$AC$27,MATCH($B18,Settings!$A$22:$A$27,0),23),0))</f>
        <v/>
      </c>
      <c r="AA18" s="38">
        <f>IF(OR($B18="",$B18="Land",$C18=""),"",IFERROR($C18*INDEX(Settings!$C$22:$AC$27,MATCH($B18,Settings!$A$22:$A$27,0),24),0))</f>
        <v/>
      </c>
      <c r="AB18" s="38">
        <f>IF(OR($B18="",$B18="Land",$C18=""),"",IFERROR($C18*INDEX(Settings!$C$22:$AC$27,MATCH($B18,Settings!$A$22:$A$27,0),25),0))</f>
        <v/>
      </c>
      <c r="AC18" s="38">
        <f>IF(OR($B18="",$B18="Land",$C18=""),"",IFERROR($C18*INDEX(Settings!$C$22:$AC$27,MATCH($B18,Settings!$A$22:$A$27,0),26),0))</f>
        <v/>
      </c>
      <c r="AD18" s="38">
        <f>IF(OR($B18="",$B18="Land",$C18=""),"",IFERROR($C18*INDEX(Settings!$C$22:$AC$27,MATCH($B18,Settings!$A$22:$A$27,0),27),0))</f>
        <v/>
      </c>
    </row>
    <row r="19" ht="16" customHeight="1">
      <c r="A19" s="37">
        <f>'Asset Register'!A19</f>
        <v/>
      </c>
      <c r="B19" s="34">
        <f>'Asset Register'!E19</f>
        <v/>
      </c>
      <c r="C19" s="33">
        <f>'Asset Register'!J19</f>
        <v/>
      </c>
      <c r="D19" s="38">
        <f>IF(OR($B19="",$B19="Land",$C19=""),"",IFERROR($C19*INDEX(Settings!$C$22:$AC$27,MATCH($B19,Settings!$A$22:$A$27,0),1),0))</f>
        <v/>
      </c>
      <c r="E19" s="38">
        <f>IF(OR($B19="",$B19="Land",$C19=""),"",IFERROR($C19*INDEX(Settings!$C$22:$AC$27,MATCH($B19,Settings!$A$22:$A$27,0),2),0))</f>
        <v/>
      </c>
      <c r="F19" s="38">
        <f>IF(OR($B19="",$B19="Land",$C19=""),"",IFERROR($C19*INDEX(Settings!$C$22:$AC$27,MATCH($B19,Settings!$A$22:$A$27,0),3),0))</f>
        <v/>
      </c>
      <c r="G19" s="38">
        <f>IF(OR($B19="",$B19="Land",$C19=""),"",IFERROR($C19*INDEX(Settings!$C$22:$AC$27,MATCH($B19,Settings!$A$22:$A$27,0),4),0))</f>
        <v/>
      </c>
      <c r="H19" s="38">
        <f>IF(OR($B19="",$B19="Land",$C19=""),"",IFERROR($C19*INDEX(Settings!$C$22:$AC$27,MATCH($B19,Settings!$A$22:$A$27,0),5),0))</f>
        <v/>
      </c>
      <c r="I19" s="38">
        <f>IF(OR($B19="",$B19="Land",$C19=""),"",IFERROR($C19*INDEX(Settings!$C$22:$AC$27,MATCH($B19,Settings!$A$22:$A$27,0),6),0))</f>
        <v/>
      </c>
      <c r="J19" s="38">
        <f>IF(OR($B19="",$B19="Land",$C19=""),"",IFERROR($C19*INDEX(Settings!$C$22:$AC$27,MATCH($B19,Settings!$A$22:$A$27,0),7),0))</f>
        <v/>
      </c>
      <c r="K19" s="38">
        <f>IF(OR($B19="",$B19="Land",$C19=""),"",IFERROR($C19*INDEX(Settings!$C$22:$AC$27,MATCH($B19,Settings!$A$22:$A$27,0),8),0))</f>
        <v/>
      </c>
      <c r="L19" s="38">
        <f>IF(OR($B19="",$B19="Land",$C19=""),"",IFERROR($C19*INDEX(Settings!$C$22:$AC$27,MATCH($B19,Settings!$A$22:$A$27,0),9),0))</f>
        <v/>
      </c>
      <c r="M19" s="38">
        <f>IF(OR($B19="",$B19="Land",$C19=""),"",IFERROR($C19*INDEX(Settings!$C$22:$AC$27,MATCH($B19,Settings!$A$22:$A$27,0),10),0))</f>
        <v/>
      </c>
      <c r="N19" s="38">
        <f>IF(OR($B19="",$B19="Land",$C19=""),"",IFERROR($C19*INDEX(Settings!$C$22:$AC$27,MATCH($B19,Settings!$A$22:$A$27,0),11),0))</f>
        <v/>
      </c>
      <c r="O19" s="38">
        <f>IF(OR($B19="",$B19="Land",$C19=""),"",IFERROR($C19*INDEX(Settings!$C$22:$AC$27,MATCH($B19,Settings!$A$22:$A$27,0),12),0))</f>
        <v/>
      </c>
      <c r="P19" s="38">
        <f>IF(OR($B19="",$B19="Land",$C19=""),"",IFERROR($C19*INDEX(Settings!$C$22:$AC$27,MATCH($B19,Settings!$A$22:$A$27,0),13),0))</f>
        <v/>
      </c>
      <c r="Q19" s="38">
        <f>IF(OR($B19="",$B19="Land",$C19=""),"",IFERROR($C19*INDEX(Settings!$C$22:$AC$27,MATCH($B19,Settings!$A$22:$A$27,0),14),0))</f>
        <v/>
      </c>
      <c r="R19" s="38">
        <f>IF(OR($B19="",$B19="Land",$C19=""),"",IFERROR($C19*INDEX(Settings!$C$22:$AC$27,MATCH($B19,Settings!$A$22:$A$27,0),15),0))</f>
        <v/>
      </c>
      <c r="S19" s="38">
        <f>IF(OR($B19="",$B19="Land",$C19=""),"",IFERROR($C19*INDEX(Settings!$C$22:$AC$27,MATCH($B19,Settings!$A$22:$A$27,0),16),0))</f>
        <v/>
      </c>
      <c r="T19" s="38">
        <f>IF(OR($B19="",$B19="Land",$C19=""),"",IFERROR($C19*INDEX(Settings!$C$22:$AC$27,MATCH($B19,Settings!$A$22:$A$27,0),17),0))</f>
        <v/>
      </c>
      <c r="U19" s="38">
        <f>IF(OR($B19="",$B19="Land",$C19=""),"",IFERROR($C19*INDEX(Settings!$C$22:$AC$27,MATCH($B19,Settings!$A$22:$A$27,0),18),0))</f>
        <v/>
      </c>
      <c r="V19" s="38">
        <f>IF(OR($B19="",$B19="Land",$C19=""),"",IFERROR($C19*INDEX(Settings!$C$22:$AC$27,MATCH($B19,Settings!$A$22:$A$27,0),19),0))</f>
        <v/>
      </c>
      <c r="W19" s="38">
        <f>IF(OR($B19="",$B19="Land",$C19=""),"",IFERROR($C19*INDEX(Settings!$C$22:$AC$27,MATCH($B19,Settings!$A$22:$A$27,0),20),0))</f>
        <v/>
      </c>
      <c r="X19" s="38">
        <f>IF(OR($B19="",$B19="Land",$C19=""),"",IFERROR($C19*INDEX(Settings!$C$22:$AC$27,MATCH($B19,Settings!$A$22:$A$27,0),21),0))</f>
        <v/>
      </c>
      <c r="Y19" s="38">
        <f>IF(OR($B19="",$B19="Land",$C19=""),"",IFERROR($C19*INDEX(Settings!$C$22:$AC$27,MATCH($B19,Settings!$A$22:$A$27,0),22),0))</f>
        <v/>
      </c>
      <c r="Z19" s="38">
        <f>IF(OR($B19="",$B19="Land",$C19=""),"",IFERROR($C19*INDEX(Settings!$C$22:$AC$27,MATCH($B19,Settings!$A$22:$A$27,0),23),0))</f>
        <v/>
      </c>
      <c r="AA19" s="38">
        <f>IF(OR($B19="",$B19="Land",$C19=""),"",IFERROR($C19*INDEX(Settings!$C$22:$AC$27,MATCH($B19,Settings!$A$22:$A$27,0),24),0))</f>
        <v/>
      </c>
      <c r="AB19" s="38">
        <f>IF(OR($B19="",$B19="Land",$C19=""),"",IFERROR($C19*INDEX(Settings!$C$22:$AC$27,MATCH($B19,Settings!$A$22:$A$27,0),25),0))</f>
        <v/>
      </c>
      <c r="AC19" s="38">
        <f>IF(OR($B19="",$B19="Land",$C19=""),"",IFERROR($C19*INDEX(Settings!$C$22:$AC$27,MATCH($B19,Settings!$A$22:$A$27,0),26),0))</f>
        <v/>
      </c>
      <c r="AD19" s="38">
        <f>IF(OR($B19="",$B19="Land",$C19=""),"",IFERROR($C19*INDEX(Settings!$C$22:$AC$27,MATCH($B19,Settings!$A$22:$A$27,0),27),0))</f>
        <v/>
      </c>
    </row>
    <row r="20" ht="16" customHeight="1">
      <c r="A20" s="37">
        <f>'Asset Register'!A20</f>
        <v/>
      </c>
      <c r="B20" s="34">
        <f>'Asset Register'!E20</f>
        <v/>
      </c>
      <c r="C20" s="33">
        <f>'Asset Register'!J20</f>
        <v/>
      </c>
      <c r="D20" s="38">
        <f>IF(OR($B20="",$B20="Land",$C20=""),"",IFERROR($C20*INDEX(Settings!$C$22:$AC$27,MATCH($B20,Settings!$A$22:$A$27,0),1),0))</f>
        <v/>
      </c>
      <c r="E20" s="38">
        <f>IF(OR($B20="",$B20="Land",$C20=""),"",IFERROR($C20*INDEX(Settings!$C$22:$AC$27,MATCH($B20,Settings!$A$22:$A$27,0),2),0))</f>
        <v/>
      </c>
      <c r="F20" s="38">
        <f>IF(OR($B20="",$B20="Land",$C20=""),"",IFERROR($C20*INDEX(Settings!$C$22:$AC$27,MATCH($B20,Settings!$A$22:$A$27,0),3),0))</f>
        <v/>
      </c>
      <c r="G20" s="38">
        <f>IF(OR($B20="",$B20="Land",$C20=""),"",IFERROR($C20*INDEX(Settings!$C$22:$AC$27,MATCH($B20,Settings!$A$22:$A$27,0),4),0))</f>
        <v/>
      </c>
      <c r="H20" s="38">
        <f>IF(OR($B20="",$B20="Land",$C20=""),"",IFERROR($C20*INDEX(Settings!$C$22:$AC$27,MATCH($B20,Settings!$A$22:$A$27,0),5),0))</f>
        <v/>
      </c>
      <c r="I20" s="38">
        <f>IF(OR($B20="",$B20="Land",$C20=""),"",IFERROR($C20*INDEX(Settings!$C$22:$AC$27,MATCH($B20,Settings!$A$22:$A$27,0),6),0))</f>
        <v/>
      </c>
      <c r="J20" s="38">
        <f>IF(OR($B20="",$B20="Land",$C20=""),"",IFERROR($C20*INDEX(Settings!$C$22:$AC$27,MATCH($B20,Settings!$A$22:$A$27,0),7),0))</f>
        <v/>
      </c>
      <c r="K20" s="38">
        <f>IF(OR($B20="",$B20="Land",$C20=""),"",IFERROR($C20*INDEX(Settings!$C$22:$AC$27,MATCH($B20,Settings!$A$22:$A$27,0),8),0))</f>
        <v/>
      </c>
      <c r="L20" s="38">
        <f>IF(OR($B20="",$B20="Land",$C20=""),"",IFERROR($C20*INDEX(Settings!$C$22:$AC$27,MATCH($B20,Settings!$A$22:$A$27,0),9),0))</f>
        <v/>
      </c>
      <c r="M20" s="38">
        <f>IF(OR($B20="",$B20="Land",$C20=""),"",IFERROR($C20*INDEX(Settings!$C$22:$AC$27,MATCH($B20,Settings!$A$22:$A$27,0),10),0))</f>
        <v/>
      </c>
      <c r="N20" s="38">
        <f>IF(OR($B20="",$B20="Land",$C20=""),"",IFERROR($C20*INDEX(Settings!$C$22:$AC$27,MATCH($B20,Settings!$A$22:$A$27,0),11),0))</f>
        <v/>
      </c>
      <c r="O20" s="38">
        <f>IF(OR($B20="",$B20="Land",$C20=""),"",IFERROR($C20*INDEX(Settings!$C$22:$AC$27,MATCH($B20,Settings!$A$22:$A$27,0),12),0))</f>
        <v/>
      </c>
      <c r="P20" s="38">
        <f>IF(OR($B20="",$B20="Land",$C20=""),"",IFERROR($C20*INDEX(Settings!$C$22:$AC$27,MATCH($B20,Settings!$A$22:$A$27,0),13),0))</f>
        <v/>
      </c>
      <c r="Q20" s="38">
        <f>IF(OR($B20="",$B20="Land",$C20=""),"",IFERROR($C20*INDEX(Settings!$C$22:$AC$27,MATCH($B20,Settings!$A$22:$A$27,0),14),0))</f>
        <v/>
      </c>
      <c r="R20" s="38">
        <f>IF(OR($B20="",$B20="Land",$C20=""),"",IFERROR($C20*INDEX(Settings!$C$22:$AC$27,MATCH($B20,Settings!$A$22:$A$27,0),15),0))</f>
        <v/>
      </c>
      <c r="S20" s="38">
        <f>IF(OR($B20="",$B20="Land",$C20=""),"",IFERROR($C20*INDEX(Settings!$C$22:$AC$27,MATCH($B20,Settings!$A$22:$A$27,0),16),0))</f>
        <v/>
      </c>
      <c r="T20" s="38">
        <f>IF(OR($B20="",$B20="Land",$C20=""),"",IFERROR($C20*INDEX(Settings!$C$22:$AC$27,MATCH($B20,Settings!$A$22:$A$27,0),17),0))</f>
        <v/>
      </c>
      <c r="U20" s="38">
        <f>IF(OR($B20="",$B20="Land",$C20=""),"",IFERROR($C20*INDEX(Settings!$C$22:$AC$27,MATCH($B20,Settings!$A$22:$A$27,0),18),0))</f>
        <v/>
      </c>
      <c r="V20" s="38">
        <f>IF(OR($B20="",$B20="Land",$C20=""),"",IFERROR($C20*INDEX(Settings!$C$22:$AC$27,MATCH($B20,Settings!$A$22:$A$27,0),19),0))</f>
        <v/>
      </c>
      <c r="W20" s="38">
        <f>IF(OR($B20="",$B20="Land",$C20=""),"",IFERROR($C20*INDEX(Settings!$C$22:$AC$27,MATCH($B20,Settings!$A$22:$A$27,0),20),0))</f>
        <v/>
      </c>
      <c r="X20" s="38">
        <f>IF(OR($B20="",$B20="Land",$C20=""),"",IFERROR($C20*INDEX(Settings!$C$22:$AC$27,MATCH($B20,Settings!$A$22:$A$27,0),21),0))</f>
        <v/>
      </c>
      <c r="Y20" s="38">
        <f>IF(OR($B20="",$B20="Land",$C20=""),"",IFERROR($C20*INDEX(Settings!$C$22:$AC$27,MATCH($B20,Settings!$A$22:$A$27,0),22),0))</f>
        <v/>
      </c>
      <c r="Z20" s="38">
        <f>IF(OR($B20="",$B20="Land",$C20=""),"",IFERROR($C20*INDEX(Settings!$C$22:$AC$27,MATCH($B20,Settings!$A$22:$A$27,0),23),0))</f>
        <v/>
      </c>
      <c r="AA20" s="38">
        <f>IF(OR($B20="",$B20="Land",$C20=""),"",IFERROR($C20*INDEX(Settings!$C$22:$AC$27,MATCH($B20,Settings!$A$22:$A$27,0),24),0))</f>
        <v/>
      </c>
      <c r="AB20" s="38">
        <f>IF(OR($B20="",$B20="Land",$C20=""),"",IFERROR($C20*INDEX(Settings!$C$22:$AC$27,MATCH($B20,Settings!$A$22:$A$27,0),25),0))</f>
        <v/>
      </c>
      <c r="AC20" s="38">
        <f>IF(OR($B20="",$B20="Land",$C20=""),"",IFERROR($C20*INDEX(Settings!$C$22:$AC$27,MATCH($B20,Settings!$A$22:$A$27,0),26),0))</f>
        <v/>
      </c>
      <c r="AD20" s="38">
        <f>IF(OR($B20="",$B20="Land",$C20=""),"",IFERROR($C20*INDEX(Settings!$C$22:$AC$27,MATCH($B20,Settings!$A$22:$A$27,0),27),0))</f>
        <v/>
      </c>
    </row>
    <row r="21" ht="16" customHeight="1">
      <c r="A21" s="37">
        <f>'Asset Register'!A21</f>
        <v/>
      </c>
      <c r="B21" s="34">
        <f>'Asset Register'!E21</f>
        <v/>
      </c>
      <c r="C21" s="33">
        <f>'Asset Register'!J21</f>
        <v/>
      </c>
      <c r="D21" s="38">
        <f>IF(OR($B21="",$B21="Land",$C21=""),"",IFERROR($C21*INDEX(Settings!$C$22:$AC$27,MATCH($B21,Settings!$A$22:$A$27,0),1),0))</f>
        <v/>
      </c>
      <c r="E21" s="38">
        <f>IF(OR($B21="",$B21="Land",$C21=""),"",IFERROR($C21*INDEX(Settings!$C$22:$AC$27,MATCH($B21,Settings!$A$22:$A$27,0),2),0))</f>
        <v/>
      </c>
      <c r="F21" s="38">
        <f>IF(OR($B21="",$B21="Land",$C21=""),"",IFERROR($C21*INDEX(Settings!$C$22:$AC$27,MATCH($B21,Settings!$A$22:$A$27,0),3),0))</f>
        <v/>
      </c>
      <c r="G21" s="38">
        <f>IF(OR($B21="",$B21="Land",$C21=""),"",IFERROR($C21*INDEX(Settings!$C$22:$AC$27,MATCH($B21,Settings!$A$22:$A$27,0),4),0))</f>
        <v/>
      </c>
      <c r="H21" s="38">
        <f>IF(OR($B21="",$B21="Land",$C21=""),"",IFERROR($C21*INDEX(Settings!$C$22:$AC$27,MATCH($B21,Settings!$A$22:$A$27,0),5),0))</f>
        <v/>
      </c>
      <c r="I21" s="38">
        <f>IF(OR($B21="",$B21="Land",$C21=""),"",IFERROR($C21*INDEX(Settings!$C$22:$AC$27,MATCH($B21,Settings!$A$22:$A$27,0),6),0))</f>
        <v/>
      </c>
      <c r="J21" s="38">
        <f>IF(OR($B21="",$B21="Land",$C21=""),"",IFERROR($C21*INDEX(Settings!$C$22:$AC$27,MATCH($B21,Settings!$A$22:$A$27,0),7),0))</f>
        <v/>
      </c>
      <c r="K21" s="38">
        <f>IF(OR($B21="",$B21="Land",$C21=""),"",IFERROR($C21*INDEX(Settings!$C$22:$AC$27,MATCH($B21,Settings!$A$22:$A$27,0),8),0))</f>
        <v/>
      </c>
      <c r="L21" s="38">
        <f>IF(OR($B21="",$B21="Land",$C21=""),"",IFERROR($C21*INDEX(Settings!$C$22:$AC$27,MATCH($B21,Settings!$A$22:$A$27,0),9),0))</f>
        <v/>
      </c>
      <c r="M21" s="38">
        <f>IF(OR($B21="",$B21="Land",$C21=""),"",IFERROR($C21*INDEX(Settings!$C$22:$AC$27,MATCH($B21,Settings!$A$22:$A$27,0),10),0))</f>
        <v/>
      </c>
      <c r="N21" s="38">
        <f>IF(OR($B21="",$B21="Land",$C21=""),"",IFERROR($C21*INDEX(Settings!$C$22:$AC$27,MATCH($B21,Settings!$A$22:$A$27,0),11),0))</f>
        <v/>
      </c>
      <c r="O21" s="38">
        <f>IF(OR($B21="",$B21="Land",$C21=""),"",IFERROR($C21*INDEX(Settings!$C$22:$AC$27,MATCH($B21,Settings!$A$22:$A$27,0),12),0))</f>
        <v/>
      </c>
      <c r="P21" s="38">
        <f>IF(OR($B21="",$B21="Land",$C21=""),"",IFERROR($C21*INDEX(Settings!$C$22:$AC$27,MATCH($B21,Settings!$A$22:$A$27,0),13),0))</f>
        <v/>
      </c>
      <c r="Q21" s="38">
        <f>IF(OR($B21="",$B21="Land",$C21=""),"",IFERROR($C21*INDEX(Settings!$C$22:$AC$27,MATCH($B21,Settings!$A$22:$A$27,0),14),0))</f>
        <v/>
      </c>
      <c r="R21" s="38">
        <f>IF(OR($B21="",$B21="Land",$C21=""),"",IFERROR($C21*INDEX(Settings!$C$22:$AC$27,MATCH($B21,Settings!$A$22:$A$27,0),15),0))</f>
        <v/>
      </c>
      <c r="S21" s="38">
        <f>IF(OR($B21="",$B21="Land",$C21=""),"",IFERROR($C21*INDEX(Settings!$C$22:$AC$27,MATCH($B21,Settings!$A$22:$A$27,0),16),0))</f>
        <v/>
      </c>
      <c r="T21" s="38">
        <f>IF(OR($B21="",$B21="Land",$C21=""),"",IFERROR($C21*INDEX(Settings!$C$22:$AC$27,MATCH($B21,Settings!$A$22:$A$27,0),17),0))</f>
        <v/>
      </c>
      <c r="U21" s="38">
        <f>IF(OR($B21="",$B21="Land",$C21=""),"",IFERROR($C21*INDEX(Settings!$C$22:$AC$27,MATCH($B21,Settings!$A$22:$A$27,0),18),0))</f>
        <v/>
      </c>
      <c r="V21" s="38">
        <f>IF(OR($B21="",$B21="Land",$C21=""),"",IFERROR($C21*INDEX(Settings!$C$22:$AC$27,MATCH($B21,Settings!$A$22:$A$27,0),19),0))</f>
        <v/>
      </c>
      <c r="W21" s="38">
        <f>IF(OR($B21="",$B21="Land",$C21=""),"",IFERROR($C21*INDEX(Settings!$C$22:$AC$27,MATCH($B21,Settings!$A$22:$A$27,0),20),0))</f>
        <v/>
      </c>
      <c r="X21" s="38">
        <f>IF(OR($B21="",$B21="Land",$C21=""),"",IFERROR($C21*INDEX(Settings!$C$22:$AC$27,MATCH($B21,Settings!$A$22:$A$27,0),21),0))</f>
        <v/>
      </c>
      <c r="Y21" s="38">
        <f>IF(OR($B21="",$B21="Land",$C21=""),"",IFERROR($C21*INDEX(Settings!$C$22:$AC$27,MATCH($B21,Settings!$A$22:$A$27,0),22),0))</f>
        <v/>
      </c>
      <c r="Z21" s="38">
        <f>IF(OR($B21="",$B21="Land",$C21=""),"",IFERROR($C21*INDEX(Settings!$C$22:$AC$27,MATCH($B21,Settings!$A$22:$A$27,0),23),0))</f>
        <v/>
      </c>
      <c r="AA21" s="38">
        <f>IF(OR($B21="",$B21="Land",$C21=""),"",IFERROR($C21*INDEX(Settings!$C$22:$AC$27,MATCH($B21,Settings!$A$22:$A$27,0),24),0))</f>
        <v/>
      </c>
      <c r="AB21" s="38">
        <f>IF(OR($B21="",$B21="Land",$C21=""),"",IFERROR($C21*INDEX(Settings!$C$22:$AC$27,MATCH($B21,Settings!$A$22:$A$27,0),25),0))</f>
        <v/>
      </c>
      <c r="AC21" s="38">
        <f>IF(OR($B21="",$B21="Land",$C21=""),"",IFERROR($C21*INDEX(Settings!$C$22:$AC$27,MATCH($B21,Settings!$A$22:$A$27,0),26),0))</f>
        <v/>
      </c>
      <c r="AD21" s="38">
        <f>IF(OR($B21="",$B21="Land",$C21=""),"",IFERROR($C21*INDEX(Settings!$C$22:$AC$27,MATCH($B21,Settings!$A$22:$A$27,0),27),0))</f>
        <v/>
      </c>
    </row>
    <row r="22" ht="16" customHeight="1">
      <c r="A22" s="37">
        <f>'Asset Register'!A22</f>
        <v/>
      </c>
      <c r="B22" s="34">
        <f>'Asset Register'!E22</f>
        <v/>
      </c>
      <c r="C22" s="33">
        <f>'Asset Register'!J22</f>
        <v/>
      </c>
      <c r="D22" s="38">
        <f>IF(OR($B22="",$B22="Land",$C22=""),"",IFERROR($C22*INDEX(Settings!$C$22:$AC$27,MATCH($B22,Settings!$A$22:$A$27,0),1),0))</f>
        <v/>
      </c>
      <c r="E22" s="38">
        <f>IF(OR($B22="",$B22="Land",$C22=""),"",IFERROR($C22*INDEX(Settings!$C$22:$AC$27,MATCH($B22,Settings!$A$22:$A$27,0),2),0))</f>
        <v/>
      </c>
      <c r="F22" s="38">
        <f>IF(OR($B22="",$B22="Land",$C22=""),"",IFERROR($C22*INDEX(Settings!$C$22:$AC$27,MATCH($B22,Settings!$A$22:$A$27,0),3),0))</f>
        <v/>
      </c>
      <c r="G22" s="38">
        <f>IF(OR($B22="",$B22="Land",$C22=""),"",IFERROR($C22*INDEX(Settings!$C$22:$AC$27,MATCH($B22,Settings!$A$22:$A$27,0),4),0))</f>
        <v/>
      </c>
      <c r="H22" s="38">
        <f>IF(OR($B22="",$B22="Land",$C22=""),"",IFERROR($C22*INDEX(Settings!$C$22:$AC$27,MATCH($B22,Settings!$A$22:$A$27,0),5),0))</f>
        <v/>
      </c>
      <c r="I22" s="38">
        <f>IF(OR($B22="",$B22="Land",$C22=""),"",IFERROR($C22*INDEX(Settings!$C$22:$AC$27,MATCH($B22,Settings!$A$22:$A$27,0),6),0))</f>
        <v/>
      </c>
      <c r="J22" s="38">
        <f>IF(OR($B22="",$B22="Land",$C22=""),"",IFERROR($C22*INDEX(Settings!$C$22:$AC$27,MATCH($B22,Settings!$A$22:$A$27,0),7),0))</f>
        <v/>
      </c>
      <c r="K22" s="38">
        <f>IF(OR($B22="",$B22="Land",$C22=""),"",IFERROR($C22*INDEX(Settings!$C$22:$AC$27,MATCH($B22,Settings!$A$22:$A$27,0),8),0))</f>
        <v/>
      </c>
      <c r="L22" s="38">
        <f>IF(OR($B22="",$B22="Land",$C22=""),"",IFERROR($C22*INDEX(Settings!$C$22:$AC$27,MATCH($B22,Settings!$A$22:$A$27,0),9),0))</f>
        <v/>
      </c>
      <c r="M22" s="38">
        <f>IF(OR($B22="",$B22="Land",$C22=""),"",IFERROR($C22*INDEX(Settings!$C$22:$AC$27,MATCH($B22,Settings!$A$22:$A$27,0),10),0))</f>
        <v/>
      </c>
      <c r="N22" s="38">
        <f>IF(OR($B22="",$B22="Land",$C22=""),"",IFERROR($C22*INDEX(Settings!$C$22:$AC$27,MATCH($B22,Settings!$A$22:$A$27,0),11),0))</f>
        <v/>
      </c>
      <c r="O22" s="38">
        <f>IF(OR($B22="",$B22="Land",$C22=""),"",IFERROR($C22*INDEX(Settings!$C$22:$AC$27,MATCH($B22,Settings!$A$22:$A$27,0),12),0))</f>
        <v/>
      </c>
      <c r="P22" s="38">
        <f>IF(OR($B22="",$B22="Land",$C22=""),"",IFERROR($C22*INDEX(Settings!$C$22:$AC$27,MATCH($B22,Settings!$A$22:$A$27,0),13),0))</f>
        <v/>
      </c>
      <c r="Q22" s="38">
        <f>IF(OR($B22="",$B22="Land",$C22=""),"",IFERROR($C22*INDEX(Settings!$C$22:$AC$27,MATCH($B22,Settings!$A$22:$A$27,0),14),0))</f>
        <v/>
      </c>
      <c r="R22" s="38">
        <f>IF(OR($B22="",$B22="Land",$C22=""),"",IFERROR($C22*INDEX(Settings!$C$22:$AC$27,MATCH($B22,Settings!$A$22:$A$27,0),15),0))</f>
        <v/>
      </c>
      <c r="S22" s="38">
        <f>IF(OR($B22="",$B22="Land",$C22=""),"",IFERROR($C22*INDEX(Settings!$C$22:$AC$27,MATCH($B22,Settings!$A$22:$A$27,0),16),0))</f>
        <v/>
      </c>
      <c r="T22" s="38">
        <f>IF(OR($B22="",$B22="Land",$C22=""),"",IFERROR($C22*INDEX(Settings!$C$22:$AC$27,MATCH($B22,Settings!$A$22:$A$27,0),17),0))</f>
        <v/>
      </c>
      <c r="U22" s="38">
        <f>IF(OR($B22="",$B22="Land",$C22=""),"",IFERROR($C22*INDEX(Settings!$C$22:$AC$27,MATCH($B22,Settings!$A$22:$A$27,0),18),0))</f>
        <v/>
      </c>
      <c r="V22" s="38">
        <f>IF(OR($B22="",$B22="Land",$C22=""),"",IFERROR($C22*INDEX(Settings!$C$22:$AC$27,MATCH($B22,Settings!$A$22:$A$27,0),19),0))</f>
        <v/>
      </c>
      <c r="W22" s="38">
        <f>IF(OR($B22="",$B22="Land",$C22=""),"",IFERROR($C22*INDEX(Settings!$C$22:$AC$27,MATCH($B22,Settings!$A$22:$A$27,0),20),0))</f>
        <v/>
      </c>
      <c r="X22" s="38">
        <f>IF(OR($B22="",$B22="Land",$C22=""),"",IFERROR($C22*INDEX(Settings!$C$22:$AC$27,MATCH($B22,Settings!$A$22:$A$27,0),21),0))</f>
        <v/>
      </c>
      <c r="Y22" s="38">
        <f>IF(OR($B22="",$B22="Land",$C22=""),"",IFERROR($C22*INDEX(Settings!$C$22:$AC$27,MATCH($B22,Settings!$A$22:$A$27,0),22),0))</f>
        <v/>
      </c>
      <c r="Z22" s="38">
        <f>IF(OR($B22="",$B22="Land",$C22=""),"",IFERROR($C22*INDEX(Settings!$C$22:$AC$27,MATCH($B22,Settings!$A$22:$A$27,0),23),0))</f>
        <v/>
      </c>
      <c r="AA22" s="38">
        <f>IF(OR($B22="",$B22="Land",$C22=""),"",IFERROR($C22*INDEX(Settings!$C$22:$AC$27,MATCH($B22,Settings!$A$22:$A$27,0),24),0))</f>
        <v/>
      </c>
      <c r="AB22" s="38">
        <f>IF(OR($B22="",$B22="Land",$C22=""),"",IFERROR($C22*INDEX(Settings!$C$22:$AC$27,MATCH($B22,Settings!$A$22:$A$27,0),25),0))</f>
        <v/>
      </c>
      <c r="AC22" s="38">
        <f>IF(OR($B22="",$B22="Land",$C22=""),"",IFERROR($C22*INDEX(Settings!$C$22:$AC$27,MATCH($B22,Settings!$A$22:$A$27,0),26),0))</f>
        <v/>
      </c>
      <c r="AD22" s="38">
        <f>IF(OR($B22="",$B22="Land",$C22=""),"",IFERROR($C22*INDEX(Settings!$C$22:$AC$27,MATCH($B22,Settings!$A$22:$A$27,0),27),0))</f>
        <v/>
      </c>
    </row>
    <row r="23" ht="16" customHeight="1">
      <c r="A23" s="37">
        <f>'Asset Register'!A23</f>
        <v/>
      </c>
      <c r="B23" s="34">
        <f>'Asset Register'!E23</f>
        <v/>
      </c>
      <c r="C23" s="33">
        <f>'Asset Register'!J23</f>
        <v/>
      </c>
      <c r="D23" s="38">
        <f>IF(OR($B23="",$B23="Land",$C23=""),"",IFERROR($C23*INDEX(Settings!$C$22:$AC$27,MATCH($B23,Settings!$A$22:$A$27,0),1),0))</f>
        <v/>
      </c>
      <c r="E23" s="38">
        <f>IF(OR($B23="",$B23="Land",$C23=""),"",IFERROR($C23*INDEX(Settings!$C$22:$AC$27,MATCH($B23,Settings!$A$22:$A$27,0),2),0))</f>
        <v/>
      </c>
      <c r="F23" s="38">
        <f>IF(OR($B23="",$B23="Land",$C23=""),"",IFERROR($C23*INDEX(Settings!$C$22:$AC$27,MATCH($B23,Settings!$A$22:$A$27,0),3),0))</f>
        <v/>
      </c>
      <c r="G23" s="38">
        <f>IF(OR($B23="",$B23="Land",$C23=""),"",IFERROR($C23*INDEX(Settings!$C$22:$AC$27,MATCH($B23,Settings!$A$22:$A$27,0),4),0))</f>
        <v/>
      </c>
      <c r="H23" s="38">
        <f>IF(OR($B23="",$B23="Land",$C23=""),"",IFERROR($C23*INDEX(Settings!$C$22:$AC$27,MATCH($B23,Settings!$A$22:$A$27,0),5),0))</f>
        <v/>
      </c>
      <c r="I23" s="38">
        <f>IF(OR($B23="",$B23="Land",$C23=""),"",IFERROR($C23*INDEX(Settings!$C$22:$AC$27,MATCH($B23,Settings!$A$22:$A$27,0),6),0))</f>
        <v/>
      </c>
      <c r="J23" s="38">
        <f>IF(OR($B23="",$B23="Land",$C23=""),"",IFERROR($C23*INDEX(Settings!$C$22:$AC$27,MATCH($B23,Settings!$A$22:$A$27,0),7),0))</f>
        <v/>
      </c>
      <c r="K23" s="38">
        <f>IF(OR($B23="",$B23="Land",$C23=""),"",IFERROR($C23*INDEX(Settings!$C$22:$AC$27,MATCH($B23,Settings!$A$22:$A$27,0),8),0))</f>
        <v/>
      </c>
      <c r="L23" s="38">
        <f>IF(OR($B23="",$B23="Land",$C23=""),"",IFERROR($C23*INDEX(Settings!$C$22:$AC$27,MATCH($B23,Settings!$A$22:$A$27,0),9),0))</f>
        <v/>
      </c>
      <c r="M23" s="38">
        <f>IF(OR($B23="",$B23="Land",$C23=""),"",IFERROR($C23*INDEX(Settings!$C$22:$AC$27,MATCH($B23,Settings!$A$22:$A$27,0),10),0))</f>
        <v/>
      </c>
      <c r="N23" s="38">
        <f>IF(OR($B23="",$B23="Land",$C23=""),"",IFERROR($C23*INDEX(Settings!$C$22:$AC$27,MATCH($B23,Settings!$A$22:$A$27,0),11),0))</f>
        <v/>
      </c>
      <c r="O23" s="38">
        <f>IF(OR($B23="",$B23="Land",$C23=""),"",IFERROR($C23*INDEX(Settings!$C$22:$AC$27,MATCH($B23,Settings!$A$22:$A$27,0),12),0))</f>
        <v/>
      </c>
      <c r="P23" s="38">
        <f>IF(OR($B23="",$B23="Land",$C23=""),"",IFERROR($C23*INDEX(Settings!$C$22:$AC$27,MATCH($B23,Settings!$A$22:$A$27,0),13),0))</f>
        <v/>
      </c>
      <c r="Q23" s="38">
        <f>IF(OR($B23="",$B23="Land",$C23=""),"",IFERROR($C23*INDEX(Settings!$C$22:$AC$27,MATCH($B23,Settings!$A$22:$A$27,0),14),0))</f>
        <v/>
      </c>
      <c r="R23" s="38">
        <f>IF(OR($B23="",$B23="Land",$C23=""),"",IFERROR($C23*INDEX(Settings!$C$22:$AC$27,MATCH($B23,Settings!$A$22:$A$27,0),15),0))</f>
        <v/>
      </c>
      <c r="S23" s="38">
        <f>IF(OR($B23="",$B23="Land",$C23=""),"",IFERROR($C23*INDEX(Settings!$C$22:$AC$27,MATCH($B23,Settings!$A$22:$A$27,0),16),0))</f>
        <v/>
      </c>
      <c r="T23" s="38">
        <f>IF(OR($B23="",$B23="Land",$C23=""),"",IFERROR($C23*INDEX(Settings!$C$22:$AC$27,MATCH($B23,Settings!$A$22:$A$27,0),17),0))</f>
        <v/>
      </c>
      <c r="U23" s="38">
        <f>IF(OR($B23="",$B23="Land",$C23=""),"",IFERROR($C23*INDEX(Settings!$C$22:$AC$27,MATCH($B23,Settings!$A$22:$A$27,0),18),0))</f>
        <v/>
      </c>
      <c r="V23" s="38">
        <f>IF(OR($B23="",$B23="Land",$C23=""),"",IFERROR($C23*INDEX(Settings!$C$22:$AC$27,MATCH($B23,Settings!$A$22:$A$27,0),19),0))</f>
        <v/>
      </c>
      <c r="W23" s="38">
        <f>IF(OR($B23="",$B23="Land",$C23=""),"",IFERROR($C23*INDEX(Settings!$C$22:$AC$27,MATCH($B23,Settings!$A$22:$A$27,0),20),0))</f>
        <v/>
      </c>
      <c r="X23" s="38">
        <f>IF(OR($B23="",$B23="Land",$C23=""),"",IFERROR($C23*INDEX(Settings!$C$22:$AC$27,MATCH($B23,Settings!$A$22:$A$27,0),21),0))</f>
        <v/>
      </c>
      <c r="Y23" s="38">
        <f>IF(OR($B23="",$B23="Land",$C23=""),"",IFERROR($C23*INDEX(Settings!$C$22:$AC$27,MATCH($B23,Settings!$A$22:$A$27,0),22),0))</f>
        <v/>
      </c>
      <c r="Z23" s="38">
        <f>IF(OR($B23="",$B23="Land",$C23=""),"",IFERROR($C23*INDEX(Settings!$C$22:$AC$27,MATCH($B23,Settings!$A$22:$A$27,0),23),0))</f>
        <v/>
      </c>
      <c r="AA23" s="38">
        <f>IF(OR($B23="",$B23="Land",$C23=""),"",IFERROR($C23*INDEX(Settings!$C$22:$AC$27,MATCH($B23,Settings!$A$22:$A$27,0),24),0))</f>
        <v/>
      </c>
      <c r="AB23" s="38">
        <f>IF(OR($B23="",$B23="Land",$C23=""),"",IFERROR($C23*INDEX(Settings!$C$22:$AC$27,MATCH($B23,Settings!$A$22:$A$27,0),25),0))</f>
        <v/>
      </c>
      <c r="AC23" s="38">
        <f>IF(OR($B23="",$B23="Land",$C23=""),"",IFERROR($C23*INDEX(Settings!$C$22:$AC$27,MATCH($B23,Settings!$A$22:$A$27,0),26),0))</f>
        <v/>
      </c>
      <c r="AD23" s="38">
        <f>IF(OR($B23="",$B23="Land",$C23=""),"",IFERROR($C23*INDEX(Settings!$C$22:$AC$27,MATCH($B23,Settings!$A$22:$A$27,0),27),0))</f>
        <v/>
      </c>
    </row>
    <row r="24" ht="16" customHeight="1">
      <c r="A24" s="37">
        <f>'Asset Register'!A24</f>
        <v/>
      </c>
      <c r="B24" s="34">
        <f>'Asset Register'!E24</f>
        <v/>
      </c>
      <c r="C24" s="33">
        <f>'Asset Register'!J24</f>
        <v/>
      </c>
      <c r="D24" s="38">
        <f>IF(OR($B24="",$B24="Land",$C24=""),"",IFERROR($C24*INDEX(Settings!$C$22:$AC$27,MATCH($B24,Settings!$A$22:$A$27,0),1),0))</f>
        <v/>
      </c>
      <c r="E24" s="38">
        <f>IF(OR($B24="",$B24="Land",$C24=""),"",IFERROR($C24*INDEX(Settings!$C$22:$AC$27,MATCH($B24,Settings!$A$22:$A$27,0),2),0))</f>
        <v/>
      </c>
      <c r="F24" s="38">
        <f>IF(OR($B24="",$B24="Land",$C24=""),"",IFERROR($C24*INDEX(Settings!$C$22:$AC$27,MATCH($B24,Settings!$A$22:$A$27,0),3),0))</f>
        <v/>
      </c>
      <c r="G24" s="38">
        <f>IF(OR($B24="",$B24="Land",$C24=""),"",IFERROR($C24*INDEX(Settings!$C$22:$AC$27,MATCH($B24,Settings!$A$22:$A$27,0),4),0))</f>
        <v/>
      </c>
      <c r="H24" s="38">
        <f>IF(OR($B24="",$B24="Land",$C24=""),"",IFERROR($C24*INDEX(Settings!$C$22:$AC$27,MATCH($B24,Settings!$A$22:$A$27,0),5),0))</f>
        <v/>
      </c>
      <c r="I24" s="38">
        <f>IF(OR($B24="",$B24="Land",$C24=""),"",IFERROR($C24*INDEX(Settings!$C$22:$AC$27,MATCH($B24,Settings!$A$22:$A$27,0),6),0))</f>
        <v/>
      </c>
      <c r="J24" s="38">
        <f>IF(OR($B24="",$B24="Land",$C24=""),"",IFERROR($C24*INDEX(Settings!$C$22:$AC$27,MATCH($B24,Settings!$A$22:$A$27,0),7),0))</f>
        <v/>
      </c>
      <c r="K24" s="38">
        <f>IF(OR($B24="",$B24="Land",$C24=""),"",IFERROR($C24*INDEX(Settings!$C$22:$AC$27,MATCH($B24,Settings!$A$22:$A$27,0),8),0))</f>
        <v/>
      </c>
      <c r="L24" s="38">
        <f>IF(OR($B24="",$B24="Land",$C24=""),"",IFERROR($C24*INDEX(Settings!$C$22:$AC$27,MATCH($B24,Settings!$A$22:$A$27,0),9),0))</f>
        <v/>
      </c>
      <c r="M24" s="38">
        <f>IF(OR($B24="",$B24="Land",$C24=""),"",IFERROR($C24*INDEX(Settings!$C$22:$AC$27,MATCH($B24,Settings!$A$22:$A$27,0),10),0))</f>
        <v/>
      </c>
      <c r="N24" s="38">
        <f>IF(OR($B24="",$B24="Land",$C24=""),"",IFERROR($C24*INDEX(Settings!$C$22:$AC$27,MATCH($B24,Settings!$A$22:$A$27,0),11),0))</f>
        <v/>
      </c>
      <c r="O24" s="38">
        <f>IF(OR($B24="",$B24="Land",$C24=""),"",IFERROR($C24*INDEX(Settings!$C$22:$AC$27,MATCH($B24,Settings!$A$22:$A$27,0),12),0))</f>
        <v/>
      </c>
      <c r="P24" s="38">
        <f>IF(OR($B24="",$B24="Land",$C24=""),"",IFERROR($C24*INDEX(Settings!$C$22:$AC$27,MATCH($B24,Settings!$A$22:$A$27,0),13),0))</f>
        <v/>
      </c>
      <c r="Q24" s="38">
        <f>IF(OR($B24="",$B24="Land",$C24=""),"",IFERROR($C24*INDEX(Settings!$C$22:$AC$27,MATCH($B24,Settings!$A$22:$A$27,0),14),0))</f>
        <v/>
      </c>
      <c r="R24" s="38">
        <f>IF(OR($B24="",$B24="Land",$C24=""),"",IFERROR($C24*INDEX(Settings!$C$22:$AC$27,MATCH($B24,Settings!$A$22:$A$27,0),15),0))</f>
        <v/>
      </c>
      <c r="S24" s="38">
        <f>IF(OR($B24="",$B24="Land",$C24=""),"",IFERROR($C24*INDEX(Settings!$C$22:$AC$27,MATCH($B24,Settings!$A$22:$A$27,0),16),0))</f>
        <v/>
      </c>
      <c r="T24" s="38">
        <f>IF(OR($B24="",$B24="Land",$C24=""),"",IFERROR($C24*INDEX(Settings!$C$22:$AC$27,MATCH($B24,Settings!$A$22:$A$27,0),17),0))</f>
        <v/>
      </c>
      <c r="U24" s="38">
        <f>IF(OR($B24="",$B24="Land",$C24=""),"",IFERROR($C24*INDEX(Settings!$C$22:$AC$27,MATCH($B24,Settings!$A$22:$A$27,0),18),0))</f>
        <v/>
      </c>
      <c r="V24" s="38">
        <f>IF(OR($B24="",$B24="Land",$C24=""),"",IFERROR($C24*INDEX(Settings!$C$22:$AC$27,MATCH($B24,Settings!$A$22:$A$27,0),19),0))</f>
        <v/>
      </c>
      <c r="W24" s="38">
        <f>IF(OR($B24="",$B24="Land",$C24=""),"",IFERROR($C24*INDEX(Settings!$C$22:$AC$27,MATCH($B24,Settings!$A$22:$A$27,0),20),0))</f>
        <v/>
      </c>
      <c r="X24" s="38">
        <f>IF(OR($B24="",$B24="Land",$C24=""),"",IFERROR($C24*INDEX(Settings!$C$22:$AC$27,MATCH($B24,Settings!$A$22:$A$27,0),21),0))</f>
        <v/>
      </c>
      <c r="Y24" s="38">
        <f>IF(OR($B24="",$B24="Land",$C24=""),"",IFERROR($C24*INDEX(Settings!$C$22:$AC$27,MATCH($B24,Settings!$A$22:$A$27,0),22),0))</f>
        <v/>
      </c>
      <c r="Z24" s="38">
        <f>IF(OR($B24="",$B24="Land",$C24=""),"",IFERROR($C24*INDEX(Settings!$C$22:$AC$27,MATCH($B24,Settings!$A$22:$A$27,0),23),0))</f>
        <v/>
      </c>
      <c r="AA24" s="38">
        <f>IF(OR($B24="",$B24="Land",$C24=""),"",IFERROR($C24*INDEX(Settings!$C$22:$AC$27,MATCH($B24,Settings!$A$22:$A$27,0),24),0))</f>
        <v/>
      </c>
      <c r="AB24" s="38">
        <f>IF(OR($B24="",$B24="Land",$C24=""),"",IFERROR($C24*INDEX(Settings!$C$22:$AC$27,MATCH($B24,Settings!$A$22:$A$27,0),25),0))</f>
        <v/>
      </c>
      <c r="AC24" s="38">
        <f>IF(OR($B24="",$B24="Land",$C24=""),"",IFERROR($C24*INDEX(Settings!$C$22:$AC$27,MATCH($B24,Settings!$A$22:$A$27,0),26),0))</f>
        <v/>
      </c>
      <c r="AD24" s="38">
        <f>IF(OR($B24="",$B24="Land",$C24=""),"",IFERROR($C24*INDEX(Settings!$C$22:$AC$27,MATCH($B24,Settings!$A$22:$A$27,0),27),0))</f>
        <v/>
      </c>
    </row>
    <row r="25" ht="16" customHeight="1">
      <c r="A25" s="37">
        <f>'Asset Register'!A25</f>
        <v/>
      </c>
      <c r="B25" s="34">
        <f>'Asset Register'!E25</f>
        <v/>
      </c>
      <c r="C25" s="33">
        <f>'Asset Register'!J25</f>
        <v/>
      </c>
      <c r="D25" s="38">
        <f>IF(OR($B25="",$B25="Land",$C25=""),"",IFERROR($C25*INDEX(Settings!$C$22:$AC$27,MATCH($B25,Settings!$A$22:$A$27,0),1),0))</f>
        <v/>
      </c>
      <c r="E25" s="38">
        <f>IF(OR($B25="",$B25="Land",$C25=""),"",IFERROR($C25*INDEX(Settings!$C$22:$AC$27,MATCH($B25,Settings!$A$22:$A$27,0),2),0))</f>
        <v/>
      </c>
      <c r="F25" s="38">
        <f>IF(OR($B25="",$B25="Land",$C25=""),"",IFERROR($C25*INDEX(Settings!$C$22:$AC$27,MATCH($B25,Settings!$A$22:$A$27,0),3),0))</f>
        <v/>
      </c>
      <c r="G25" s="38">
        <f>IF(OR($B25="",$B25="Land",$C25=""),"",IFERROR($C25*INDEX(Settings!$C$22:$AC$27,MATCH($B25,Settings!$A$22:$A$27,0),4),0))</f>
        <v/>
      </c>
      <c r="H25" s="38">
        <f>IF(OR($B25="",$B25="Land",$C25=""),"",IFERROR($C25*INDEX(Settings!$C$22:$AC$27,MATCH($B25,Settings!$A$22:$A$27,0),5),0))</f>
        <v/>
      </c>
      <c r="I25" s="38">
        <f>IF(OR($B25="",$B25="Land",$C25=""),"",IFERROR($C25*INDEX(Settings!$C$22:$AC$27,MATCH($B25,Settings!$A$22:$A$27,0),6),0))</f>
        <v/>
      </c>
      <c r="J25" s="38">
        <f>IF(OR($B25="",$B25="Land",$C25=""),"",IFERROR($C25*INDEX(Settings!$C$22:$AC$27,MATCH($B25,Settings!$A$22:$A$27,0),7),0))</f>
        <v/>
      </c>
      <c r="K25" s="38">
        <f>IF(OR($B25="",$B25="Land",$C25=""),"",IFERROR($C25*INDEX(Settings!$C$22:$AC$27,MATCH($B25,Settings!$A$22:$A$27,0),8),0))</f>
        <v/>
      </c>
      <c r="L25" s="38">
        <f>IF(OR($B25="",$B25="Land",$C25=""),"",IFERROR($C25*INDEX(Settings!$C$22:$AC$27,MATCH($B25,Settings!$A$22:$A$27,0),9),0))</f>
        <v/>
      </c>
      <c r="M25" s="38">
        <f>IF(OR($B25="",$B25="Land",$C25=""),"",IFERROR($C25*INDEX(Settings!$C$22:$AC$27,MATCH($B25,Settings!$A$22:$A$27,0),10),0))</f>
        <v/>
      </c>
      <c r="N25" s="38">
        <f>IF(OR($B25="",$B25="Land",$C25=""),"",IFERROR($C25*INDEX(Settings!$C$22:$AC$27,MATCH($B25,Settings!$A$22:$A$27,0),11),0))</f>
        <v/>
      </c>
      <c r="O25" s="38">
        <f>IF(OR($B25="",$B25="Land",$C25=""),"",IFERROR($C25*INDEX(Settings!$C$22:$AC$27,MATCH($B25,Settings!$A$22:$A$27,0),12),0))</f>
        <v/>
      </c>
      <c r="P25" s="38">
        <f>IF(OR($B25="",$B25="Land",$C25=""),"",IFERROR($C25*INDEX(Settings!$C$22:$AC$27,MATCH($B25,Settings!$A$22:$A$27,0),13),0))</f>
        <v/>
      </c>
      <c r="Q25" s="38">
        <f>IF(OR($B25="",$B25="Land",$C25=""),"",IFERROR($C25*INDEX(Settings!$C$22:$AC$27,MATCH($B25,Settings!$A$22:$A$27,0),14),0))</f>
        <v/>
      </c>
      <c r="R25" s="38">
        <f>IF(OR($B25="",$B25="Land",$C25=""),"",IFERROR($C25*INDEX(Settings!$C$22:$AC$27,MATCH($B25,Settings!$A$22:$A$27,0),15),0))</f>
        <v/>
      </c>
      <c r="S25" s="38">
        <f>IF(OR($B25="",$B25="Land",$C25=""),"",IFERROR($C25*INDEX(Settings!$C$22:$AC$27,MATCH($B25,Settings!$A$22:$A$27,0),16),0))</f>
        <v/>
      </c>
      <c r="T25" s="38">
        <f>IF(OR($B25="",$B25="Land",$C25=""),"",IFERROR($C25*INDEX(Settings!$C$22:$AC$27,MATCH($B25,Settings!$A$22:$A$27,0),17),0))</f>
        <v/>
      </c>
      <c r="U25" s="38">
        <f>IF(OR($B25="",$B25="Land",$C25=""),"",IFERROR($C25*INDEX(Settings!$C$22:$AC$27,MATCH($B25,Settings!$A$22:$A$27,0),18),0))</f>
        <v/>
      </c>
      <c r="V25" s="38">
        <f>IF(OR($B25="",$B25="Land",$C25=""),"",IFERROR($C25*INDEX(Settings!$C$22:$AC$27,MATCH($B25,Settings!$A$22:$A$27,0),19),0))</f>
        <v/>
      </c>
      <c r="W25" s="38">
        <f>IF(OR($B25="",$B25="Land",$C25=""),"",IFERROR($C25*INDEX(Settings!$C$22:$AC$27,MATCH($B25,Settings!$A$22:$A$27,0),20),0))</f>
        <v/>
      </c>
      <c r="X25" s="38">
        <f>IF(OR($B25="",$B25="Land",$C25=""),"",IFERROR($C25*INDEX(Settings!$C$22:$AC$27,MATCH($B25,Settings!$A$22:$A$27,0),21),0))</f>
        <v/>
      </c>
      <c r="Y25" s="38">
        <f>IF(OR($B25="",$B25="Land",$C25=""),"",IFERROR($C25*INDEX(Settings!$C$22:$AC$27,MATCH($B25,Settings!$A$22:$A$27,0),22),0))</f>
        <v/>
      </c>
      <c r="Z25" s="38">
        <f>IF(OR($B25="",$B25="Land",$C25=""),"",IFERROR($C25*INDEX(Settings!$C$22:$AC$27,MATCH($B25,Settings!$A$22:$A$27,0),23),0))</f>
        <v/>
      </c>
      <c r="AA25" s="38">
        <f>IF(OR($B25="",$B25="Land",$C25=""),"",IFERROR($C25*INDEX(Settings!$C$22:$AC$27,MATCH($B25,Settings!$A$22:$A$27,0),24),0))</f>
        <v/>
      </c>
      <c r="AB25" s="38">
        <f>IF(OR($B25="",$B25="Land",$C25=""),"",IFERROR($C25*INDEX(Settings!$C$22:$AC$27,MATCH($B25,Settings!$A$22:$A$27,0),25),0))</f>
        <v/>
      </c>
      <c r="AC25" s="38">
        <f>IF(OR($B25="",$B25="Land",$C25=""),"",IFERROR($C25*INDEX(Settings!$C$22:$AC$27,MATCH($B25,Settings!$A$22:$A$27,0),26),0))</f>
        <v/>
      </c>
      <c r="AD25" s="38">
        <f>IF(OR($B25="",$B25="Land",$C25=""),"",IFERROR($C25*INDEX(Settings!$C$22:$AC$27,MATCH($B25,Settings!$A$22:$A$27,0),27),0))</f>
        <v/>
      </c>
    </row>
    <row r="26" ht="16" customHeight="1">
      <c r="A26" s="37">
        <f>'Asset Register'!A26</f>
        <v/>
      </c>
      <c r="B26" s="34">
        <f>'Asset Register'!E26</f>
        <v/>
      </c>
      <c r="C26" s="33">
        <f>'Asset Register'!J26</f>
        <v/>
      </c>
      <c r="D26" s="38">
        <f>IF(OR($B26="",$B26="Land",$C26=""),"",IFERROR($C26*INDEX(Settings!$C$22:$AC$27,MATCH($B26,Settings!$A$22:$A$27,0),1),0))</f>
        <v/>
      </c>
      <c r="E26" s="38">
        <f>IF(OR($B26="",$B26="Land",$C26=""),"",IFERROR($C26*INDEX(Settings!$C$22:$AC$27,MATCH($B26,Settings!$A$22:$A$27,0),2),0))</f>
        <v/>
      </c>
      <c r="F26" s="38">
        <f>IF(OR($B26="",$B26="Land",$C26=""),"",IFERROR($C26*INDEX(Settings!$C$22:$AC$27,MATCH($B26,Settings!$A$22:$A$27,0),3),0))</f>
        <v/>
      </c>
      <c r="G26" s="38">
        <f>IF(OR($B26="",$B26="Land",$C26=""),"",IFERROR($C26*INDEX(Settings!$C$22:$AC$27,MATCH($B26,Settings!$A$22:$A$27,0),4),0))</f>
        <v/>
      </c>
      <c r="H26" s="38">
        <f>IF(OR($B26="",$B26="Land",$C26=""),"",IFERROR($C26*INDEX(Settings!$C$22:$AC$27,MATCH($B26,Settings!$A$22:$A$27,0),5),0))</f>
        <v/>
      </c>
      <c r="I26" s="38">
        <f>IF(OR($B26="",$B26="Land",$C26=""),"",IFERROR($C26*INDEX(Settings!$C$22:$AC$27,MATCH($B26,Settings!$A$22:$A$27,0),6),0))</f>
        <v/>
      </c>
      <c r="J26" s="38">
        <f>IF(OR($B26="",$B26="Land",$C26=""),"",IFERROR($C26*INDEX(Settings!$C$22:$AC$27,MATCH($B26,Settings!$A$22:$A$27,0),7),0))</f>
        <v/>
      </c>
      <c r="K26" s="38">
        <f>IF(OR($B26="",$B26="Land",$C26=""),"",IFERROR($C26*INDEX(Settings!$C$22:$AC$27,MATCH($B26,Settings!$A$22:$A$27,0),8),0))</f>
        <v/>
      </c>
      <c r="L26" s="38">
        <f>IF(OR($B26="",$B26="Land",$C26=""),"",IFERROR($C26*INDEX(Settings!$C$22:$AC$27,MATCH($B26,Settings!$A$22:$A$27,0),9),0))</f>
        <v/>
      </c>
      <c r="M26" s="38">
        <f>IF(OR($B26="",$B26="Land",$C26=""),"",IFERROR($C26*INDEX(Settings!$C$22:$AC$27,MATCH($B26,Settings!$A$22:$A$27,0),10),0))</f>
        <v/>
      </c>
      <c r="N26" s="38">
        <f>IF(OR($B26="",$B26="Land",$C26=""),"",IFERROR($C26*INDEX(Settings!$C$22:$AC$27,MATCH($B26,Settings!$A$22:$A$27,0),11),0))</f>
        <v/>
      </c>
      <c r="O26" s="38">
        <f>IF(OR($B26="",$B26="Land",$C26=""),"",IFERROR($C26*INDEX(Settings!$C$22:$AC$27,MATCH($B26,Settings!$A$22:$A$27,0),12),0))</f>
        <v/>
      </c>
      <c r="P26" s="38">
        <f>IF(OR($B26="",$B26="Land",$C26=""),"",IFERROR($C26*INDEX(Settings!$C$22:$AC$27,MATCH($B26,Settings!$A$22:$A$27,0),13),0))</f>
        <v/>
      </c>
      <c r="Q26" s="38">
        <f>IF(OR($B26="",$B26="Land",$C26=""),"",IFERROR($C26*INDEX(Settings!$C$22:$AC$27,MATCH($B26,Settings!$A$22:$A$27,0),14),0))</f>
        <v/>
      </c>
      <c r="R26" s="38">
        <f>IF(OR($B26="",$B26="Land",$C26=""),"",IFERROR($C26*INDEX(Settings!$C$22:$AC$27,MATCH($B26,Settings!$A$22:$A$27,0),15),0))</f>
        <v/>
      </c>
      <c r="S26" s="38">
        <f>IF(OR($B26="",$B26="Land",$C26=""),"",IFERROR($C26*INDEX(Settings!$C$22:$AC$27,MATCH($B26,Settings!$A$22:$A$27,0),16),0))</f>
        <v/>
      </c>
      <c r="T26" s="38">
        <f>IF(OR($B26="",$B26="Land",$C26=""),"",IFERROR($C26*INDEX(Settings!$C$22:$AC$27,MATCH($B26,Settings!$A$22:$A$27,0),17),0))</f>
        <v/>
      </c>
      <c r="U26" s="38">
        <f>IF(OR($B26="",$B26="Land",$C26=""),"",IFERROR($C26*INDEX(Settings!$C$22:$AC$27,MATCH($B26,Settings!$A$22:$A$27,0),18),0))</f>
        <v/>
      </c>
      <c r="V26" s="38">
        <f>IF(OR($B26="",$B26="Land",$C26=""),"",IFERROR($C26*INDEX(Settings!$C$22:$AC$27,MATCH($B26,Settings!$A$22:$A$27,0),19),0))</f>
        <v/>
      </c>
      <c r="W26" s="38">
        <f>IF(OR($B26="",$B26="Land",$C26=""),"",IFERROR($C26*INDEX(Settings!$C$22:$AC$27,MATCH($B26,Settings!$A$22:$A$27,0),20),0))</f>
        <v/>
      </c>
      <c r="X26" s="38">
        <f>IF(OR($B26="",$B26="Land",$C26=""),"",IFERROR($C26*INDEX(Settings!$C$22:$AC$27,MATCH($B26,Settings!$A$22:$A$27,0),21),0))</f>
        <v/>
      </c>
      <c r="Y26" s="38">
        <f>IF(OR($B26="",$B26="Land",$C26=""),"",IFERROR($C26*INDEX(Settings!$C$22:$AC$27,MATCH($B26,Settings!$A$22:$A$27,0),22),0))</f>
        <v/>
      </c>
      <c r="Z26" s="38">
        <f>IF(OR($B26="",$B26="Land",$C26=""),"",IFERROR($C26*INDEX(Settings!$C$22:$AC$27,MATCH($B26,Settings!$A$22:$A$27,0),23),0))</f>
        <v/>
      </c>
      <c r="AA26" s="38">
        <f>IF(OR($B26="",$B26="Land",$C26=""),"",IFERROR($C26*INDEX(Settings!$C$22:$AC$27,MATCH($B26,Settings!$A$22:$A$27,0),24),0))</f>
        <v/>
      </c>
      <c r="AB26" s="38">
        <f>IF(OR($B26="",$B26="Land",$C26=""),"",IFERROR($C26*INDEX(Settings!$C$22:$AC$27,MATCH($B26,Settings!$A$22:$A$27,0),25),0))</f>
        <v/>
      </c>
      <c r="AC26" s="38">
        <f>IF(OR($B26="",$B26="Land",$C26=""),"",IFERROR($C26*INDEX(Settings!$C$22:$AC$27,MATCH($B26,Settings!$A$22:$A$27,0),26),0))</f>
        <v/>
      </c>
      <c r="AD26" s="38">
        <f>IF(OR($B26="",$B26="Land",$C26=""),"",IFERROR($C26*INDEX(Settings!$C$22:$AC$27,MATCH($B26,Settings!$A$22:$A$27,0),27),0))</f>
        <v/>
      </c>
    </row>
    <row r="27" ht="16" customHeight="1">
      <c r="A27" s="37">
        <f>'Asset Register'!A27</f>
        <v/>
      </c>
      <c r="B27" s="34">
        <f>'Asset Register'!E27</f>
        <v/>
      </c>
      <c r="C27" s="33">
        <f>'Asset Register'!J27</f>
        <v/>
      </c>
      <c r="D27" s="38">
        <f>IF(OR($B27="",$B27="Land",$C27=""),"",IFERROR($C27*INDEX(Settings!$C$22:$AC$27,MATCH($B27,Settings!$A$22:$A$27,0),1),0))</f>
        <v/>
      </c>
      <c r="E27" s="38">
        <f>IF(OR($B27="",$B27="Land",$C27=""),"",IFERROR($C27*INDEX(Settings!$C$22:$AC$27,MATCH($B27,Settings!$A$22:$A$27,0),2),0))</f>
        <v/>
      </c>
      <c r="F27" s="38">
        <f>IF(OR($B27="",$B27="Land",$C27=""),"",IFERROR($C27*INDEX(Settings!$C$22:$AC$27,MATCH($B27,Settings!$A$22:$A$27,0),3),0))</f>
        <v/>
      </c>
      <c r="G27" s="38">
        <f>IF(OR($B27="",$B27="Land",$C27=""),"",IFERROR($C27*INDEX(Settings!$C$22:$AC$27,MATCH($B27,Settings!$A$22:$A$27,0),4),0))</f>
        <v/>
      </c>
      <c r="H27" s="38">
        <f>IF(OR($B27="",$B27="Land",$C27=""),"",IFERROR($C27*INDEX(Settings!$C$22:$AC$27,MATCH($B27,Settings!$A$22:$A$27,0),5),0))</f>
        <v/>
      </c>
      <c r="I27" s="38">
        <f>IF(OR($B27="",$B27="Land",$C27=""),"",IFERROR($C27*INDEX(Settings!$C$22:$AC$27,MATCH($B27,Settings!$A$22:$A$27,0),6),0))</f>
        <v/>
      </c>
      <c r="J27" s="38">
        <f>IF(OR($B27="",$B27="Land",$C27=""),"",IFERROR($C27*INDEX(Settings!$C$22:$AC$27,MATCH($B27,Settings!$A$22:$A$27,0),7),0))</f>
        <v/>
      </c>
      <c r="K27" s="38">
        <f>IF(OR($B27="",$B27="Land",$C27=""),"",IFERROR($C27*INDEX(Settings!$C$22:$AC$27,MATCH($B27,Settings!$A$22:$A$27,0),8),0))</f>
        <v/>
      </c>
      <c r="L27" s="38">
        <f>IF(OR($B27="",$B27="Land",$C27=""),"",IFERROR($C27*INDEX(Settings!$C$22:$AC$27,MATCH($B27,Settings!$A$22:$A$27,0),9),0))</f>
        <v/>
      </c>
      <c r="M27" s="38">
        <f>IF(OR($B27="",$B27="Land",$C27=""),"",IFERROR($C27*INDEX(Settings!$C$22:$AC$27,MATCH($B27,Settings!$A$22:$A$27,0),10),0))</f>
        <v/>
      </c>
      <c r="N27" s="38">
        <f>IF(OR($B27="",$B27="Land",$C27=""),"",IFERROR($C27*INDEX(Settings!$C$22:$AC$27,MATCH($B27,Settings!$A$22:$A$27,0),11),0))</f>
        <v/>
      </c>
      <c r="O27" s="38">
        <f>IF(OR($B27="",$B27="Land",$C27=""),"",IFERROR($C27*INDEX(Settings!$C$22:$AC$27,MATCH($B27,Settings!$A$22:$A$27,0),12),0))</f>
        <v/>
      </c>
      <c r="P27" s="38">
        <f>IF(OR($B27="",$B27="Land",$C27=""),"",IFERROR($C27*INDEX(Settings!$C$22:$AC$27,MATCH($B27,Settings!$A$22:$A$27,0),13),0))</f>
        <v/>
      </c>
      <c r="Q27" s="38">
        <f>IF(OR($B27="",$B27="Land",$C27=""),"",IFERROR($C27*INDEX(Settings!$C$22:$AC$27,MATCH($B27,Settings!$A$22:$A$27,0),14),0))</f>
        <v/>
      </c>
      <c r="R27" s="38">
        <f>IF(OR($B27="",$B27="Land",$C27=""),"",IFERROR($C27*INDEX(Settings!$C$22:$AC$27,MATCH($B27,Settings!$A$22:$A$27,0),15),0))</f>
        <v/>
      </c>
      <c r="S27" s="38">
        <f>IF(OR($B27="",$B27="Land",$C27=""),"",IFERROR($C27*INDEX(Settings!$C$22:$AC$27,MATCH($B27,Settings!$A$22:$A$27,0),16),0))</f>
        <v/>
      </c>
      <c r="T27" s="38">
        <f>IF(OR($B27="",$B27="Land",$C27=""),"",IFERROR($C27*INDEX(Settings!$C$22:$AC$27,MATCH($B27,Settings!$A$22:$A$27,0),17),0))</f>
        <v/>
      </c>
      <c r="U27" s="38">
        <f>IF(OR($B27="",$B27="Land",$C27=""),"",IFERROR($C27*INDEX(Settings!$C$22:$AC$27,MATCH($B27,Settings!$A$22:$A$27,0),18),0))</f>
        <v/>
      </c>
      <c r="V27" s="38">
        <f>IF(OR($B27="",$B27="Land",$C27=""),"",IFERROR($C27*INDEX(Settings!$C$22:$AC$27,MATCH($B27,Settings!$A$22:$A$27,0),19),0))</f>
        <v/>
      </c>
      <c r="W27" s="38">
        <f>IF(OR($B27="",$B27="Land",$C27=""),"",IFERROR($C27*INDEX(Settings!$C$22:$AC$27,MATCH($B27,Settings!$A$22:$A$27,0),20),0))</f>
        <v/>
      </c>
      <c r="X27" s="38">
        <f>IF(OR($B27="",$B27="Land",$C27=""),"",IFERROR($C27*INDEX(Settings!$C$22:$AC$27,MATCH($B27,Settings!$A$22:$A$27,0),21),0))</f>
        <v/>
      </c>
      <c r="Y27" s="38">
        <f>IF(OR($B27="",$B27="Land",$C27=""),"",IFERROR($C27*INDEX(Settings!$C$22:$AC$27,MATCH($B27,Settings!$A$22:$A$27,0),22),0))</f>
        <v/>
      </c>
      <c r="Z27" s="38">
        <f>IF(OR($B27="",$B27="Land",$C27=""),"",IFERROR($C27*INDEX(Settings!$C$22:$AC$27,MATCH($B27,Settings!$A$22:$A$27,0),23),0))</f>
        <v/>
      </c>
      <c r="AA27" s="38">
        <f>IF(OR($B27="",$B27="Land",$C27=""),"",IFERROR($C27*INDEX(Settings!$C$22:$AC$27,MATCH($B27,Settings!$A$22:$A$27,0),24),0))</f>
        <v/>
      </c>
      <c r="AB27" s="38">
        <f>IF(OR($B27="",$B27="Land",$C27=""),"",IFERROR($C27*INDEX(Settings!$C$22:$AC$27,MATCH($B27,Settings!$A$22:$A$27,0),25),0))</f>
        <v/>
      </c>
      <c r="AC27" s="38">
        <f>IF(OR($B27="",$B27="Land",$C27=""),"",IFERROR($C27*INDEX(Settings!$C$22:$AC$27,MATCH($B27,Settings!$A$22:$A$27,0),26),0))</f>
        <v/>
      </c>
      <c r="AD27" s="38">
        <f>IF(OR($B27="",$B27="Land",$C27=""),"",IFERROR($C27*INDEX(Settings!$C$22:$AC$27,MATCH($B27,Settings!$A$22:$A$27,0),27),0))</f>
        <v/>
      </c>
    </row>
    <row r="28" ht="16" customHeight="1">
      <c r="A28" s="37">
        <f>'Asset Register'!A28</f>
        <v/>
      </c>
      <c r="B28" s="34">
        <f>'Asset Register'!E28</f>
        <v/>
      </c>
      <c r="C28" s="33">
        <f>'Asset Register'!J28</f>
        <v/>
      </c>
      <c r="D28" s="38">
        <f>IF(OR($B28="",$B28="Land",$C28=""),"",IFERROR($C28*INDEX(Settings!$C$22:$AC$27,MATCH($B28,Settings!$A$22:$A$27,0),1),0))</f>
        <v/>
      </c>
      <c r="E28" s="38">
        <f>IF(OR($B28="",$B28="Land",$C28=""),"",IFERROR($C28*INDEX(Settings!$C$22:$AC$27,MATCH($B28,Settings!$A$22:$A$27,0),2),0))</f>
        <v/>
      </c>
      <c r="F28" s="38">
        <f>IF(OR($B28="",$B28="Land",$C28=""),"",IFERROR($C28*INDEX(Settings!$C$22:$AC$27,MATCH($B28,Settings!$A$22:$A$27,0),3),0))</f>
        <v/>
      </c>
      <c r="G28" s="38">
        <f>IF(OR($B28="",$B28="Land",$C28=""),"",IFERROR($C28*INDEX(Settings!$C$22:$AC$27,MATCH($B28,Settings!$A$22:$A$27,0),4),0))</f>
        <v/>
      </c>
      <c r="H28" s="38">
        <f>IF(OR($B28="",$B28="Land",$C28=""),"",IFERROR($C28*INDEX(Settings!$C$22:$AC$27,MATCH($B28,Settings!$A$22:$A$27,0),5),0))</f>
        <v/>
      </c>
      <c r="I28" s="38">
        <f>IF(OR($B28="",$B28="Land",$C28=""),"",IFERROR($C28*INDEX(Settings!$C$22:$AC$27,MATCH($B28,Settings!$A$22:$A$27,0),6),0))</f>
        <v/>
      </c>
      <c r="J28" s="38">
        <f>IF(OR($B28="",$B28="Land",$C28=""),"",IFERROR($C28*INDEX(Settings!$C$22:$AC$27,MATCH($B28,Settings!$A$22:$A$27,0),7),0))</f>
        <v/>
      </c>
      <c r="K28" s="38">
        <f>IF(OR($B28="",$B28="Land",$C28=""),"",IFERROR($C28*INDEX(Settings!$C$22:$AC$27,MATCH($B28,Settings!$A$22:$A$27,0),8),0))</f>
        <v/>
      </c>
      <c r="L28" s="38">
        <f>IF(OR($B28="",$B28="Land",$C28=""),"",IFERROR($C28*INDEX(Settings!$C$22:$AC$27,MATCH($B28,Settings!$A$22:$A$27,0),9),0))</f>
        <v/>
      </c>
      <c r="M28" s="38">
        <f>IF(OR($B28="",$B28="Land",$C28=""),"",IFERROR($C28*INDEX(Settings!$C$22:$AC$27,MATCH($B28,Settings!$A$22:$A$27,0),10),0))</f>
        <v/>
      </c>
      <c r="N28" s="38">
        <f>IF(OR($B28="",$B28="Land",$C28=""),"",IFERROR($C28*INDEX(Settings!$C$22:$AC$27,MATCH($B28,Settings!$A$22:$A$27,0),11),0))</f>
        <v/>
      </c>
      <c r="O28" s="38">
        <f>IF(OR($B28="",$B28="Land",$C28=""),"",IFERROR($C28*INDEX(Settings!$C$22:$AC$27,MATCH($B28,Settings!$A$22:$A$27,0),12),0))</f>
        <v/>
      </c>
      <c r="P28" s="38">
        <f>IF(OR($B28="",$B28="Land",$C28=""),"",IFERROR($C28*INDEX(Settings!$C$22:$AC$27,MATCH($B28,Settings!$A$22:$A$27,0),13),0))</f>
        <v/>
      </c>
      <c r="Q28" s="38">
        <f>IF(OR($B28="",$B28="Land",$C28=""),"",IFERROR($C28*INDEX(Settings!$C$22:$AC$27,MATCH($B28,Settings!$A$22:$A$27,0),14),0))</f>
        <v/>
      </c>
      <c r="R28" s="38">
        <f>IF(OR($B28="",$B28="Land",$C28=""),"",IFERROR($C28*INDEX(Settings!$C$22:$AC$27,MATCH($B28,Settings!$A$22:$A$27,0),15),0))</f>
        <v/>
      </c>
      <c r="S28" s="38">
        <f>IF(OR($B28="",$B28="Land",$C28=""),"",IFERROR($C28*INDEX(Settings!$C$22:$AC$27,MATCH($B28,Settings!$A$22:$A$27,0),16),0))</f>
        <v/>
      </c>
      <c r="T28" s="38">
        <f>IF(OR($B28="",$B28="Land",$C28=""),"",IFERROR($C28*INDEX(Settings!$C$22:$AC$27,MATCH($B28,Settings!$A$22:$A$27,0),17),0))</f>
        <v/>
      </c>
      <c r="U28" s="38">
        <f>IF(OR($B28="",$B28="Land",$C28=""),"",IFERROR($C28*INDEX(Settings!$C$22:$AC$27,MATCH($B28,Settings!$A$22:$A$27,0),18),0))</f>
        <v/>
      </c>
      <c r="V28" s="38">
        <f>IF(OR($B28="",$B28="Land",$C28=""),"",IFERROR($C28*INDEX(Settings!$C$22:$AC$27,MATCH($B28,Settings!$A$22:$A$27,0),19),0))</f>
        <v/>
      </c>
      <c r="W28" s="38">
        <f>IF(OR($B28="",$B28="Land",$C28=""),"",IFERROR($C28*INDEX(Settings!$C$22:$AC$27,MATCH($B28,Settings!$A$22:$A$27,0),20),0))</f>
        <v/>
      </c>
      <c r="X28" s="38">
        <f>IF(OR($B28="",$B28="Land",$C28=""),"",IFERROR($C28*INDEX(Settings!$C$22:$AC$27,MATCH($B28,Settings!$A$22:$A$27,0),21),0))</f>
        <v/>
      </c>
      <c r="Y28" s="38">
        <f>IF(OR($B28="",$B28="Land",$C28=""),"",IFERROR($C28*INDEX(Settings!$C$22:$AC$27,MATCH($B28,Settings!$A$22:$A$27,0),22),0))</f>
        <v/>
      </c>
      <c r="Z28" s="38">
        <f>IF(OR($B28="",$B28="Land",$C28=""),"",IFERROR($C28*INDEX(Settings!$C$22:$AC$27,MATCH($B28,Settings!$A$22:$A$27,0),23),0))</f>
        <v/>
      </c>
      <c r="AA28" s="38">
        <f>IF(OR($B28="",$B28="Land",$C28=""),"",IFERROR($C28*INDEX(Settings!$C$22:$AC$27,MATCH($B28,Settings!$A$22:$A$27,0),24),0))</f>
        <v/>
      </c>
      <c r="AB28" s="38">
        <f>IF(OR($B28="",$B28="Land",$C28=""),"",IFERROR($C28*INDEX(Settings!$C$22:$AC$27,MATCH($B28,Settings!$A$22:$A$27,0),25),0))</f>
        <v/>
      </c>
      <c r="AC28" s="38">
        <f>IF(OR($B28="",$B28="Land",$C28=""),"",IFERROR($C28*INDEX(Settings!$C$22:$AC$27,MATCH($B28,Settings!$A$22:$A$27,0),26),0))</f>
        <v/>
      </c>
      <c r="AD28" s="38">
        <f>IF(OR($B28="",$B28="Land",$C28=""),"",IFERROR($C28*INDEX(Settings!$C$22:$AC$27,MATCH($B28,Settings!$A$22:$A$27,0),27),0))</f>
        <v/>
      </c>
    </row>
    <row r="29" ht="16" customHeight="1">
      <c r="A29" s="37">
        <f>'Asset Register'!A29</f>
        <v/>
      </c>
      <c r="B29" s="34">
        <f>'Asset Register'!E29</f>
        <v/>
      </c>
      <c r="C29" s="33">
        <f>'Asset Register'!J29</f>
        <v/>
      </c>
      <c r="D29" s="38">
        <f>IF(OR($B29="",$B29="Land",$C29=""),"",IFERROR($C29*INDEX(Settings!$C$22:$AC$27,MATCH($B29,Settings!$A$22:$A$27,0),1),0))</f>
        <v/>
      </c>
      <c r="E29" s="38">
        <f>IF(OR($B29="",$B29="Land",$C29=""),"",IFERROR($C29*INDEX(Settings!$C$22:$AC$27,MATCH($B29,Settings!$A$22:$A$27,0),2),0))</f>
        <v/>
      </c>
      <c r="F29" s="38">
        <f>IF(OR($B29="",$B29="Land",$C29=""),"",IFERROR($C29*INDEX(Settings!$C$22:$AC$27,MATCH($B29,Settings!$A$22:$A$27,0),3),0))</f>
        <v/>
      </c>
      <c r="G29" s="38">
        <f>IF(OR($B29="",$B29="Land",$C29=""),"",IFERROR($C29*INDEX(Settings!$C$22:$AC$27,MATCH($B29,Settings!$A$22:$A$27,0),4),0))</f>
        <v/>
      </c>
      <c r="H29" s="38">
        <f>IF(OR($B29="",$B29="Land",$C29=""),"",IFERROR($C29*INDEX(Settings!$C$22:$AC$27,MATCH($B29,Settings!$A$22:$A$27,0),5),0))</f>
        <v/>
      </c>
      <c r="I29" s="38">
        <f>IF(OR($B29="",$B29="Land",$C29=""),"",IFERROR($C29*INDEX(Settings!$C$22:$AC$27,MATCH($B29,Settings!$A$22:$A$27,0),6),0))</f>
        <v/>
      </c>
      <c r="J29" s="38">
        <f>IF(OR($B29="",$B29="Land",$C29=""),"",IFERROR($C29*INDEX(Settings!$C$22:$AC$27,MATCH($B29,Settings!$A$22:$A$27,0),7),0))</f>
        <v/>
      </c>
      <c r="K29" s="38">
        <f>IF(OR($B29="",$B29="Land",$C29=""),"",IFERROR($C29*INDEX(Settings!$C$22:$AC$27,MATCH($B29,Settings!$A$22:$A$27,0),8),0))</f>
        <v/>
      </c>
      <c r="L29" s="38">
        <f>IF(OR($B29="",$B29="Land",$C29=""),"",IFERROR($C29*INDEX(Settings!$C$22:$AC$27,MATCH($B29,Settings!$A$22:$A$27,0),9),0))</f>
        <v/>
      </c>
      <c r="M29" s="38">
        <f>IF(OR($B29="",$B29="Land",$C29=""),"",IFERROR($C29*INDEX(Settings!$C$22:$AC$27,MATCH($B29,Settings!$A$22:$A$27,0),10),0))</f>
        <v/>
      </c>
      <c r="N29" s="38">
        <f>IF(OR($B29="",$B29="Land",$C29=""),"",IFERROR($C29*INDEX(Settings!$C$22:$AC$27,MATCH($B29,Settings!$A$22:$A$27,0),11),0))</f>
        <v/>
      </c>
      <c r="O29" s="38">
        <f>IF(OR($B29="",$B29="Land",$C29=""),"",IFERROR($C29*INDEX(Settings!$C$22:$AC$27,MATCH($B29,Settings!$A$22:$A$27,0),12),0))</f>
        <v/>
      </c>
      <c r="P29" s="38">
        <f>IF(OR($B29="",$B29="Land",$C29=""),"",IFERROR($C29*INDEX(Settings!$C$22:$AC$27,MATCH($B29,Settings!$A$22:$A$27,0),13),0))</f>
        <v/>
      </c>
      <c r="Q29" s="38">
        <f>IF(OR($B29="",$B29="Land",$C29=""),"",IFERROR($C29*INDEX(Settings!$C$22:$AC$27,MATCH($B29,Settings!$A$22:$A$27,0),14),0))</f>
        <v/>
      </c>
      <c r="R29" s="38">
        <f>IF(OR($B29="",$B29="Land",$C29=""),"",IFERROR($C29*INDEX(Settings!$C$22:$AC$27,MATCH($B29,Settings!$A$22:$A$27,0),15),0))</f>
        <v/>
      </c>
      <c r="S29" s="38">
        <f>IF(OR($B29="",$B29="Land",$C29=""),"",IFERROR($C29*INDEX(Settings!$C$22:$AC$27,MATCH($B29,Settings!$A$22:$A$27,0),16),0))</f>
        <v/>
      </c>
      <c r="T29" s="38">
        <f>IF(OR($B29="",$B29="Land",$C29=""),"",IFERROR($C29*INDEX(Settings!$C$22:$AC$27,MATCH($B29,Settings!$A$22:$A$27,0),17),0))</f>
        <v/>
      </c>
      <c r="U29" s="38">
        <f>IF(OR($B29="",$B29="Land",$C29=""),"",IFERROR($C29*INDEX(Settings!$C$22:$AC$27,MATCH($B29,Settings!$A$22:$A$27,0),18),0))</f>
        <v/>
      </c>
      <c r="V29" s="38">
        <f>IF(OR($B29="",$B29="Land",$C29=""),"",IFERROR($C29*INDEX(Settings!$C$22:$AC$27,MATCH($B29,Settings!$A$22:$A$27,0),19),0))</f>
        <v/>
      </c>
      <c r="W29" s="38">
        <f>IF(OR($B29="",$B29="Land",$C29=""),"",IFERROR($C29*INDEX(Settings!$C$22:$AC$27,MATCH($B29,Settings!$A$22:$A$27,0),20),0))</f>
        <v/>
      </c>
      <c r="X29" s="38">
        <f>IF(OR($B29="",$B29="Land",$C29=""),"",IFERROR($C29*INDEX(Settings!$C$22:$AC$27,MATCH($B29,Settings!$A$22:$A$27,0),21),0))</f>
        <v/>
      </c>
      <c r="Y29" s="38">
        <f>IF(OR($B29="",$B29="Land",$C29=""),"",IFERROR($C29*INDEX(Settings!$C$22:$AC$27,MATCH($B29,Settings!$A$22:$A$27,0),22),0))</f>
        <v/>
      </c>
      <c r="Z29" s="38">
        <f>IF(OR($B29="",$B29="Land",$C29=""),"",IFERROR($C29*INDEX(Settings!$C$22:$AC$27,MATCH($B29,Settings!$A$22:$A$27,0),23),0))</f>
        <v/>
      </c>
      <c r="AA29" s="38">
        <f>IF(OR($B29="",$B29="Land",$C29=""),"",IFERROR($C29*INDEX(Settings!$C$22:$AC$27,MATCH($B29,Settings!$A$22:$A$27,0),24),0))</f>
        <v/>
      </c>
      <c r="AB29" s="38">
        <f>IF(OR($B29="",$B29="Land",$C29=""),"",IFERROR($C29*INDEX(Settings!$C$22:$AC$27,MATCH($B29,Settings!$A$22:$A$27,0),25),0))</f>
        <v/>
      </c>
      <c r="AC29" s="38">
        <f>IF(OR($B29="",$B29="Land",$C29=""),"",IFERROR($C29*INDEX(Settings!$C$22:$AC$27,MATCH($B29,Settings!$A$22:$A$27,0),26),0))</f>
        <v/>
      </c>
      <c r="AD29" s="38">
        <f>IF(OR($B29="",$B29="Land",$C29=""),"",IFERROR($C29*INDEX(Settings!$C$22:$AC$27,MATCH($B29,Settings!$A$22:$A$27,0),27),0))</f>
        <v/>
      </c>
    </row>
    <row r="30" ht="16" customHeight="1">
      <c r="A30" s="37">
        <f>'Asset Register'!A30</f>
        <v/>
      </c>
      <c r="B30" s="34">
        <f>'Asset Register'!E30</f>
        <v/>
      </c>
      <c r="C30" s="33">
        <f>'Asset Register'!J30</f>
        <v/>
      </c>
      <c r="D30" s="38">
        <f>IF(OR($B30="",$B30="Land",$C30=""),"",IFERROR($C30*INDEX(Settings!$C$22:$AC$27,MATCH($B30,Settings!$A$22:$A$27,0),1),0))</f>
        <v/>
      </c>
      <c r="E30" s="38">
        <f>IF(OR($B30="",$B30="Land",$C30=""),"",IFERROR($C30*INDEX(Settings!$C$22:$AC$27,MATCH($B30,Settings!$A$22:$A$27,0),2),0))</f>
        <v/>
      </c>
      <c r="F30" s="38">
        <f>IF(OR($B30="",$B30="Land",$C30=""),"",IFERROR($C30*INDEX(Settings!$C$22:$AC$27,MATCH($B30,Settings!$A$22:$A$27,0),3),0))</f>
        <v/>
      </c>
      <c r="G30" s="38">
        <f>IF(OR($B30="",$B30="Land",$C30=""),"",IFERROR($C30*INDEX(Settings!$C$22:$AC$27,MATCH($B30,Settings!$A$22:$A$27,0),4),0))</f>
        <v/>
      </c>
      <c r="H30" s="38">
        <f>IF(OR($B30="",$B30="Land",$C30=""),"",IFERROR($C30*INDEX(Settings!$C$22:$AC$27,MATCH($B30,Settings!$A$22:$A$27,0),5),0))</f>
        <v/>
      </c>
      <c r="I30" s="38">
        <f>IF(OR($B30="",$B30="Land",$C30=""),"",IFERROR($C30*INDEX(Settings!$C$22:$AC$27,MATCH($B30,Settings!$A$22:$A$27,0),6),0))</f>
        <v/>
      </c>
      <c r="J30" s="38">
        <f>IF(OR($B30="",$B30="Land",$C30=""),"",IFERROR($C30*INDEX(Settings!$C$22:$AC$27,MATCH($B30,Settings!$A$22:$A$27,0),7),0))</f>
        <v/>
      </c>
      <c r="K30" s="38">
        <f>IF(OR($B30="",$B30="Land",$C30=""),"",IFERROR($C30*INDEX(Settings!$C$22:$AC$27,MATCH($B30,Settings!$A$22:$A$27,0),8),0))</f>
        <v/>
      </c>
      <c r="L30" s="38">
        <f>IF(OR($B30="",$B30="Land",$C30=""),"",IFERROR($C30*INDEX(Settings!$C$22:$AC$27,MATCH($B30,Settings!$A$22:$A$27,0),9),0))</f>
        <v/>
      </c>
      <c r="M30" s="38">
        <f>IF(OR($B30="",$B30="Land",$C30=""),"",IFERROR($C30*INDEX(Settings!$C$22:$AC$27,MATCH($B30,Settings!$A$22:$A$27,0),10),0))</f>
        <v/>
      </c>
      <c r="N30" s="38">
        <f>IF(OR($B30="",$B30="Land",$C30=""),"",IFERROR($C30*INDEX(Settings!$C$22:$AC$27,MATCH($B30,Settings!$A$22:$A$27,0),11),0))</f>
        <v/>
      </c>
      <c r="O30" s="38">
        <f>IF(OR($B30="",$B30="Land",$C30=""),"",IFERROR($C30*INDEX(Settings!$C$22:$AC$27,MATCH($B30,Settings!$A$22:$A$27,0),12),0))</f>
        <v/>
      </c>
      <c r="P30" s="38">
        <f>IF(OR($B30="",$B30="Land",$C30=""),"",IFERROR($C30*INDEX(Settings!$C$22:$AC$27,MATCH($B30,Settings!$A$22:$A$27,0),13),0))</f>
        <v/>
      </c>
      <c r="Q30" s="38">
        <f>IF(OR($B30="",$B30="Land",$C30=""),"",IFERROR($C30*INDEX(Settings!$C$22:$AC$27,MATCH($B30,Settings!$A$22:$A$27,0),14),0))</f>
        <v/>
      </c>
      <c r="R30" s="38">
        <f>IF(OR($B30="",$B30="Land",$C30=""),"",IFERROR($C30*INDEX(Settings!$C$22:$AC$27,MATCH($B30,Settings!$A$22:$A$27,0),15),0))</f>
        <v/>
      </c>
      <c r="S30" s="38">
        <f>IF(OR($B30="",$B30="Land",$C30=""),"",IFERROR($C30*INDEX(Settings!$C$22:$AC$27,MATCH($B30,Settings!$A$22:$A$27,0),16),0))</f>
        <v/>
      </c>
      <c r="T30" s="38">
        <f>IF(OR($B30="",$B30="Land",$C30=""),"",IFERROR($C30*INDEX(Settings!$C$22:$AC$27,MATCH($B30,Settings!$A$22:$A$27,0),17),0))</f>
        <v/>
      </c>
      <c r="U30" s="38">
        <f>IF(OR($B30="",$B30="Land",$C30=""),"",IFERROR($C30*INDEX(Settings!$C$22:$AC$27,MATCH($B30,Settings!$A$22:$A$27,0),18),0))</f>
        <v/>
      </c>
      <c r="V30" s="38">
        <f>IF(OR($B30="",$B30="Land",$C30=""),"",IFERROR($C30*INDEX(Settings!$C$22:$AC$27,MATCH($B30,Settings!$A$22:$A$27,0),19),0))</f>
        <v/>
      </c>
      <c r="W30" s="38">
        <f>IF(OR($B30="",$B30="Land",$C30=""),"",IFERROR($C30*INDEX(Settings!$C$22:$AC$27,MATCH($B30,Settings!$A$22:$A$27,0),20),0))</f>
        <v/>
      </c>
      <c r="X30" s="38">
        <f>IF(OR($B30="",$B30="Land",$C30=""),"",IFERROR($C30*INDEX(Settings!$C$22:$AC$27,MATCH($B30,Settings!$A$22:$A$27,0),21),0))</f>
        <v/>
      </c>
      <c r="Y30" s="38">
        <f>IF(OR($B30="",$B30="Land",$C30=""),"",IFERROR($C30*INDEX(Settings!$C$22:$AC$27,MATCH($B30,Settings!$A$22:$A$27,0),22),0))</f>
        <v/>
      </c>
      <c r="Z30" s="38">
        <f>IF(OR($B30="",$B30="Land",$C30=""),"",IFERROR($C30*INDEX(Settings!$C$22:$AC$27,MATCH($B30,Settings!$A$22:$A$27,0),23),0))</f>
        <v/>
      </c>
      <c r="AA30" s="38">
        <f>IF(OR($B30="",$B30="Land",$C30=""),"",IFERROR($C30*INDEX(Settings!$C$22:$AC$27,MATCH($B30,Settings!$A$22:$A$27,0),24),0))</f>
        <v/>
      </c>
      <c r="AB30" s="38">
        <f>IF(OR($B30="",$B30="Land",$C30=""),"",IFERROR($C30*INDEX(Settings!$C$22:$AC$27,MATCH($B30,Settings!$A$22:$A$27,0),25),0))</f>
        <v/>
      </c>
      <c r="AC30" s="38">
        <f>IF(OR($B30="",$B30="Land",$C30=""),"",IFERROR($C30*INDEX(Settings!$C$22:$AC$27,MATCH($B30,Settings!$A$22:$A$27,0),26),0))</f>
        <v/>
      </c>
      <c r="AD30" s="38">
        <f>IF(OR($B30="",$B30="Land",$C30=""),"",IFERROR($C30*INDEX(Settings!$C$22:$AC$27,MATCH($B30,Settings!$A$22:$A$27,0),27),0))</f>
        <v/>
      </c>
    </row>
    <row r="31" ht="16" customHeight="1">
      <c r="A31" s="37">
        <f>'Asset Register'!A31</f>
        <v/>
      </c>
      <c r="B31" s="34">
        <f>'Asset Register'!E31</f>
        <v/>
      </c>
      <c r="C31" s="33">
        <f>'Asset Register'!J31</f>
        <v/>
      </c>
      <c r="D31" s="38">
        <f>IF(OR($B31="",$B31="Land",$C31=""),"",IFERROR($C31*INDEX(Settings!$C$22:$AC$27,MATCH($B31,Settings!$A$22:$A$27,0),1),0))</f>
        <v/>
      </c>
      <c r="E31" s="38">
        <f>IF(OR($B31="",$B31="Land",$C31=""),"",IFERROR($C31*INDEX(Settings!$C$22:$AC$27,MATCH($B31,Settings!$A$22:$A$27,0),2),0))</f>
        <v/>
      </c>
      <c r="F31" s="38">
        <f>IF(OR($B31="",$B31="Land",$C31=""),"",IFERROR($C31*INDEX(Settings!$C$22:$AC$27,MATCH($B31,Settings!$A$22:$A$27,0),3),0))</f>
        <v/>
      </c>
      <c r="G31" s="38">
        <f>IF(OR($B31="",$B31="Land",$C31=""),"",IFERROR($C31*INDEX(Settings!$C$22:$AC$27,MATCH($B31,Settings!$A$22:$A$27,0),4),0))</f>
        <v/>
      </c>
      <c r="H31" s="38">
        <f>IF(OR($B31="",$B31="Land",$C31=""),"",IFERROR($C31*INDEX(Settings!$C$22:$AC$27,MATCH($B31,Settings!$A$22:$A$27,0),5),0))</f>
        <v/>
      </c>
      <c r="I31" s="38">
        <f>IF(OR($B31="",$B31="Land",$C31=""),"",IFERROR($C31*INDEX(Settings!$C$22:$AC$27,MATCH($B31,Settings!$A$22:$A$27,0),6),0))</f>
        <v/>
      </c>
      <c r="J31" s="38">
        <f>IF(OR($B31="",$B31="Land",$C31=""),"",IFERROR($C31*INDEX(Settings!$C$22:$AC$27,MATCH($B31,Settings!$A$22:$A$27,0),7),0))</f>
        <v/>
      </c>
      <c r="K31" s="38">
        <f>IF(OR($B31="",$B31="Land",$C31=""),"",IFERROR($C31*INDEX(Settings!$C$22:$AC$27,MATCH($B31,Settings!$A$22:$A$27,0),8),0))</f>
        <v/>
      </c>
      <c r="L31" s="38">
        <f>IF(OR($B31="",$B31="Land",$C31=""),"",IFERROR($C31*INDEX(Settings!$C$22:$AC$27,MATCH($B31,Settings!$A$22:$A$27,0),9),0))</f>
        <v/>
      </c>
      <c r="M31" s="38">
        <f>IF(OR($B31="",$B31="Land",$C31=""),"",IFERROR($C31*INDEX(Settings!$C$22:$AC$27,MATCH($B31,Settings!$A$22:$A$27,0),10),0))</f>
        <v/>
      </c>
      <c r="N31" s="38">
        <f>IF(OR($B31="",$B31="Land",$C31=""),"",IFERROR($C31*INDEX(Settings!$C$22:$AC$27,MATCH($B31,Settings!$A$22:$A$27,0),11),0))</f>
        <v/>
      </c>
      <c r="O31" s="38">
        <f>IF(OR($B31="",$B31="Land",$C31=""),"",IFERROR($C31*INDEX(Settings!$C$22:$AC$27,MATCH($B31,Settings!$A$22:$A$27,0),12),0))</f>
        <v/>
      </c>
      <c r="P31" s="38">
        <f>IF(OR($B31="",$B31="Land",$C31=""),"",IFERROR($C31*INDEX(Settings!$C$22:$AC$27,MATCH($B31,Settings!$A$22:$A$27,0),13),0))</f>
        <v/>
      </c>
      <c r="Q31" s="38">
        <f>IF(OR($B31="",$B31="Land",$C31=""),"",IFERROR($C31*INDEX(Settings!$C$22:$AC$27,MATCH($B31,Settings!$A$22:$A$27,0),14),0))</f>
        <v/>
      </c>
      <c r="R31" s="38">
        <f>IF(OR($B31="",$B31="Land",$C31=""),"",IFERROR($C31*INDEX(Settings!$C$22:$AC$27,MATCH($B31,Settings!$A$22:$A$27,0),15),0))</f>
        <v/>
      </c>
      <c r="S31" s="38">
        <f>IF(OR($B31="",$B31="Land",$C31=""),"",IFERROR($C31*INDEX(Settings!$C$22:$AC$27,MATCH($B31,Settings!$A$22:$A$27,0),16),0))</f>
        <v/>
      </c>
      <c r="T31" s="38">
        <f>IF(OR($B31="",$B31="Land",$C31=""),"",IFERROR($C31*INDEX(Settings!$C$22:$AC$27,MATCH($B31,Settings!$A$22:$A$27,0),17),0))</f>
        <v/>
      </c>
      <c r="U31" s="38">
        <f>IF(OR($B31="",$B31="Land",$C31=""),"",IFERROR($C31*INDEX(Settings!$C$22:$AC$27,MATCH($B31,Settings!$A$22:$A$27,0),18),0))</f>
        <v/>
      </c>
      <c r="V31" s="38">
        <f>IF(OR($B31="",$B31="Land",$C31=""),"",IFERROR($C31*INDEX(Settings!$C$22:$AC$27,MATCH($B31,Settings!$A$22:$A$27,0),19),0))</f>
        <v/>
      </c>
      <c r="W31" s="38">
        <f>IF(OR($B31="",$B31="Land",$C31=""),"",IFERROR($C31*INDEX(Settings!$C$22:$AC$27,MATCH($B31,Settings!$A$22:$A$27,0),20),0))</f>
        <v/>
      </c>
      <c r="X31" s="38">
        <f>IF(OR($B31="",$B31="Land",$C31=""),"",IFERROR($C31*INDEX(Settings!$C$22:$AC$27,MATCH($B31,Settings!$A$22:$A$27,0),21),0))</f>
        <v/>
      </c>
      <c r="Y31" s="38">
        <f>IF(OR($B31="",$B31="Land",$C31=""),"",IFERROR($C31*INDEX(Settings!$C$22:$AC$27,MATCH($B31,Settings!$A$22:$A$27,0),22),0))</f>
        <v/>
      </c>
      <c r="Z31" s="38">
        <f>IF(OR($B31="",$B31="Land",$C31=""),"",IFERROR($C31*INDEX(Settings!$C$22:$AC$27,MATCH($B31,Settings!$A$22:$A$27,0),23),0))</f>
        <v/>
      </c>
      <c r="AA31" s="38">
        <f>IF(OR($B31="",$B31="Land",$C31=""),"",IFERROR($C31*INDEX(Settings!$C$22:$AC$27,MATCH($B31,Settings!$A$22:$A$27,0),24),0))</f>
        <v/>
      </c>
      <c r="AB31" s="38">
        <f>IF(OR($B31="",$B31="Land",$C31=""),"",IFERROR($C31*INDEX(Settings!$C$22:$AC$27,MATCH($B31,Settings!$A$22:$A$27,0),25),0))</f>
        <v/>
      </c>
      <c r="AC31" s="38">
        <f>IF(OR($B31="",$B31="Land",$C31=""),"",IFERROR($C31*INDEX(Settings!$C$22:$AC$27,MATCH($B31,Settings!$A$22:$A$27,0),26),0))</f>
        <v/>
      </c>
      <c r="AD31" s="38">
        <f>IF(OR($B31="",$B31="Land",$C31=""),"",IFERROR($C31*INDEX(Settings!$C$22:$AC$27,MATCH($B31,Settings!$A$22:$A$27,0),27),0))</f>
        <v/>
      </c>
    </row>
    <row r="32" ht="16" customHeight="1">
      <c r="A32" s="37">
        <f>'Asset Register'!A32</f>
        <v/>
      </c>
      <c r="B32" s="34">
        <f>'Asset Register'!E32</f>
        <v/>
      </c>
      <c r="C32" s="33">
        <f>'Asset Register'!J32</f>
        <v/>
      </c>
      <c r="D32" s="38">
        <f>IF(OR($B32="",$B32="Land",$C32=""),"",IFERROR($C32*INDEX(Settings!$C$22:$AC$27,MATCH($B32,Settings!$A$22:$A$27,0),1),0))</f>
        <v/>
      </c>
      <c r="E32" s="38">
        <f>IF(OR($B32="",$B32="Land",$C32=""),"",IFERROR($C32*INDEX(Settings!$C$22:$AC$27,MATCH($B32,Settings!$A$22:$A$27,0),2),0))</f>
        <v/>
      </c>
      <c r="F32" s="38">
        <f>IF(OR($B32="",$B32="Land",$C32=""),"",IFERROR($C32*INDEX(Settings!$C$22:$AC$27,MATCH($B32,Settings!$A$22:$A$27,0),3),0))</f>
        <v/>
      </c>
      <c r="G32" s="38">
        <f>IF(OR($B32="",$B32="Land",$C32=""),"",IFERROR($C32*INDEX(Settings!$C$22:$AC$27,MATCH($B32,Settings!$A$22:$A$27,0),4),0))</f>
        <v/>
      </c>
      <c r="H32" s="38">
        <f>IF(OR($B32="",$B32="Land",$C32=""),"",IFERROR($C32*INDEX(Settings!$C$22:$AC$27,MATCH($B32,Settings!$A$22:$A$27,0),5),0))</f>
        <v/>
      </c>
      <c r="I32" s="38">
        <f>IF(OR($B32="",$B32="Land",$C32=""),"",IFERROR($C32*INDEX(Settings!$C$22:$AC$27,MATCH($B32,Settings!$A$22:$A$27,0),6),0))</f>
        <v/>
      </c>
      <c r="J32" s="38">
        <f>IF(OR($B32="",$B32="Land",$C32=""),"",IFERROR($C32*INDEX(Settings!$C$22:$AC$27,MATCH($B32,Settings!$A$22:$A$27,0),7),0))</f>
        <v/>
      </c>
      <c r="K32" s="38">
        <f>IF(OR($B32="",$B32="Land",$C32=""),"",IFERROR($C32*INDEX(Settings!$C$22:$AC$27,MATCH($B32,Settings!$A$22:$A$27,0),8),0))</f>
        <v/>
      </c>
      <c r="L32" s="38">
        <f>IF(OR($B32="",$B32="Land",$C32=""),"",IFERROR($C32*INDEX(Settings!$C$22:$AC$27,MATCH($B32,Settings!$A$22:$A$27,0),9),0))</f>
        <v/>
      </c>
      <c r="M32" s="38">
        <f>IF(OR($B32="",$B32="Land",$C32=""),"",IFERROR($C32*INDEX(Settings!$C$22:$AC$27,MATCH($B32,Settings!$A$22:$A$27,0),10),0))</f>
        <v/>
      </c>
      <c r="N32" s="38">
        <f>IF(OR($B32="",$B32="Land",$C32=""),"",IFERROR($C32*INDEX(Settings!$C$22:$AC$27,MATCH($B32,Settings!$A$22:$A$27,0),11),0))</f>
        <v/>
      </c>
      <c r="O32" s="38">
        <f>IF(OR($B32="",$B32="Land",$C32=""),"",IFERROR($C32*INDEX(Settings!$C$22:$AC$27,MATCH($B32,Settings!$A$22:$A$27,0),12),0))</f>
        <v/>
      </c>
      <c r="P32" s="38">
        <f>IF(OR($B32="",$B32="Land",$C32=""),"",IFERROR($C32*INDEX(Settings!$C$22:$AC$27,MATCH($B32,Settings!$A$22:$A$27,0),13),0))</f>
        <v/>
      </c>
      <c r="Q32" s="38">
        <f>IF(OR($B32="",$B32="Land",$C32=""),"",IFERROR($C32*INDEX(Settings!$C$22:$AC$27,MATCH($B32,Settings!$A$22:$A$27,0),14),0))</f>
        <v/>
      </c>
      <c r="R32" s="38">
        <f>IF(OR($B32="",$B32="Land",$C32=""),"",IFERROR($C32*INDEX(Settings!$C$22:$AC$27,MATCH($B32,Settings!$A$22:$A$27,0),15),0))</f>
        <v/>
      </c>
      <c r="S32" s="38">
        <f>IF(OR($B32="",$B32="Land",$C32=""),"",IFERROR($C32*INDEX(Settings!$C$22:$AC$27,MATCH($B32,Settings!$A$22:$A$27,0),16),0))</f>
        <v/>
      </c>
      <c r="T32" s="38">
        <f>IF(OR($B32="",$B32="Land",$C32=""),"",IFERROR($C32*INDEX(Settings!$C$22:$AC$27,MATCH($B32,Settings!$A$22:$A$27,0),17),0))</f>
        <v/>
      </c>
      <c r="U32" s="38">
        <f>IF(OR($B32="",$B32="Land",$C32=""),"",IFERROR($C32*INDEX(Settings!$C$22:$AC$27,MATCH($B32,Settings!$A$22:$A$27,0),18),0))</f>
        <v/>
      </c>
      <c r="V32" s="38">
        <f>IF(OR($B32="",$B32="Land",$C32=""),"",IFERROR($C32*INDEX(Settings!$C$22:$AC$27,MATCH($B32,Settings!$A$22:$A$27,0),19),0))</f>
        <v/>
      </c>
      <c r="W32" s="38">
        <f>IF(OR($B32="",$B32="Land",$C32=""),"",IFERROR($C32*INDEX(Settings!$C$22:$AC$27,MATCH($B32,Settings!$A$22:$A$27,0),20),0))</f>
        <v/>
      </c>
      <c r="X32" s="38">
        <f>IF(OR($B32="",$B32="Land",$C32=""),"",IFERROR($C32*INDEX(Settings!$C$22:$AC$27,MATCH($B32,Settings!$A$22:$A$27,0),21),0))</f>
        <v/>
      </c>
      <c r="Y32" s="38">
        <f>IF(OR($B32="",$B32="Land",$C32=""),"",IFERROR($C32*INDEX(Settings!$C$22:$AC$27,MATCH($B32,Settings!$A$22:$A$27,0),22),0))</f>
        <v/>
      </c>
      <c r="Z32" s="38">
        <f>IF(OR($B32="",$B32="Land",$C32=""),"",IFERROR($C32*INDEX(Settings!$C$22:$AC$27,MATCH($B32,Settings!$A$22:$A$27,0),23),0))</f>
        <v/>
      </c>
      <c r="AA32" s="38">
        <f>IF(OR($B32="",$B32="Land",$C32=""),"",IFERROR($C32*INDEX(Settings!$C$22:$AC$27,MATCH($B32,Settings!$A$22:$A$27,0),24),0))</f>
        <v/>
      </c>
      <c r="AB32" s="38">
        <f>IF(OR($B32="",$B32="Land",$C32=""),"",IFERROR($C32*INDEX(Settings!$C$22:$AC$27,MATCH($B32,Settings!$A$22:$A$27,0),25),0))</f>
        <v/>
      </c>
      <c r="AC32" s="38">
        <f>IF(OR($B32="",$B32="Land",$C32=""),"",IFERROR($C32*INDEX(Settings!$C$22:$AC$27,MATCH($B32,Settings!$A$22:$A$27,0),26),0))</f>
        <v/>
      </c>
      <c r="AD32" s="38">
        <f>IF(OR($B32="",$B32="Land",$C32=""),"",IFERROR($C32*INDEX(Settings!$C$22:$AC$27,MATCH($B32,Settings!$A$22:$A$27,0),27),0))</f>
        <v/>
      </c>
    </row>
    <row r="33" ht="16" customHeight="1">
      <c r="A33" s="37">
        <f>'Asset Register'!A33</f>
        <v/>
      </c>
      <c r="B33" s="34">
        <f>'Asset Register'!E33</f>
        <v/>
      </c>
      <c r="C33" s="33">
        <f>'Asset Register'!J33</f>
        <v/>
      </c>
      <c r="D33" s="38">
        <f>IF(OR($B33="",$B33="Land",$C33=""),"",IFERROR($C33*INDEX(Settings!$C$22:$AC$27,MATCH($B33,Settings!$A$22:$A$27,0),1),0))</f>
        <v/>
      </c>
      <c r="E33" s="38">
        <f>IF(OR($B33="",$B33="Land",$C33=""),"",IFERROR($C33*INDEX(Settings!$C$22:$AC$27,MATCH($B33,Settings!$A$22:$A$27,0),2),0))</f>
        <v/>
      </c>
      <c r="F33" s="38">
        <f>IF(OR($B33="",$B33="Land",$C33=""),"",IFERROR($C33*INDEX(Settings!$C$22:$AC$27,MATCH($B33,Settings!$A$22:$A$27,0),3),0))</f>
        <v/>
      </c>
      <c r="G33" s="38">
        <f>IF(OR($B33="",$B33="Land",$C33=""),"",IFERROR($C33*INDEX(Settings!$C$22:$AC$27,MATCH($B33,Settings!$A$22:$A$27,0),4),0))</f>
        <v/>
      </c>
      <c r="H33" s="38">
        <f>IF(OR($B33="",$B33="Land",$C33=""),"",IFERROR($C33*INDEX(Settings!$C$22:$AC$27,MATCH($B33,Settings!$A$22:$A$27,0),5),0))</f>
        <v/>
      </c>
      <c r="I33" s="38">
        <f>IF(OR($B33="",$B33="Land",$C33=""),"",IFERROR($C33*INDEX(Settings!$C$22:$AC$27,MATCH($B33,Settings!$A$22:$A$27,0),6),0))</f>
        <v/>
      </c>
      <c r="J33" s="38">
        <f>IF(OR($B33="",$B33="Land",$C33=""),"",IFERROR($C33*INDEX(Settings!$C$22:$AC$27,MATCH($B33,Settings!$A$22:$A$27,0),7),0))</f>
        <v/>
      </c>
      <c r="K33" s="38">
        <f>IF(OR($B33="",$B33="Land",$C33=""),"",IFERROR($C33*INDEX(Settings!$C$22:$AC$27,MATCH($B33,Settings!$A$22:$A$27,0),8),0))</f>
        <v/>
      </c>
      <c r="L33" s="38">
        <f>IF(OR($B33="",$B33="Land",$C33=""),"",IFERROR($C33*INDEX(Settings!$C$22:$AC$27,MATCH($B33,Settings!$A$22:$A$27,0),9),0))</f>
        <v/>
      </c>
      <c r="M33" s="38">
        <f>IF(OR($B33="",$B33="Land",$C33=""),"",IFERROR($C33*INDEX(Settings!$C$22:$AC$27,MATCH($B33,Settings!$A$22:$A$27,0),10),0))</f>
        <v/>
      </c>
      <c r="N33" s="38">
        <f>IF(OR($B33="",$B33="Land",$C33=""),"",IFERROR($C33*INDEX(Settings!$C$22:$AC$27,MATCH($B33,Settings!$A$22:$A$27,0),11),0))</f>
        <v/>
      </c>
      <c r="O33" s="38">
        <f>IF(OR($B33="",$B33="Land",$C33=""),"",IFERROR($C33*INDEX(Settings!$C$22:$AC$27,MATCH($B33,Settings!$A$22:$A$27,0),12),0))</f>
        <v/>
      </c>
      <c r="P33" s="38">
        <f>IF(OR($B33="",$B33="Land",$C33=""),"",IFERROR($C33*INDEX(Settings!$C$22:$AC$27,MATCH($B33,Settings!$A$22:$A$27,0),13),0))</f>
        <v/>
      </c>
      <c r="Q33" s="38">
        <f>IF(OR($B33="",$B33="Land",$C33=""),"",IFERROR($C33*INDEX(Settings!$C$22:$AC$27,MATCH($B33,Settings!$A$22:$A$27,0),14),0))</f>
        <v/>
      </c>
      <c r="R33" s="38">
        <f>IF(OR($B33="",$B33="Land",$C33=""),"",IFERROR($C33*INDEX(Settings!$C$22:$AC$27,MATCH($B33,Settings!$A$22:$A$27,0),15),0))</f>
        <v/>
      </c>
      <c r="S33" s="38">
        <f>IF(OR($B33="",$B33="Land",$C33=""),"",IFERROR($C33*INDEX(Settings!$C$22:$AC$27,MATCH($B33,Settings!$A$22:$A$27,0),16),0))</f>
        <v/>
      </c>
      <c r="T33" s="38">
        <f>IF(OR($B33="",$B33="Land",$C33=""),"",IFERROR($C33*INDEX(Settings!$C$22:$AC$27,MATCH($B33,Settings!$A$22:$A$27,0),17),0))</f>
        <v/>
      </c>
      <c r="U33" s="38">
        <f>IF(OR($B33="",$B33="Land",$C33=""),"",IFERROR($C33*INDEX(Settings!$C$22:$AC$27,MATCH($B33,Settings!$A$22:$A$27,0),18),0))</f>
        <v/>
      </c>
      <c r="V33" s="38">
        <f>IF(OR($B33="",$B33="Land",$C33=""),"",IFERROR($C33*INDEX(Settings!$C$22:$AC$27,MATCH($B33,Settings!$A$22:$A$27,0),19),0))</f>
        <v/>
      </c>
      <c r="W33" s="38">
        <f>IF(OR($B33="",$B33="Land",$C33=""),"",IFERROR($C33*INDEX(Settings!$C$22:$AC$27,MATCH($B33,Settings!$A$22:$A$27,0),20),0))</f>
        <v/>
      </c>
      <c r="X33" s="38">
        <f>IF(OR($B33="",$B33="Land",$C33=""),"",IFERROR($C33*INDEX(Settings!$C$22:$AC$27,MATCH($B33,Settings!$A$22:$A$27,0),21),0))</f>
        <v/>
      </c>
      <c r="Y33" s="38">
        <f>IF(OR($B33="",$B33="Land",$C33=""),"",IFERROR($C33*INDEX(Settings!$C$22:$AC$27,MATCH($B33,Settings!$A$22:$A$27,0),22),0))</f>
        <v/>
      </c>
      <c r="Z33" s="38">
        <f>IF(OR($B33="",$B33="Land",$C33=""),"",IFERROR($C33*INDEX(Settings!$C$22:$AC$27,MATCH($B33,Settings!$A$22:$A$27,0),23),0))</f>
        <v/>
      </c>
      <c r="AA33" s="38">
        <f>IF(OR($B33="",$B33="Land",$C33=""),"",IFERROR($C33*INDEX(Settings!$C$22:$AC$27,MATCH($B33,Settings!$A$22:$A$27,0),24),0))</f>
        <v/>
      </c>
      <c r="AB33" s="38">
        <f>IF(OR($B33="",$B33="Land",$C33=""),"",IFERROR($C33*INDEX(Settings!$C$22:$AC$27,MATCH($B33,Settings!$A$22:$A$27,0),25),0))</f>
        <v/>
      </c>
      <c r="AC33" s="38">
        <f>IF(OR($B33="",$B33="Land",$C33=""),"",IFERROR($C33*INDEX(Settings!$C$22:$AC$27,MATCH($B33,Settings!$A$22:$A$27,0),26),0))</f>
        <v/>
      </c>
      <c r="AD33" s="38">
        <f>IF(OR($B33="",$B33="Land",$C33=""),"",IFERROR($C33*INDEX(Settings!$C$22:$AC$27,MATCH($B33,Settings!$A$22:$A$27,0),27),0))</f>
        <v/>
      </c>
    </row>
    <row r="34" ht="16" customHeight="1">
      <c r="A34" s="37">
        <f>'Asset Register'!A34</f>
        <v/>
      </c>
      <c r="B34" s="34">
        <f>'Asset Register'!E34</f>
        <v/>
      </c>
      <c r="C34" s="33">
        <f>'Asset Register'!J34</f>
        <v/>
      </c>
      <c r="D34" s="38">
        <f>IF(OR($B34="",$B34="Land",$C34=""),"",IFERROR($C34*INDEX(Settings!$C$22:$AC$27,MATCH($B34,Settings!$A$22:$A$27,0),1),0))</f>
        <v/>
      </c>
      <c r="E34" s="38">
        <f>IF(OR($B34="",$B34="Land",$C34=""),"",IFERROR($C34*INDEX(Settings!$C$22:$AC$27,MATCH($B34,Settings!$A$22:$A$27,0),2),0))</f>
        <v/>
      </c>
      <c r="F34" s="38">
        <f>IF(OR($B34="",$B34="Land",$C34=""),"",IFERROR($C34*INDEX(Settings!$C$22:$AC$27,MATCH($B34,Settings!$A$22:$A$27,0),3),0))</f>
        <v/>
      </c>
      <c r="G34" s="38">
        <f>IF(OR($B34="",$B34="Land",$C34=""),"",IFERROR($C34*INDEX(Settings!$C$22:$AC$27,MATCH($B34,Settings!$A$22:$A$27,0),4),0))</f>
        <v/>
      </c>
      <c r="H34" s="38">
        <f>IF(OR($B34="",$B34="Land",$C34=""),"",IFERROR($C34*INDEX(Settings!$C$22:$AC$27,MATCH($B34,Settings!$A$22:$A$27,0),5),0))</f>
        <v/>
      </c>
      <c r="I34" s="38">
        <f>IF(OR($B34="",$B34="Land",$C34=""),"",IFERROR($C34*INDEX(Settings!$C$22:$AC$27,MATCH($B34,Settings!$A$22:$A$27,0),6),0))</f>
        <v/>
      </c>
      <c r="J34" s="38">
        <f>IF(OR($B34="",$B34="Land",$C34=""),"",IFERROR($C34*INDEX(Settings!$C$22:$AC$27,MATCH($B34,Settings!$A$22:$A$27,0),7),0))</f>
        <v/>
      </c>
      <c r="K34" s="38">
        <f>IF(OR($B34="",$B34="Land",$C34=""),"",IFERROR($C34*INDEX(Settings!$C$22:$AC$27,MATCH($B34,Settings!$A$22:$A$27,0),8),0))</f>
        <v/>
      </c>
      <c r="L34" s="38">
        <f>IF(OR($B34="",$B34="Land",$C34=""),"",IFERROR($C34*INDEX(Settings!$C$22:$AC$27,MATCH($B34,Settings!$A$22:$A$27,0),9),0))</f>
        <v/>
      </c>
      <c r="M34" s="38">
        <f>IF(OR($B34="",$B34="Land",$C34=""),"",IFERROR($C34*INDEX(Settings!$C$22:$AC$27,MATCH($B34,Settings!$A$22:$A$27,0),10),0))</f>
        <v/>
      </c>
      <c r="N34" s="38">
        <f>IF(OR($B34="",$B34="Land",$C34=""),"",IFERROR($C34*INDEX(Settings!$C$22:$AC$27,MATCH($B34,Settings!$A$22:$A$27,0),11),0))</f>
        <v/>
      </c>
      <c r="O34" s="38">
        <f>IF(OR($B34="",$B34="Land",$C34=""),"",IFERROR($C34*INDEX(Settings!$C$22:$AC$27,MATCH($B34,Settings!$A$22:$A$27,0),12),0))</f>
        <v/>
      </c>
      <c r="P34" s="38">
        <f>IF(OR($B34="",$B34="Land",$C34=""),"",IFERROR($C34*INDEX(Settings!$C$22:$AC$27,MATCH($B34,Settings!$A$22:$A$27,0),13),0))</f>
        <v/>
      </c>
      <c r="Q34" s="38">
        <f>IF(OR($B34="",$B34="Land",$C34=""),"",IFERROR($C34*INDEX(Settings!$C$22:$AC$27,MATCH($B34,Settings!$A$22:$A$27,0),14),0))</f>
        <v/>
      </c>
      <c r="R34" s="38">
        <f>IF(OR($B34="",$B34="Land",$C34=""),"",IFERROR($C34*INDEX(Settings!$C$22:$AC$27,MATCH($B34,Settings!$A$22:$A$27,0),15),0))</f>
        <v/>
      </c>
      <c r="S34" s="38">
        <f>IF(OR($B34="",$B34="Land",$C34=""),"",IFERROR($C34*INDEX(Settings!$C$22:$AC$27,MATCH($B34,Settings!$A$22:$A$27,0),16),0))</f>
        <v/>
      </c>
      <c r="T34" s="38">
        <f>IF(OR($B34="",$B34="Land",$C34=""),"",IFERROR($C34*INDEX(Settings!$C$22:$AC$27,MATCH($B34,Settings!$A$22:$A$27,0),17),0))</f>
        <v/>
      </c>
      <c r="U34" s="38">
        <f>IF(OR($B34="",$B34="Land",$C34=""),"",IFERROR($C34*INDEX(Settings!$C$22:$AC$27,MATCH($B34,Settings!$A$22:$A$27,0),18),0))</f>
        <v/>
      </c>
      <c r="V34" s="38">
        <f>IF(OR($B34="",$B34="Land",$C34=""),"",IFERROR($C34*INDEX(Settings!$C$22:$AC$27,MATCH($B34,Settings!$A$22:$A$27,0),19),0))</f>
        <v/>
      </c>
      <c r="W34" s="38">
        <f>IF(OR($B34="",$B34="Land",$C34=""),"",IFERROR($C34*INDEX(Settings!$C$22:$AC$27,MATCH($B34,Settings!$A$22:$A$27,0),20),0))</f>
        <v/>
      </c>
      <c r="X34" s="38">
        <f>IF(OR($B34="",$B34="Land",$C34=""),"",IFERROR($C34*INDEX(Settings!$C$22:$AC$27,MATCH($B34,Settings!$A$22:$A$27,0),21),0))</f>
        <v/>
      </c>
      <c r="Y34" s="38">
        <f>IF(OR($B34="",$B34="Land",$C34=""),"",IFERROR($C34*INDEX(Settings!$C$22:$AC$27,MATCH($B34,Settings!$A$22:$A$27,0),22),0))</f>
        <v/>
      </c>
      <c r="Z34" s="38">
        <f>IF(OR($B34="",$B34="Land",$C34=""),"",IFERROR($C34*INDEX(Settings!$C$22:$AC$27,MATCH($B34,Settings!$A$22:$A$27,0),23),0))</f>
        <v/>
      </c>
      <c r="AA34" s="38">
        <f>IF(OR($B34="",$B34="Land",$C34=""),"",IFERROR($C34*INDEX(Settings!$C$22:$AC$27,MATCH($B34,Settings!$A$22:$A$27,0),24),0))</f>
        <v/>
      </c>
      <c r="AB34" s="38">
        <f>IF(OR($B34="",$B34="Land",$C34=""),"",IFERROR($C34*INDEX(Settings!$C$22:$AC$27,MATCH($B34,Settings!$A$22:$A$27,0),25),0))</f>
        <v/>
      </c>
      <c r="AC34" s="38">
        <f>IF(OR($B34="",$B34="Land",$C34=""),"",IFERROR($C34*INDEX(Settings!$C$22:$AC$27,MATCH($B34,Settings!$A$22:$A$27,0),26),0))</f>
        <v/>
      </c>
      <c r="AD34" s="38">
        <f>IF(OR($B34="",$B34="Land",$C34=""),"",IFERROR($C34*INDEX(Settings!$C$22:$AC$27,MATCH($B34,Settings!$A$22:$A$27,0),27),0))</f>
        <v/>
      </c>
    </row>
    <row r="35" ht="16" customHeight="1">
      <c r="A35" s="37">
        <f>'Asset Register'!A35</f>
        <v/>
      </c>
      <c r="B35" s="34">
        <f>'Asset Register'!E35</f>
        <v/>
      </c>
      <c r="C35" s="33">
        <f>'Asset Register'!J35</f>
        <v/>
      </c>
      <c r="D35" s="38">
        <f>IF(OR($B35="",$B35="Land",$C35=""),"",IFERROR($C35*INDEX(Settings!$C$22:$AC$27,MATCH($B35,Settings!$A$22:$A$27,0),1),0))</f>
        <v/>
      </c>
      <c r="E35" s="38">
        <f>IF(OR($B35="",$B35="Land",$C35=""),"",IFERROR($C35*INDEX(Settings!$C$22:$AC$27,MATCH($B35,Settings!$A$22:$A$27,0),2),0))</f>
        <v/>
      </c>
      <c r="F35" s="38">
        <f>IF(OR($B35="",$B35="Land",$C35=""),"",IFERROR($C35*INDEX(Settings!$C$22:$AC$27,MATCH($B35,Settings!$A$22:$A$27,0),3),0))</f>
        <v/>
      </c>
      <c r="G35" s="38">
        <f>IF(OR($B35="",$B35="Land",$C35=""),"",IFERROR($C35*INDEX(Settings!$C$22:$AC$27,MATCH($B35,Settings!$A$22:$A$27,0),4),0))</f>
        <v/>
      </c>
      <c r="H35" s="38">
        <f>IF(OR($B35="",$B35="Land",$C35=""),"",IFERROR($C35*INDEX(Settings!$C$22:$AC$27,MATCH($B35,Settings!$A$22:$A$27,0),5),0))</f>
        <v/>
      </c>
      <c r="I35" s="38">
        <f>IF(OR($B35="",$B35="Land",$C35=""),"",IFERROR($C35*INDEX(Settings!$C$22:$AC$27,MATCH($B35,Settings!$A$22:$A$27,0),6),0))</f>
        <v/>
      </c>
      <c r="J35" s="38">
        <f>IF(OR($B35="",$B35="Land",$C35=""),"",IFERROR($C35*INDEX(Settings!$C$22:$AC$27,MATCH($B35,Settings!$A$22:$A$27,0),7),0))</f>
        <v/>
      </c>
      <c r="K35" s="38">
        <f>IF(OR($B35="",$B35="Land",$C35=""),"",IFERROR($C35*INDEX(Settings!$C$22:$AC$27,MATCH($B35,Settings!$A$22:$A$27,0),8),0))</f>
        <v/>
      </c>
      <c r="L35" s="38">
        <f>IF(OR($B35="",$B35="Land",$C35=""),"",IFERROR($C35*INDEX(Settings!$C$22:$AC$27,MATCH($B35,Settings!$A$22:$A$27,0),9),0))</f>
        <v/>
      </c>
      <c r="M35" s="38">
        <f>IF(OR($B35="",$B35="Land",$C35=""),"",IFERROR($C35*INDEX(Settings!$C$22:$AC$27,MATCH($B35,Settings!$A$22:$A$27,0),10),0))</f>
        <v/>
      </c>
      <c r="N35" s="38">
        <f>IF(OR($B35="",$B35="Land",$C35=""),"",IFERROR($C35*INDEX(Settings!$C$22:$AC$27,MATCH($B35,Settings!$A$22:$A$27,0),11),0))</f>
        <v/>
      </c>
      <c r="O35" s="38">
        <f>IF(OR($B35="",$B35="Land",$C35=""),"",IFERROR($C35*INDEX(Settings!$C$22:$AC$27,MATCH($B35,Settings!$A$22:$A$27,0),12),0))</f>
        <v/>
      </c>
      <c r="P35" s="38">
        <f>IF(OR($B35="",$B35="Land",$C35=""),"",IFERROR($C35*INDEX(Settings!$C$22:$AC$27,MATCH($B35,Settings!$A$22:$A$27,0),13),0))</f>
        <v/>
      </c>
      <c r="Q35" s="38">
        <f>IF(OR($B35="",$B35="Land",$C35=""),"",IFERROR($C35*INDEX(Settings!$C$22:$AC$27,MATCH($B35,Settings!$A$22:$A$27,0),14),0))</f>
        <v/>
      </c>
      <c r="R35" s="38">
        <f>IF(OR($B35="",$B35="Land",$C35=""),"",IFERROR($C35*INDEX(Settings!$C$22:$AC$27,MATCH($B35,Settings!$A$22:$A$27,0),15),0))</f>
        <v/>
      </c>
      <c r="S35" s="38">
        <f>IF(OR($B35="",$B35="Land",$C35=""),"",IFERROR($C35*INDEX(Settings!$C$22:$AC$27,MATCH($B35,Settings!$A$22:$A$27,0),16),0))</f>
        <v/>
      </c>
      <c r="T35" s="38">
        <f>IF(OR($B35="",$B35="Land",$C35=""),"",IFERROR($C35*INDEX(Settings!$C$22:$AC$27,MATCH($B35,Settings!$A$22:$A$27,0),17),0))</f>
        <v/>
      </c>
      <c r="U35" s="38">
        <f>IF(OR($B35="",$B35="Land",$C35=""),"",IFERROR($C35*INDEX(Settings!$C$22:$AC$27,MATCH($B35,Settings!$A$22:$A$27,0),18),0))</f>
        <v/>
      </c>
      <c r="V35" s="38">
        <f>IF(OR($B35="",$B35="Land",$C35=""),"",IFERROR($C35*INDEX(Settings!$C$22:$AC$27,MATCH($B35,Settings!$A$22:$A$27,0),19),0))</f>
        <v/>
      </c>
      <c r="W35" s="38">
        <f>IF(OR($B35="",$B35="Land",$C35=""),"",IFERROR($C35*INDEX(Settings!$C$22:$AC$27,MATCH($B35,Settings!$A$22:$A$27,0),20),0))</f>
        <v/>
      </c>
      <c r="X35" s="38">
        <f>IF(OR($B35="",$B35="Land",$C35=""),"",IFERROR($C35*INDEX(Settings!$C$22:$AC$27,MATCH($B35,Settings!$A$22:$A$27,0),21),0))</f>
        <v/>
      </c>
      <c r="Y35" s="38">
        <f>IF(OR($B35="",$B35="Land",$C35=""),"",IFERROR($C35*INDEX(Settings!$C$22:$AC$27,MATCH($B35,Settings!$A$22:$A$27,0),22),0))</f>
        <v/>
      </c>
      <c r="Z35" s="38">
        <f>IF(OR($B35="",$B35="Land",$C35=""),"",IFERROR($C35*INDEX(Settings!$C$22:$AC$27,MATCH($B35,Settings!$A$22:$A$27,0),23),0))</f>
        <v/>
      </c>
      <c r="AA35" s="38">
        <f>IF(OR($B35="",$B35="Land",$C35=""),"",IFERROR($C35*INDEX(Settings!$C$22:$AC$27,MATCH($B35,Settings!$A$22:$A$27,0),24),0))</f>
        <v/>
      </c>
      <c r="AB35" s="38">
        <f>IF(OR($B35="",$B35="Land",$C35=""),"",IFERROR($C35*INDEX(Settings!$C$22:$AC$27,MATCH($B35,Settings!$A$22:$A$27,0),25),0))</f>
        <v/>
      </c>
      <c r="AC35" s="38">
        <f>IF(OR($B35="",$B35="Land",$C35=""),"",IFERROR($C35*INDEX(Settings!$C$22:$AC$27,MATCH($B35,Settings!$A$22:$A$27,0),26),0))</f>
        <v/>
      </c>
      <c r="AD35" s="38">
        <f>IF(OR($B35="",$B35="Land",$C35=""),"",IFERROR($C35*INDEX(Settings!$C$22:$AC$27,MATCH($B35,Settings!$A$22:$A$27,0),27),0))</f>
        <v/>
      </c>
    </row>
    <row r="36" ht="16" customHeight="1">
      <c r="A36" s="37">
        <f>'Asset Register'!A36</f>
        <v/>
      </c>
      <c r="B36" s="34">
        <f>'Asset Register'!E36</f>
        <v/>
      </c>
      <c r="C36" s="33">
        <f>'Asset Register'!J36</f>
        <v/>
      </c>
      <c r="D36" s="38">
        <f>IF(OR($B36="",$B36="Land",$C36=""),"",IFERROR($C36*INDEX(Settings!$C$22:$AC$27,MATCH($B36,Settings!$A$22:$A$27,0),1),0))</f>
        <v/>
      </c>
      <c r="E36" s="38">
        <f>IF(OR($B36="",$B36="Land",$C36=""),"",IFERROR($C36*INDEX(Settings!$C$22:$AC$27,MATCH($B36,Settings!$A$22:$A$27,0),2),0))</f>
        <v/>
      </c>
      <c r="F36" s="38">
        <f>IF(OR($B36="",$B36="Land",$C36=""),"",IFERROR($C36*INDEX(Settings!$C$22:$AC$27,MATCH($B36,Settings!$A$22:$A$27,0),3),0))</f>
        <v/>
      </c>
      <c r="G36" s="38">
        <f>IF(OR($B36="",$B36="Land",$C36=""),"",IFERROR($C36*INDEX(Settings!$C$22:$AC$27,MATCH($B36,Settings!$A$22:$A$27,0),4),0))</f>
        <v/>
      </c>
      <c r="H36" s="38">
        <f>IF(OR($B36="",$B36="Land",$C36=""),"",IFERROR($C36*INDEX(Settings!$C$22:$AC$27,MATCH($B36,Settings!$A$22:$A$27,0),5),0))</f>
        <v/>
      </c>
      <c r="I36" s="38">
        <f>IF(OR($B36="",$B36="Land",$C36=""),"",IFERROR($C36*INDEX(Settings!$C$22:$AC$27,MATCH($B36,Settings!$A$22:$A$27,0),6),0))</f>
        <v/>
      </c>
      <c r="J36" s="38">
        <f>IF(OR($B36="",$B36="Land",$C36=""),"",IFERROR($C36*INDEX(Settings!$C$22:$AC$27,MATCH($B36,Settings!$A$22:$A$27,0),7),0))</f>
        <v/>
      </c>
      <c r="K36" s="38">
        <f>IF(OR($B36="",$B36="Land",$C36=""),"",IFERROR($C36*INDEX(Settings!$C$22:$AC$27,MATCH($B36,Settings!$A$22:$A$27,0),8),0))</f>
        <v/>
      </c>
      <c r="L36" s="38">
        <f>IF(OR($B36="",$B36="Land",$C36=""),"",IFERROR($C36*INDEX(Settings!$C$22:$AC$27,MATCH($B36,Settings!$A$22:$A$27,0),9),0))</f>
        <v/>
      </c>
      <c r="M36" s="38">
        <f>IF(OR($B36="",$B36="Land",$C36=""),"",IFERROR($C36*INDEX(Settings!$C$22:$AC$27,MATCH($B36,Settings!$A$22:$A$27,0),10),0))</f>
        <v/>
      </c>
      <c r="N36" s="38">
        <f>IF(OR($B36="",$B36="Land",$C36=""),"",IFERROR($C36*INDEX(Settings!$C$22:$AC$27,MATCH($B36,Settings!$A$22:$A$27,0),11),0))</f>
        <v/>
      </c>
      <c r="O36" s="38">
        <f>IF(OR($B36="",$B36="Land",$C36=""),"",IFERROR($C36*INDEX(Settings!$C$22:$AC$27,MATCH($B36,Settings!$A$22:$A$27,0),12),0))</f>
        <v/>
      </c>
      <c r="P36" s="38">
        <f>IF(OR($B36="",$B36="Land",$C36=""),"",IFERROR($C36*INDEX(Settings!$C$22:$AC$27,MATCH($B36,Settings!$A$22:$A$27,0),13),0))</f>
        <v/>
      </c>
      <c r="Q36" s="38">
        <f>IF(OR($B36="",$B36="Land",$C36=""),"",IFERROR($C36*INDEX(Settings!$C$22:$AC$27,MATCH($B36,Settings!$A$22:$A$27,0),14),0))</f>
        <v/>
      </c>
      <c r="R36" s="38">
        <f>IF(OR($B36="",$B36="Land",$C36=""),"",IFERROR($C36*INDEX(Settings!$C$22:$AC$27,MATCH($B36,Settings!$A$22:$A$27,0),15),0))</f>
        <v/>
      </c>
      <c r="S36" s="38">
        <f>IF(OR($B36="",$B36="Land",$C36=""),"",IFERROR($C36*INDEX(Settings!$C$22:$AC$27,MATCH($B36,Settings!$A$22:$A$27,0),16),0))</f>
        <v/>
      </c>
      <c r="T36" s="38">
        <f>IF(OR($B36="",$B36="Land",$C36=""),"",IFERROR($C36*INDEX(Settings!$C$22:$AC$27,MATCH($B36,Settings!$A$22:$A$27,0),17),0))</f>
        <v/>
      </c>
      <c r="U36" s="38">
        <f>IF(OR($B36="",$B36="Land",$C36=""),"",IFERROR($C36*INDEX(Settings!$C$22:$AC$27,MATCH($B36,Settings!$A$22:$A$27,0),18),0))</f>
        <v/>
      </c>
      <c r="V36" s="38">
        <f>IF(OR($B36="",$B36="Land",$C36=""),"",IFERROR($C36*INDEX(Settings!$C$22:$AC$27,MATCH($B36,Settings!$A$22:$A$27,0),19),0))</f>
        <v/>
      </c>
      <c r="W36" s="38">
        <f>IF(OR($B36="",$B36="Land",$C36=""),"",IFERROR($C36*INDEX(Settings!$C$22:$AC$27,MATCH($B36,Settings!$A$22:$A$27,0),20),0))</f>
        <v/>
      </c>
      <c r="X36" s="38">
        <f>IF(OR($B36="",$B36="Land",$C36=""),"",IFERROR($C36*INDEX(Settings!$C$22:$AC$27,MATCH($B36,Settings!$A$22:$A$27,0),21),0))</f>
        <v/>
      </c>
      <c r="Y36" s="38">
        <f>IF(OR($B36="",$B36="Land",$C36=""),"",IFERROR($C36*INDEX(Settings!$C$22:$AC$27,MATCH($B36,Settings!$A$22:$A$27,0),22),0))</f>
        <v/>
      </c>
      <c r="Z36" s="38">
        <f>IF(OR($B36="",$B36="Land",$C36=""),"",IFERROR($C36*INDEX(Settings!$C$22:$AC$27,MATCH($B36,Settings!$A$22:$A$27,0),23),0))</f>
        <v/>
      </c>
      <c r="AA36" s="38">
        <f>IF(OR($B36="",$B36="Land",$C36=""),"",IFERROR($C36*INDEX(Settings!$C$22:$AC$27,MATCH($B36,Settings!$A$22:$A$27,0),24),0))</f>
        <v/>
      </c>
      <c r="AB36" s="38">
        <f>IF(OR($B36="",$B36="Land",$C36=""),"",IFERROR($C36*INDEX(Settings!$C$22:$AC$27,MATCH($B36,Settings!$A$22:$A$27,0),25),0))</f>
        <v/>
      </c>
      <c r="AC36" s="38">
        <f>IF(OR($B36="",$B36="Land",$C36=""),"",IFERROR($C36*INDEX(Settings!$C$22:$AC$27,MATCH($B36,Settings!$A$22:$A$27,0),26),0))</f>
        <v/>
      </c>
      <c r="AD36" s="38">
        <f>IF(OR($B36="",$B36="Land",$C36=""),"",IFERROR($C36*INDEX(Settings!$C$22:$AC$27,MATCH($B36,Settings!$A$22:$A$27,0),27),0))</f>
        <v/>
      </c>
    </row>
    <row r="37" ht="16" customHeight="1">
      <c r="A37" s="37">
        <f>'Asset Register'!A37</f>
        <v/>
      </c>
      <c r="B37" s="34">
        <f>'Asset Register'!E37</f>
        <v/>
      </c>
      <c r="C37" s="33">
        <f>'Asset Register'!J37</f>
        <v/>
      </c>
      <c r="D37" s="38">
        <f>IF(OR($B37="",$B37="Land",$C37=""),"",IFERROR($C37*INDEX(Settings!$C$22:$AC$27,MATCH($B37,Settings!$A$22:$A$27,0),1),0))</f>
        <v/>
      </c>
      <c r="E37" s="38">
        <f>IF(OR($B37="",$B37="Land",$C37=""),"",IFERROR($C37*INDEX(Settings!$C$22:$AC$27,MATCH($B37,Settings!$A$22:$A$27,0),2),0))</f>
        <v/>
      </c>
      <c r="F37" s="38">
        <f>IF(OR($B37="",$B37="Land",$C37=""),"",IFERROR($C37*INDEX(Settings!$C$22:$AC$27,MATCH($B37,Settings!$A$22:$A$27,0),3),0))</f>
        <v/>
      </c>
      <c r="G37" s="38">
        <f>IF(OR($B37="",$B37="Land",$C37=""),"",IFERROR($C37*INDEX(Settings!$C$22:$AC$27,MATCH($B37,Settings!$A$22:$A$27,0),4),0))</f>
        <v/>
      </c>
      <c r="H37" s="38">
        <f>IF(OR($B37="",$B37="Land",$C37=""),"",IFERROR($C37*INDEX(Settings!$C$22:$AC$27,MATCH($B37,Settings!$A$22:$A$27,0),5),0))</f>
        <v/>
      </c>
      <c r="I37" s="38">
        <f>IF(OR($B37="",$B37="Land",$C37=""),"",IFERROR($C37*INDEX(Settings!$C$22:$AC$27,MATCH($B37,Settings!$A$22:$A$27,0),6),0))</f>
        <v/>
      </c>
      <c r="J37" s="38">
        <f>IF(OR($B37="",$B37="Land",$C37=""),"",IFERROR($C37*INDEX(Settings!$C$22:$AC$27,MATCH($B37,Settings!$A$22:$A$27,0),7),0))</f>
        <v/>
      </c>
      <c r="K37" s="38">
        <f>IF(OR($B37="",$B37="Land",$C37=""),"",IFERROR($C37*INDEX(Settings!$C$22:$AC$27,MATCH($B37,Settings!$A$22:$A$27,0),8),0))</f>
        <v/>
      </c>
      <c r="L37" s="38">
        <f>IF(OR($B37="",$B37="Land",$C37=""),"",IFERROR($C37*INDEX(Settings!$C$22:$AC$27,MATCH($B37,Settings!$A$22:$A$27,0),9),0))</f>
        <v/>
      </c>
      <c r="M37" s="38">
        <f>IF(OR($B37="",$B37="Land",$C37=""),"",IFERROR($C37*INDEX(Settings!$C$22:$AC$27,MATCH($B37,Settings!$A$22:$A$27,0),10),0))</f>
        <v/>
      </c>
      <c r="N37" s="38">
        <f>IF(OR($B37="",$B37="Land",$C37=""),"",IFERROR($C37*INDEX(Settings!$C$22:$AC$27,MATCH($B37,Settings!$A$22:$A$27,0),11),0))</f>
        <v/>
      </c>
      <c r="O37" s="38">
        <f>IF(OR($B37="",$B37="Land",$C37=""),"",IFERROR($C37*INDEX(Settings!$C$22:$AC$27,MATCH($B37,Settings!$A$22:$A$27,0),12),0))</f>
        <v/>
      </c>
      <c r="P37" s="38">
        <f>IF(OR($B37="",$B37="Land",$C37=""),"",IFERROR($C37*INDEX(Settings!$C$22:$AC$27,MATCH($B37,Settings!$A$22:$A$27,0),13),0))</f>
        <v/>
      </c>
      <c r="Q37" s="38">
        <f>IF(OR($B37="",$B37="Land",$C37=""),"",IFERROR($C37*INDEX(Settings!$C$22:$AC$27,MATCH($B37,Settings!$A$22:$A$27,0),14),0))</f>
        <v/>
      </c>
      <c r="R37" s="38">
        <f>IF(OR($B37="",$B37="Land",$C37=""),"",IFERROR($C37*INDEX(Settings!$C$22:$AC$27,MATCH($B37,Settings!$A$22:$A$27,0),15),0))</f>
        <v/>
      </c>
      <c r="S37" s="38">
        <f>IF(OR($B37="",$B37="Land",$C37=""),"",IFERROR($C37*INDEX(Settings!$C$22:$AC$27,MATCH($B37,Settings!$A$22:$A$27,0),16),0))</f>
        <v/>
      </c>
      <c r="T37" s="38">
        <f>IF(OR($B37="",$B37="Land",$C37=""),"",IFERROR($C37*INDEX(Settings!$C$22:$AC$27,MATCH($B37,Settings!$A$22:$A$27,0),17),0))</f>
        <v/>
      </c>
      <c r="U37" s="38">
        <f>IF(OR($B37="",$B37="Land",$C37=""),"",IFERROR($C37*INDEX(Settings!$C$22:$AC$27,MATCH($B37,Settings!$A$22:$A$27,0),18),0))</f>
        <v/>
      </c>
      <c r="V37" s="38">
        <f>IF(OR($B37="",$B37="Land",$C37=""),"",IFERROR($C37*INDEX(Settings!$C$22:$AC$27,MATCH($B37,Settings!$A$22:$A$27,0),19),0))</f>
        <v/>
      </c>
      <c r="W37" s="38">
        <f>IF(OR($B37="",$B37="Land",$C37=""),"",IFERROR($C37*INDEX(Settings!$C$22:$AC$27,MATCH($B37,Settings!$A$22:$A$27,0),20),0))</f>
        <v/>
      </c>
      <c r="X37" s="38">
        <f>IF(OR($B37="",$B37="Land",$C37=""),"",IFERROR($C37*INDEX(Settings!$C$22:$AC$27,MATCH($B37,Settings!$A$22:$A$27,0),21),0))</f>
        <v/>
      </c>
      <c r="Y37" s="38">
        <f>IF(OR($B37="",$B37="Land",$C37=""),"",IFERROR($C37*INDEX(Settings!$C$22:$AC$27,MATCH($B37,Settings!$A$22:$A$27,0),22),0))</f>
        <v/>
      </c>
      <c r="Z37" s="38">
        <f>IF(OR($B37="",$B37="Land",$C37=""),"",IFERROR($C37*INDEX(Settings!$C$22:$AC$27,MATCH($B37,Settings!$A$22:$A$27,0),23),0))</f>
        <v/>
      </c>
      <c r="AA37" s="38">
        <f>IF(OR($B37="",$B37="Land",$C37=""),"",IFERROR($C37*INDEX(Settings!$C$22:$AC$27,MATCH($B37,Settings!$A$22:$A$27,0),24),0))</f>
        <v/>
      </c>
      <c r="AB37" s="38">
        <f>IF(OR($B37="",$B37="Land",$C37=""),"",IFERROR($C37*INDEX(Settings!$C$22:$AC$27,MATCH($B37,Settings!$A$22:$A$27,0),25),0))</f>
        <v/>
      </c>
      <c r="AC37" s="38">
        <f>IF(OR($B37="",$B37="Land",$C37=""),"",IFERROR($C37*INDEX(Settings!$C$22:$AC$27,MATCH($B37,Settings!$A$22:$A$27,0),26),0))</f>
        <v/>
      </c>
      <c r="AD37" s="38">
        <f>IF(OR($B37="",$B37="Land",$C37=""),"",IFERROR($C37*INDEX(Settings!$C$22:$AC$27,MATCH($B37,Settings!$A$22:$A$27,0),27),0))</f>
        <v/>
      </c>
    </row>
    <row r="38" ht="16" customHeight="1">
      <c r="A38" s="37">
        <f>'Asset Register'!A38</f>
        <v/>
      </c>
      <c r="B38" s="34">
        <f>'Asset Register'!E38</f>
        <v/>
      </c>
      <c r="C38" s="33">
        <f>'Asset Register'!J38</f>
        <v/>
      </c>
      <c r="D38" s="38">
        <f>IF(OR($B38="",$B38="Land",$C38=""),"",IFERROR($C38*INDEX(Settings!$C$22:$AC$27,MATCH($B38,Settings!$A$22:$A$27,0),1),0))</f>
        <v/>
      </c>
      <c r="E38" s="38">
        <f>IF(OR($B38="",$B38="Land",$C38=""),"",IFERROR($C38*INDEX(Settings!$C$22:$AC$27,MATCH($B38,Settings!$A$22:$A$27,0),2),0))</f>
        <v/>
      </c>
      <c r="F38" s="38">
        <f>IF(OR($B38="",$B38="Land",$C38=""),"",IFERROR($C38*INDEX(Settings!$C$22:$AC$27,MATCH($B38,Settings!$A$22:$A$27,0),3),0))</f>
        <v/>
      </c>
      <c r="G38" s="38">
        <f>IF(OR($B38="",$B38="Land",$C38=""),"",IFERROR($C38*INDEX(Settings!$C$22:$AC$27,MATCH($B38,Settings!$A$22:$A$27,0),4),0))</f>
        <v/>
      </c>
      <c r="H38" s="38">
        <f>IF(OR($B38="",$B38="Land",$C38=""),"",IFERROR($C38*INDEX(Settings!$C$22:$AC$27,MATCH($B38,Settings!$A$22:$A$27,0),5),0))</f>
        <v/>
      </c>
      <c r="I38" s="38">
        <f>IF(OR($B38="",$B38="Land",$C38=""),"",IFERROR($C38*INDEX(Settings!$C$22:$AC$27,MATCH($B38,Settings!$A$22:$A$27,0),6),0))</f>
        <v/>
      </c>
      <c r="J38" s="38">
        <f>IF(OR($B38="",$B38="Land",$C38=""),"",IFERROR($C38*INDEX(Settings!$C$22:$AC$27,MATCH($B38,Settings!$A$22:$A$27,0),7),0))</f>
        <v/>
      </c>
      <c r="K38" s="38">
        <f>IF(OR($B38="",$B38="Land",$C38=""),"",IFERROR($C38*INDEX(Settings!$C$22:$AC$27,MATCH($B38,Settings!$A$22:$A$27,0),8),0))</f>
        <v/>
      </c>
      <c r="L38" s="38">
        <f>IF(OR($B38="",$B38="Land",$C38=""),"",IFERROR($C38*INDEX(Settings!$C$22:$AC$27,MATCH($B38,Settings!$A$22:$A$27,0),9),0))</f>
        <v/>
      </c>
      <c r="M38" s="38">
        <f>IF(OR($B38="",$B38="Land",$C38=""),"",IFERROR($C38*INDEX(Settings!$C$22:$AC$27,MATCH($B38,Settings!$A$22:$A$27,0),10),0))</f>
        <v/>
      </c>
      <c r="N38" s="38">
        <f>IF(OR($B38="",$B38="Land",$C38=""),"",IFERROR($C38*INDEX(Settings!$C$22:$AC$27,MATCH($B38,Settings!$A$22:$A$27,0),11),0))</f>
        <v/>
      </c>
      <c r="O38" s="38">
        <f>IF(OR($B38="",$B38="Land",$C38=""),"",IFERROR($C38*INDEX(Settings!$C$22:$AC$27,MATCH($B38,Settings!$A$22:$A$27,0),12),0))</f>
        <v/>
      </c>
      <c r="P38" s="38">
        <f>IF(OR($B38="",$B38="Land",$C38=""),"",IFERROR($C38*INDEX(Settings!$C$22:$AC$27,MATCH($B38,Settings!$A$22:$A$27,0),13),0))</f>
        <v/>
      </c>
      <c r="Q38" s="38">
        <f>IF(OR($B38="",$B38="Land",$C38=""),"",IFERROR($C38*INDEX(Settings!$C$22:$AC$27,MATCH($B38,Settings!$A$22:$A$27,0),14),0))</f>
        <v/>
      </c>
      <c r="R38" s="38">
        <f>IF(OR($B38="",$B38="Land",$C38=""),"",IFERROR($C38*INDEX(Settings!$C$22:$AC$27,MATCH($B38,Settings!$A$22:$A$27,0),15),0))</f>
        <v/>
      </c>
      <c r="S38" s="38">
        <f>IF(OR($B38="",$B38="Land",$C38=""),"",IFERROR($C38*INDEX(Settings!$C$22:$AC$27,MATCH($B38,Settings!$A$22:$A$27,0),16),0))</f>
        <v/>
      </c>
      <c r="T38" s="38">
        <f>IF(OR($B38="",$B38="Land",$C38=""),"",IFERROR($C38*INDEX(Settings!$C$22:$AC$27,MATCH($B38,Settings!$A$22:$A$27,0),17),0))</f>
        <v/>
      </c>
      <c r="U38" s="38">
        <f>IF(OR($B38="",$B38="Land",$C38=""),"",IFERROR($C38*INDEX(Settings!$C$22:$AC$27,MATCH($B38,Settings!$A$22:$A$27,0),18),0))</f>
        <v/>
      </c>
      <c r="V38" s="38">
        <f>IF(OR($B38="",$B38="Land",$C38=""),"",IFERROR($C38*INDEX(Settings!$C$22:$AC$27,MATCH($B38,Settings!$A$22:$A$27,0),19),0))</f>
        <v/>
      </c>
      <c r="W38" s="38">
        <f>IF(OR($B38="",$B38="Land",$C38=""),"",IFERROR($C38*INDEX(Settings!$C$22:$AC$27,MATCH($B38,Settings!$A$22:$A$27,0),20),0))</f>
        <v/>
      </c>
      <c r="X38" s="38">
        <f>IF(OR($B38="",$B38="Land",$C38=""),"",IFERROR($C38*INDEX(Settings!$C$22:$AC$27,MATCH($B38,Settings!$A$22:$A$27,0),21),0))</f>
        <v/>
      </c>
      <c r="Y38" s="38">
        <f>IF(OR($B38="",$B38="Land",$C38=""),"",IFERROR($C38*INDEX(Settings!$C$22:$AC$27,MATCH($B38,Settings!$A$22:$A$27,0),22),0))</f>
        <v/>
      </c>
      <c r="Z38" s="38">
        <f>IF(OR($B38="",$B38="Land",$C38=""),"",IFERROR($C38*INDEX(Settings!$C$22:$AC$27,MATCH($B38,Settings!$A$22:$A$27,0),23),0))</f>
        <v/>
      </c>
      <c r="AA38" s="38">
        <f>IF(OR($B38="",$B38="Land",$C38=""),"",IFERROR($C38*INDEX(Settings!$C$22:$AC$27,MATCH($B38,Settings!$A$22:$A$27,0),24),0))</f>
        <v/>
      </c>
      <c r="AB38" s="38">
        <f>IF(OR($B38="",$B38="Land",$C38=""),"",IFERROR($C38*INDEX(Settings!$C$22:$AC$27,MATCH($B38,Settings!$A$22:$A$27,0),25),0))</f>
        <v/>
      </c>
      <c r="AC38" s="38">
        <f>IF(OR($B38="",$B38="Land",$C38=""),"",IFERROR($C38*INDEX(Settings!$C$22:$AC$27,MATCH($B38,Settings!$A$22:$A$27,0),26),0))</f>
        <v/>
      </c>
      <c r="AD38" s="38">
        <f>IF(OR($B38="",$B38="Land",$C38=""),"",IFERROR($C38*INDEX(Settings!$C$22:$AC$27,MATCH($B38,Settings!$A$22:$A$27,0),27),0))</f>
        <v/>
      </c>
    </row>
    <row r="39" ht="16" customHeight="1">
      <c r="A39" s="37">
        <f>'Asset Register'!A39</f>
        <v/>
      </c>
      <c r="B39" s="34">
        <f>'Asset Register'!E39</f>
        <v/>
      </c>
      <c r="C39" s="33">
        <f>'Asset Register'!J39</f>
        <v/>
      </c>
      <c r="D39" s="38">
        <f>IF(OR($B39="",$B39="Land",$C39=""),"",IFERROR($C39*INDEX(Settings!$C$22:$AC$27,MATCH($B39,Settings!$A$22:$A$27,0),1),0))</f>
        <v/>
      </c>
      <c r="E39" s="38">
        <f>IF(OR($B39="",$B39="Land",$C39=""),"",IFERROR($C39*INDEX(Settings!$C$22:$AC$27,MATCH($B39,Settings!$A$22:$A$27,0),2),0))</f>
        <v/>
      </c>
      <c r="F39" s="38">
        <f>IF(OR($B39="",$B39="Land",$C39=""),"",IFERROR($C39*INDEX(Settings!$C$22:$AC$27,MATCH($B39,Settings!$A$22:$A$27,0),3),0))</f>
        <v/>
      </c>
      <c r="G39" s="38">
        <f>IF(OR($B39="",$B39="Land",$C39=""),"",IFERROR($C39*INDEX(Settings!$C$22:$AC$27,MATCH($B39,Settings!$A$22:$A$27,0),4),0))</f>
        <v/>
      </c>
      <c r="H39" s="38">
        <f>IF(OR($B39="",$B39="Land",$C39=""),"",IFERROR($C39*INDEX(Settings!$C$22:$AC$27,MATCH($B39,Settings!$A$22:$A$27,0),5),0))</f>
        <v/>
      </c>
      <c r="I39" s="38">
        <f>IF(OR($B39="",$B39="Land",$C39=""),"",IFERROR($C39*INDEX(Settings!$C$22:$AC$27,MATCH($B39,Settings!$A$22:$A$27,0),6),0))</f>
        <v/>
      </c>
      <c r="J39" s="38">
        <f>IF(OR($B39="",$B39="Land",$C39=""),"",IFERROR($C39*INDEX(Settings!$C$22:$AC$27,MATCH($B39,Settings!$A$22:$A$27,0),7),0))</f>
        <v/>
      </c>
      <c r="K39" s="38">
        <f>IF(OR($B39="",$B39="Land",$C39=""),"",IFERROR($C39*INDEX(Settings!$C$22:$AC$27,MATCH($B39,Settings!$A$22:$A$27,0),8),0))</f>
        <v/>
      </c>
      <c r="L39" s="38">
        <f>IF(OR($B39="",$B39="Land",$C39=""),"",IFERROR($C39*INDEX(Settings!$C$22:$AC$27,MATCH($B39,Settings!$A$22:$A$27,0),9),0))</f>
        <v/>
      </c>
      <c r="M39" s="38">
        <f>IF(OR($B39="",$B39="Land",$C39=""),"",IFERROR($C39*INDEX(Settings!$C$22:$AC$27,MATCH($B39,Settings!$A$22:$A$27,0),10),0))</f>
        <v/>
      </c>
      <c r="N39" s="38">
        <f>IF(OR($B39="",$B39="Land",$C39=""),"",IFERROR($C39*INDEX(Settings!$C$22:$AC$27,MATCH($B39,Settings!$A$22:$A$27,0),11),0))</f>
        <v/>
      </c>
      <c r="O39" s="38">
        <f>IF(OR($B39="",$B39="Land",$C39=""),"",IFERROR($C39*INDEX(Settings!$C$22:$AC$27,MATCH($B39,Settings!$A$22:$A$27,0),12),0))</f>
        <v/>
      </c>
      <c r="P39" s="38">
        <f>IF(OR($B39="",$B39="Land",$C39=""),"",IFERROR($C39*INDEX(Settings!$C$22:$AC$27,MATCH($B39,Settings!$A$22:$A$27,0),13),0))</f>
        <v/>
      </c>
      <c r="Q39" s="38">
        <f>IF(OR($B39="",$B39="Land",$C39=""),"",IFERROR($C39*INDEX(Settings!$C$22:$AC$27,MATCH($B39,Settings!$A$22:$A$27,0),14),0))</f>
        <v/>
      </c>
      <c r="R39" s="38">
        <f>IF(OR($B39="",$B39="Land",$C39=""),"",IFERROR($C39*INDEX(Settings!$C$22:$AC$27,MATCH($B39,Settings!$A$22:$A$27,0),15),0))</f>
        <v/>
      </c>
      <c r="S39" s="38">
        <f>IF(OR($B39="",$B39="Land",$C39=""),"",IFERROR($C39*INDEX(Settings!$C$22:$AC$27,MATCH($B39,Settings!$A$22:$A$27,0),16),0))</f>
        <v/>
      </c>
      <c r="T39" s="38">
        <f>IF(OR($B39="",$B39="Land",$C39=""),"",IFERROR($C39*INDEX(Settings!$C$22:$AC$27,MATCH($B39,Settings!$A$22:$A$27,0),17),0))</f>
        <v/>
      </c>
      <c r="U39" s="38">
        <f>IF(OR($B39="",$B39="Land",$C39=""),"",IFERROR($C39*INDEX(Settings!$C$22:$AC$27,MATCH($B39,Settings!$A$22:$A$27,0),18),0))</f>
        <v/>
      </c>
      <c r="V39" s="38">
        <f>IF(OR($B39="",$B39="Land",$C39=""),"",IFERROR($C39*INDEX(Settings!$C$22:$AC$27,MATCH($B39,Settings!$A$22:$A$27,0),19),0))</f>
        <v/>
      </c>
      <c r="W39" s="38">
        <f>IF(OR($B39="",$B39="Land",$C39=""),"",IFERROR($C39*INDEX(Settings!$C$22:$AC$27,MATCH($B39,Settings!$A$22:$A$27,0),20),0))</f>
        <v/>
      </c>
      <c r="X39" s="38">
        <f>IF(OR($B39="",$B39="Land",$C39=""),"",IFERROR($C39*INDEX(Settings!$C$22:$AC$27,MATCH($B39,Settings!$A$22:$A$27,0),21),0))</f>
        <v/>
      </c>
      <c r="Y39" s="38">
        <f>IF(OR($B39="",$B39="Land",$C39=""),"",IFERROR($C39*INDEX(Settings!$C$22:$AC$27,MATCH($B39,Settings!$A$22:$A$27,0),22),0))</f>
        <v/>
      </c>
      <c r="Z39" s="38">
        <f>IF(OR($B39="",$B39="Land",$C39=""),"",IFERROR($C39*INDEX(Settings!$C$22:$AC$27,MATCH($B39,Settings!$A$22:$A$27,0),23),0))</f>
        <v/>
      </c>
      <c r="AA39" s="38">
        <f>IF(OR($B39="",$B39="Land",$C39=""),"",IFERROR($C39*INDEX(Settings!$C$22:$AC$27,MATCH($B39,Settings!$A$22:$A$27,0),24),0))</f>
        <v/>
      </c>
      <c r="AB39" s="38">
        <f>IF(OR($B39="",$B39="Land",$C39=""),"",IFERROR($C39*INDEX(Settings!$C$22:$AC$27,MATCH($B39,Settings!$A$22:$A$27,0),25),0))</f>
        <v/>
      </c>
      <c r="AC39" s="38">
        <f>IF(OR($B39="",$B39="Land",$C39=""),"",IFERROR($C39*INDEX(Settings!$C$22:$AC$27,MATCH($B39,Settings!$A$22:$A$27,0),26),0))</f>
        <v/>
      </c>
      <c r="AD39" s="38">
        <f>IF(OR($B39="",$B39="Land",$C39=""),"",IFERROR($C39*INDEX(Settings!$C$22:$AC$27,MATCH($B39,Settings!$A$22:$A$27,0),27),0))</f>
        <v/>
      </c>
    </row>
    <row r="40" ht="16" customHeight="1">
      <c r="A40" s="37">
        <f>'Asset Register'!A40</f>
        <v/>
      </c>
      <c r="B40" s="34">
        <f>'Asset Register'!E40</f>
        <v/>
      </c>
      <c r="C40" s="33">
        <f>'Asset Register'!J40</f>
        <v/>
      </c>
      <c r="D40" s="38">
        <f>IF(OR($B40="",$B40="Land",$C40=""),"",IFERROR($C40*INDEX(Settings!$C$22:$AC$27,MATCH($B40,Settings!$A$22:$A$27,0),1),0))</f>
        <v/>
      </c>
      <c r="E40" s="38">
        <f>IF(OR($B40="",$B40="Land",$C40=""),"",IFERROR($C40*INDEX(Settings!$C$22:$AC$27,MATCH($B40,Settings!$A$22:$A$27,0),2),0))</f>
        <v/>
      </c>
      <c r="F40" s="38">
        <f>IF(OR($B40="",$B40="Land",$C40=""),"",IFERROR($C40*INDEX(Settings!$C$22:$AC$27,MATCH($B40,Settings!$A$22:$A$27,0),3),0))</f>
        <v/>
      </c>
      <c r="G40" s="38">
        <f>IF(OR($B40="",$B40="Land",$C40=""),"",IFERROR($C40*INDEX(Settings!$C$22:$AC$27,MATCH($B40,Settings!$A$22:$A$27,0),4),0))</f>
        <v/>
      </c>
      <c r="H40" s="38">
        <f>IF(OR($B40="",$B40="Land",$C40=""),"",IFERROR($C40*INDEX(Settings!$C$22:$AC$27,MATCH($B40,Settings!$A$22:$A$27,0),5),0))</f>
        <v/>
      </c>
      <c r="I40" s="38">
        <f>IF(OR($B40="",$B40="Land",$C40=""),"",IFERROR($C40*INDEX(Settings!$C$22:$AC$27,MATCH($B40,Settings!$A$22:$A$27,0),6),0))</f>
        <v/>
      </c>
      <c r="J40" s="38">
        <f>IF(OR($B40="",$B40="Land",$C40=""),"",IFERROR($C40*INDEX(Settings!$C$22:$AC$27,MATCH($B40,Settings!$A$22:$A$27,0),7),0))</f>
        <v/>
      </c>
      <c r="K40" s="38">
        <f>IF(OR($B40="",$B40="Land",$C40=""),"",IFERROR($C40*INDEX(Settings!$C$22:$AC$27,MATCH($B40,Settings!$A$22:$A$27,0),8),0))</f>
        <v/>
      </c>
      <c r="L40" s="38">
        <f>IF(OR($B40="",$B40="Land",$C40=""),"",IFERROR($C40*INDEX(Settings!$C$22:$AC$27,MATCH($B40,Settings!$A$22:$A$27,0),9),0))</f>
        <v/>
      </c>
      <c r="M40" s="38">
        <f>IF(OR($B40="",$B40="Land",$C40=""),"",IFERROR($C40*INDEX(Settings!$C$22:$AC$27,MATCH($B40,Settings!$A$22:$A$27,0),10),0))</f>
        <v/>
      </c>
      <c r="N40" s="38">
        <f>IF(OR($B40="",$B40="Land",$C40=""),"",IFERROR($C40*INDEX(Settings!$C$22:$AC$27,MATCH($B40,Settings!$A$22:$A$27,0),11),0))</f>
        <v/>
      </c>
      <c r="O40" s="38">
        <f>IF(OR($B40="",$B40="Land",$C40=""),"",IFERROR($C40*INDEX(Settings!$C$22:$AC$27,MATCH($B40,Settings!$A$22:$A$27,0),12),0))</f>
        <v/>
      </c>
      <c r="P40" s="38">
        <f>IF(OR($B40="",$B40="Land",$C40=""),"",IFERROR($C40*INDEX(Settings!$C$22:$AC$27,MATCH($B40,Settings!$A$22:$A$27,0),13),0))</f>
        <v/>
      </c>
      <c r="Q40" s="38">
        <f>IF(OR($B40="",$B40="Land",$C40=""),"",IFERROR($C40*INDEX(Settings!$C$22:$AC$27,MATCH($B40,Settings!$A$22:$A$27,0),14),0))</f>
        <v/>
      </c>
      <c r="R40" s="38">
        <f>IF(OR($B40="",$B40="Land",$C40=""),"",IFERROR($C40*INDEX(Settings!$C$22:$AC$27,MATCH($B40,Settings!$A$22:$A$27,0),15),0))</f>
        <v/>
      </c>
      <c r="S40" s="38">
        <f>IF(OR($B40="",$B40="Land",$C40=""),"",IFERROR($C40*INDEX(Settings!$C$22:$AC$27,MATCH($B40,Settings!$A$22:$A$27,0),16),0))</f>
        <v/>
      </c>
      <c r="T40" s="38">
        <f>IF(OR($B40="",$B40="Land",$C40=""),"",IFERROR($C40*INDEX(Settings!$C$22:$AC$27,MATCH($B40,Settings!$A$22:$A$27,0),17),0))</f>
        <v/>
      </c>
      <c r="U40" s="38">
        <f>IF(OR($B40="",$B40="Land",$C40=""),"",IFERROR($C40*INDEX(Settings!$C$22:$AC$27,MATCH($B40,Settings!$A$22:$A$27,0),18),0))</f>
        <v/>
      </c>
      <c r="V40" s="38">
        <f>IF(OR($B40="",$B40="Land",$C40=""),"",IFERROR($C40*INDEX(Settings!$C$22:$AC$27,MATCH($B40,Settings!$A$22:$A$27,0),19),0))</f>
        <v/>
      </c>
      <c r="W40" s="38">
        <f>IF(OR($B40="",$B40="Land",$C40=""),"",IFERROR($C40*INDEX(Settings!$C$22:$AC$27,MATCH($B40,Settings!$A$22:$A$27,0),20),0))</f>
        <v/>
      </c>
      <c r="X40" s="38">
        <f>IF(OR($B40="",$B40="Land",$C40=""),"",IFERROR($C40*INDEX(Settings!$C$22:$AC$27,MATCH($B40,Settings!$A$22:$A$27,0),21),0))</f>
        <v/>
      </c>
      <c r="Y40" s="38">
        <f>IF(OR($B40="",$B40="Land",$C40=""),"",IFERROR($C40*INDEX(Settings!$C$22:$AC$27,MATCH($B40,Settings!$A$22:$A$27,0),22),0))</f>
        <v/>
      </c>
      <c r="Z40" s="38">
        <f>IF(OR($B40="",$B40="Land",$C40=""),"",IFERROR($C40*INDEX(Settings!$C$22:$AC$27,MATCH($B40,Settings!$A$22:$A$27,0),23),0))</f>
        <v/>
      </c>
      <c r="AA40" s="38">
        <f>IF(OR($B40="",$B40="Land",$C40=""),"",IFERROR($C40*INDEX(Settings!$C$22:$AC$27,MATCH($B40,Settings!$A$22:$A$27,0),24),0))</f>
        <v/>
      </c>
      <c r="AB40" s="38">
        <f>IF(OR($B40="",$B40="Land",$C40=""),"",IFERROR($C40*INDEX(Settings!$C$22:$AC$27,MATCH($B40,Settings!$A$22:$A$27,0),25),0))</f>
        <v/>
      </c>
      <c r="AC40" s="38">
        <f>IF(OR($B40="",$B40="Land",$C40=""),"",IFERROR($C40*INDEX(Settings!$C$22:$AC$27,MATCH($B40,Settings!$A$22:$A$27,0),26),0))</f>
        <v/>
      </c>
      <c r="AD40" s="38">
        <f>IF(OR($B40="",$B40="Land",$C40=""),"",IFERROR($C40*INDEX(Settings!$C$22:$AC$27,MATCH($B40,Settings!$A$22:$A$27,0),27),0))</f>
        <v/>
      </c>
    </row>
    <row r="41" ht="16" customHeight="1">
      <c r="A41" s="37">
        <f>'Asset Register'!A41</f>
        <v/>
      </c>
      <c r="B41" s="34">
        <f>'Asset Register'!E41</f>
        <v/>
      </c>
      <c r="C41" s="33">
        <f>'Asset Register'!J41</f>
        <v/>
      </c>
      <c r="D41" s="38">
        <f>IF(OR($B41="",$B41="Land",$C41=""),"",IFERROR($C41*INDEX(Settings!$C$22:$AC$27,MATCH($B41,Settings!$A$22:$A$27,0),1),0))</f>
        <v/>
      </c>
      <c r="E41" s="38">
        <f>IF(OR($B41="",$B41="Land",$C41=""),"",IFERROR($C41*INDEX(Settings!$C$22:$AC$27,MATCH($B41,Settings!$A$22:$A$27,0),2),0))</f>
        <v/>
      </c>
      <c r="F41" s="38">
        <f>IF(OR($B41="",$B41="Land",$C41=""),"",IFERROR($C41*INDEX(Settings!$C$22:$AC$27,MATCH($B41,Settings!$A$22:$A$27,0),3),0))</f>
        <v/>
      </c>
      <c r="G41" s="38">
        <f>IF(OR($B41="",$B41="Land",$C41=""),"",IFERROR($C41*INDEX(Settings!$C$22:$AC$27,MATCH($B41,Settings!$A$22:$A$27,0),4),0))</f>
        <v/>
      </c>
      <c r="H41" s="38">
        <f>IF(OR($B41="",$B41="Land",$C41=""),"",IFERROR($C41*INDEX(Settings!$C$22:$AC$27,MATCH($B41,Settings!$A$22:$A$27,0),5),0))</f>
        <v/>
      </c>
      <c r="I41" s="38">
        <f>IF(OR($B41="",$B41="Land",$C41=""),"",IFERROR($C41*INDEX(Settings!$C$22:$AC$27,MATCH($B41,Settings!$A$22:$A$27,0),6),0))</f>
        <v/>
      </c>
      <c r="J41" s="38">
        <f>IF(OR($B41="",$B41="Land",$C41=""),"",IFERROR($C41*INDEX(Settings!$C$22:$AC$27,MATCH($B41,Settings!$A$22:$A$27,0),7),0))</f>
        <v/>
      </c>
      <c r="K41" s="38">
        <f>IF(OR($B41="",$B41="Land",$C41=""),"",IFERROR($C41*INDEX(Settings!$C$22:$AC$27,MATCH($B41,Settings!$A$22:$A$27,0),8),0))</f>
        <v/>
      </c>
      <c r="L41" s="38">
        <f>IF(OR($B41="",$B41="Land",$C41=""),"",IFERROR($C41*INDEX(Settings!$C$22:$AC$27,MATCH($B41,Settings!$A$22:$A$27,0),9),0))</f>
        <v/>
      </c>
      <c r="M41" s="38">
        <f>IF(OR($B41="",$B41="Land",$C41=""),"",IFERROR($C41*INDEX(Settings!$C$22:$AC$27,MATCH($B41,Settings!$A$22:$A$27,0),10),0))</f>
        <v/>
      </c>
      <c r="N41" s="38">
        <f>IF(OR($B41="",$B41="Land",$C41=""),"",IFERROR($C41*INDEX(Settings!$C$22:$AC$27,MATCH($B41,Settings!$A$22:$A$27,0),11),0))</f>
        <v/>
      </c>
      <c r="O41" s="38">
        <f>IF(OR($B41="",$B41="Land",$C41=""),"",IFERROR($C41*INDEX(Settings!$C$22:$AC$27,MATCH($B41,Settings!$A$22:$A$27,0),12),0))</f>
        <v/>
      </c>
      <c r="P41" s="38">
        <f>IF(OR($B41="",$B41="Land",$C41=""),"",IFERROR($C41*INDEX(Settings!$C$22:$AC$27,MATCH($B41,Settings!$A$22:$A$27,0),13),0))</f>
        <v/>
      </c>
      <c r="Q41" s="38">
        <f>IF(OR($B41="",$B41="Land",$C41=""),"",IFERROR($C41*INDEX(Settings!$C$22:$AC$27,MATCH($B41,Settings!$A$22:$A$27,0),14),0))</f>
        <v/>
      </c>
      <c r="R41" s="38">
        <f>IF(OR($B41="",$B41="Land",$C41=""),"",IFERROR($C41*INDEX(Settings!$C$22:$AC$27,MATCH($B41,Settings!$A$22:$A$27,0),15),0))</f>
        <v/>
      </c>
      <c r="S41" s="38">
        <f>IF(OR($B41="",$B41="Land",$C41=""),"",IFERROR($C41*INDEX(Settings!$C$22:$AC$27,MATCH($B41,Settings!$A$22:$A$27,0),16),0))</f>
        <v/>
      </c>
      <c r="T41" s="38">
        <f>IF(OR($B41="",$B41="Land",$C41=""),"",IFERROR($C41*INDEX(Settings!$C$22:$AC$27,MATCH($B41,Settings!$A$22:$A$27,0),17),0))</f>
        <v/>
      </c>
      <c r="U41" s="38">
        <f>IF(OR($B41="",$B41="Land",$C41=""),"",IFERROR($C41*INDEX(Settings!$C$22:$AC$27,MATCH($B41,Settings!$A$22:$A$27,0),18),0))</f>
        <v/>
      </c>
      <c r="V41" s="38">
        <f>IF(OR($B41="",$B41="Land",$C41=""),"",IFERROR($C41*INDEX(Settings!$C$22:$AC$27,MATCH($B41,Settings!$A$22:$A$27,0),19),0))</f>
        <v/>
      </c>
      <c r="W41" s="38">
        <f>IF(OR($B41="",$B41="Land",$C41=""),"",IFERROR($C41*INDEX(Settings!$C$22:$AC$27,MATCH($B41,Settings!$A$22:$A$27,0),20),0))</f>
        <v/>
      </c>
      <c r="X41" s="38">
        <f>IF(OR($B41="",$B41="Land",$C41=""),"",IFERROR($C41*INDEX(Settings!$C$22:$AC$27,MATCH($B41,Settings!$A$22:$A$27,0),21),0))</f>
        <v/>
      </c>
      <c r="Y41" s="38">
        <f>IF(OR($B41="",$B41="Land",$C41=""),"",IFERROR($C41*INDEX(Settings!$C$22:$AC$27,MATCH($B41,Settings!$A$22:$A$27,0),22),0))</f>
        <v/>
      </c>
      <c r="Z41" s="38">
        <f>IF(OR($B41="",$B41="Land",$C41=""),"",IFERROR($C41*INDEX(Settings!$C$22:$AC$27,MATCH($B41,Settings!$A$22:$A$27,0),23),0))</f>
        <v/>
      </c>
      <c r="AA41" s="38">
        <f>IF(OR($B41="",$B41="Land",$C41=""),"",IFERROR($C41*INDEX(Settings!$C$22:$AC$27,MATCH($B41,Settings!$A$22:$A$27,0),24),0))</f>
        <v/>
      </c>
      <c r="AB41" s="38">
        <f>IF(OR($B41="",$B41="Land",$C41=""),"",IFERROR($C41*INDEX(Settings!$C$22:$AC$27,MATCH($B41,Settings!$A$22:$A$27,0),25),0))</f>
        <v/>
      </c>
      <c r="AC41" s="38">
        <f>IF(OR($B41="",$B41="Land",$C41=""),"",IFERROR($C41*INDEX(Settings!$C$22:$AC$27,MATCH($B41,Settings!$A$22:$A$27,0),26),0))</f>
        <v/>
      </c>
      <c r="AD41" s="38">
        <f>IF(OR($B41="",$B41="Land",$C41=""),"",IFERROR($C41*INDEX(Settings!$C$22:$AC$27,MATCH($B41,Settings!$A$22:$A$27,0),27),0))</f>
        <v/>
      </c>
    </row>
    <row r="42" ht="16" customHeight="1">
      <c r="A42" s="37">
        <f>'Asset Register'!A42</f>
        <v/>
      </c>
      <c r="B42" s="34">
        <f>'Asset Register'!E42</f>
        <v/>
      </c>
      <c r="C42" s="33">
        <f>'Asset Register'!J42</f>
        <v/>
      </c>
      <c r="D42" s="38">
        <f>IF(OR($B42="",$B42="Land",$C42=""),"",IFERROR($C42*INDEX(Settings!$C$22:$AC$27,MATCH($B42,Settings!$A$22:$A$27,0),1),0))</f>
        <v/>
      </c>
      <c r="E42" s="38">
        <f>IF(OR($B42="",$B42="Land",$C42=""),"",IFERROR($C42*INDEX(Settings!$C$22:$AC$27,MATCH($B42,Settings!$A$22:$A$27,0),2),0))</f>
        <v/>
      </c>
      <c r="F42" s="38">
        <f>IF(OR($B42="",$B42="Land",$C42=""),"",IFERROR($C42*INDEX(Settings!$C$22:$AC$27,MATCH($B42,Settings!$A$22:$A$27,0),3),0))</f>
        <v/>
      </c>
      <c r="G42" s="38">
        <f>IF(OR($B42="",$B42="Land",$C42=""),"",IFERROR($C42*INDEX(Settings!$C$22:$AC$27,MATCH($B42,Settings!$A$22:$A$27,0),4),0))</f>
        <v/>
      </c>
      <c r="H42" s="38">
        <f>IF(OR($B42="",$B42="Land",$C42=""),"",IFERROR($C42*INDEX(Settings!$C$22:$AC$27,MATCH($B42,Settings!$A$22:$A$27,0),5),0))</f>
        <v/>
      </c>
      <c r="I42" s="38">
        <f>IF(OR($B42="",$B42="Land",$C42=""),"",IFERROR($C42*INDEX(Settings!$C$22:$AC$27,MATCH($B42,Settings!$A$22:$A$27,0),6),0))</f>
        <v/>
      </c>
      <c r="J42" s="38">
        <f>IF(OR($B42="",$B42="Land",$C42=""),"",IFERROR($C42*INDEX(Settings!$C$22:$AC$27,MATCH($B42,Settings!$A$22:$A$27,0),7),0))</f>
        <v/>
      </c>
      <c r="K42" s="38">
        <f>IF(OR($B42="",$B42="Land",$C42=""),"",IFERROR($C42*INDEX(Settings!$C$22:$AC$27,MATCH($B42,Settings!$A$22:$A$27,0),8),0))</f>
        <v/>
      </c>
      <c r="L42" s="38">
        <f>IF(OR($B42="",$B42="Land",$C42=""),"",IFERROR($C42*INDEX(Settings!$C$22:$AC$27,MATCH($B42,Settings!$A$22:$A$27,0),9),0))</f>
        <v/>
      </c>
      <c r="M42" s="38">
        <f>IF(OR($B42="",$B42="Land",$C42=""),"",IFERROR($C42*INDEX(Settings!$C$22:$AC$27,MATCH($B42,Settings!$A$22:$A$27,0),10),0))</f>
        <v/>
      </c>
      <c r="N42" s="38">
        <f>IF(OR($B42="",$B42="Land",$C42=""),"",IFERROR($C42*INDEX(Settings!$C$22:$AC$27,MATCH($B42,Settings!$A$22:$A$27,0),11),0))</f>
        <v/>
      </c>
      <c r="O42" s="38">
        <f>IF(OR($B42="",$B42="Land",$C42=""),"",IFERROR($C42*INDEX(Settings!$C$22:$AC$27,MATCH($B42,Settings!$A$22:$A$27,0),12),0))</f>
        <v/>
      </c>
      <c r="P42" s="38">
        <f>IF(OR($B42="",$B42="Land",$C42=""),"",IFERROR($C42*INDEX(Settings!$C$22:$AC$27,MATCH($B42,Settings!$A$22:$A$27,0),13),0))</f>
        <v/>
      </c>
      <c r="Q42" s="38">
        <f>IF(OR($B42="",$B42="Land",$C42=""),"",IFERROR($C42*INDEX(Settings!$C$22:$AC$27,MATCH($B42,Settings!$A$22:$A$27,0),14),0))</f>
        <v/>
      </c>
      <c r="R42" s="38">
        <f>IF(OR($B42="",$B42="Land",$C42=""),"",IFERROR($C42*INDEX(Settings!$C$22:$AC$27,MATCH($B42,Settings!$A$22:$A$27,0),15),0))</f>
        <v/>
      </c>
      <c r="S42" s="38">
        <f>IF(OR($B42="",$B42="Land",$C42=""),"",IFERROR($C42*INDEX(Settings!$C$22:$AC$27,MATCH($B42,Settings!$A$22:$A$27,0),16),0))</f>
        <v/>
      </c>
      <c r="T42" s="38">
        <f>IF(OR($B42="",$B42="Land",$C42=""),"",IFERROR($C42*INDEX(Settings!$C$22:$AC$27,MATCH($B42,Settings!$A$22:$A$27,0),17),0))</f>
        <v/>
      </c>
      <c r="U42" s="38">
        <f>IF(OR($B42="",$B42="Land",$C42=""),"",IFERROR($C42*INDEX(Settings!$C$22:$AC$27,MATCH($B42,Settings!$A$22:$A$27,0),18),0))</f>
        <v/>
      </c>
      <c r="V42" s="38">
        <f>IF(OR($B42="",$B42="Land",$C42=""),"",IFERROR($C42*INDEX(Settings!$C$22:$AC$27,MATCH($B42,Settings!$A$22:$A$27,0),19),0))</f>
        <v/>
      </c>
      <c r="W42" s="38">
        <f>IF(OR($B42="",$B42="Land",$C42=""),"",IFERROR($C42*INDEX(Settings!$C$22:$AC$27,MATCH($B42,Settings!$A$22:$A$27,0),20),0))</f>
        <v/>
      </c>
      <c r="X42" s="38">
        <f>IF(OR($B42="",$B42="Land",$C42=""),"",IFERROR($C42*INDEX(Settings!$C$22:$AC$27,MATCH($B42,Settings!$A$22:$A$27,0),21),0))</f>
        <v/>
      </c>
      <c r="Y42" s="38">
        <f>IF(OR($B42="",$B42="Land",$C42=""),"",IFERROR($C42*INDEX(Settings!$C$22:$AC$27,MATCH($B42,Settings!$A$22:$A$27,0),22),0))</f>
        <v/>
      </c>
      <c r="Z42" s="38">
        <f>IF(OR($B42="",$B42="Land",$C42=""),"",IFERROR($C42*INDEX(Settings!$C$22:$AC$27,MATCH($B42,Settings!$A$22:$A$27,0),23),0))</f>
        <v/>
      </c>
      <c r="AA42" s="38">
        <f>IF(OR($B42="",$B42="Land",$C42=""),"",IFERROR($C42*INDEX(Settings!$C$22:$AC$27,MATCH($B42,Settings!$A$22:$A$27,0),24),0))</f>
        <v/>
      </c>
      <c r="AB42" s="38">
        <f>IF(OR($B42="",$B42="Land",$C42=""),"",IFERROR($C42*INDEX(Settings!$C$22:$AC$27,MATCH($B42,Settings!$A$22:$A$27,0),25),0))</f>
        <v/>
      </c>
      <c r="AC42" s="38">
        <f>IF(OR($B42="",$B42="Land",$C42=""),"",IFERROR($C42*INDEX(Settings!$C$22:$AC$27,MATCH($B42,Settings!$A$22:$A$27,0),26),0))</f>
        <v/>
      </c>
      <c r="AD42" s="38">
        <f>IF(OR($B42="",$B42="Land",$C42=""),"",IFERROR($C42*INDEX(Settings!$C$22:$AC$27,MATCH($B42,Settings!$A$22:$A$27,0),27),0))</f>
        <v/>
      </c>
    </row>
    <row r="43" ht="16" customHeight="1">
      <c r="A43" s="37">
        <f>'Asset Register'!A43</f>
        <v/>
      </c>
      <c r="B43" s="34">
        <f>'Asset Register'!E43</f>
        <v/>
      </c>
      <c r="C43" s="33">
        <f>'Asset Register'!J43</f>
        <v/>
      </c>
      <c r="D43" s="38">
        <f>IF(OR($B43="",$B43="Land",$C43=""),"",IFERROR($C43*INDEX(Settings!$C$22:$AC$27,MATCH($B43,Settings!$A$22:$A$27,0),1),0))</f>
        <v/>
      </c>
      <c r="E43" s="38">
        <f>IF(OR($B43="",$B43="Land",$C43=""),"",IFERROR($C43*INDEX(Settings!$C$22:$AC$27,MATCH($B43,Settings!$A$22:$A$27,0),2),0))</f>
        <v/>
      </c>
      <c r="F43" s="38">
        <f>IF(OR($B43="",$B43="Land",$C43=""),"",IFERROR($C43*INDEX(Settings!$C$22:$AC$27,MATCH($B43,Settings!$A$22:$A$27,0),3),0))</f>
        <v/>
      </c>
      <c r="G43" s="38">
        <f>IF(OR($B43="",$B43="Land",$C43=""),"",IFERROR($C43*INDEX(Settings!$C$22:$AC$27,MATCH($B43,Settings!$A$22:$A$27,0),4),0))</f>
        <v/>
      </c>
      <c r="H43" s="38">
        <f>IF(OR($B43="",$B43="Land",$C43=""),"",IFERROR($C43*INDEX(Settings!$C$22:$AC$27,MATCH($B43,Settings!$A$22:$A$27,0),5),0))</f>
        <v/>
      </c>
      <c r="I43" s="38">
        <f>IF(OR($B43="",$B43="Land",$C43=""),"",IFERROR($C43*INDEX(Settings!$C$22:$AC$27,MATCH($B43,Settings!$A$22:$A$27,0),6),0))</f>
        <v/>
      </c>
      <c r="J43" s="38">
        <f>IF(OR($B43="",$B43="Land",$C43=""),"",IFERROR($C43*INDEX(Settings!$C$22:$AC$27,MATCH($B43,Settings!$A$22:$A$27,0),7),0))</f>
        <v/>
      </c>
      <c r="K43" s="38">
        <f>IF(OR($B43="",$B43="Land",$C43=""),"",IFERROR($C43*INDEX(Settings!$C$22:$AC$27,MATCH($B43,Settings!$A$22:$A$27,0),8),0))</f>
        <v/>
      </c>
      <c r="L43" s="38">
        <f>IF(OR($B43="",$B43="Land",$C43=""),"",IFERROR($C43*INDEX(Settings!$C$22:$AC$27,MATCH($B43,Settings!$A$22:$A$27,0),9),0))</f>
        <v/>
      </c>
      <c r="M43" s="38">
        <f>IF(OR($B43="",$B43="Land",$C43=""),"",IFERROR($C43*INDEX(Settings!$C$22:$AC$27,MATCH($B43,Settings!$A$22:$A$27,0),10),0))</f>
        <v/>
      </c>
      <c r="N43" s="38">
        <f>IF(OR($B43="",$B43="Land",$C43=""),"",IFERROR($C43*INDEX(Settings!$C$22:$AC$27,MATCH($B43,Settings!$A$22:$A$27,0),11),0))</f>
        <v/>
      </c>
      <c r="O43" s="38">
        <f>IF(OR($B43="",$B43="Land",$C43=""),"",IFERROR($C43*INDEX(Settings!$C$22:$AC$27,MATCH($B43,Settings!$A$22:$A$27,0),12),0))</f>
        <v/>
      </c>
      <c r="P43" s="38">
        <f>IF(OR($B43="",$B43="Land",$C43=""),"",IFERROR($C43*INDEX(Settings!$C$22:$AC$27,MATCH($B43,Settings!$A$22:$A$27,0),13),0))</f>
        <v/>
      </c>
      <c r="Q43" s="38">
        <f>IF(OR($B43="",$B43="Land",$C43=""),"",IFERROR($C43*INDEX(Settings!$C$22:$AC$27,MATCH($B43,Settings!$A$22:$A$27,0),14),0))</f>
        <v/>
      </c>
      <c r="R43" s="38">
        <f>IF(OR($B43="",$B43="Land",$C43=""),"",IFERROR($C43*INDEX(Settings!$C$22:$AC$27,MATCH($B43,Settings!$A$22:$A$27,0),15),0))</f>
        <v/>
      </c>
      <c r="S43" s="38">
        <f>IF(OR($B43="",$B43="Land",$C43=""),"",IFERROR($C43*INDEX(Settings!$C$22:$AC$27,MATCH($B43,Settings!$A$22:$A$27,0),16),0))</f>
        <v/>
      </c>
      <c r="T43" s="38">
        <f>IF(OR($B43="",$B43="Land",$C43=""),"",IFERROR($C43*INDEX(Settings!$C$22:$AC$27,MATCH($B43,Settings!$A$22:$A$27,0),17),0))</f>
        <v/>
      </c>
      <c r="U43" s="38">
        <f>IF(OR($B43="",$B43="Land",$C43=""),"",IFERROR($C43*INDEX(Settings!$C$22:$AC$27,MATCH($B43,Settings!$A$22:$A$27,0),18),0))</f>
        <v/>
      </c>
      <c r="V43" s="38">
        <f>IF(OR($B43="",$B43="Land",$C43=""),"",IFERROR($C43*INDEX(Settings!$C$22:$AC$27,MATCH($B43,Settings!$A$22:$A$27,0),19),0))</f>
        <v/>
      </c>
      <c r="W43" s="38">
        <f>IF(OR($B43="",$B43="Land",$C43=""),"",IFERROR($C43*INDEX(Settings!$C$22:$AC$27,MATCH($B43,Settings!$A$22:$A$27,0),20),0))</f>
        <v/>
      </c>
      <c r="X43" s="38">
        <f>IF(OR($B43="",$B43="Land",$C43=""),"",IFERROR($C43*INDEX(Settings!$C$22:$AC$27,MATCH($B43,Settings!$A$22:$A$27,0),21),0))</f>
        <v/>
      </c>
      <c r="Y43" s="38">
        <f>IF(OR($B43="",$B43="Land",$C43=""),"",IFERROR($C43*INDEX(Settings!$C$22:$AC$27,MATCH($B43,Settings!$A$22:$A$27,0),22),0))</f>
        <v/>
      </c>
      <c r="Z43" s="38">
        <f>IF(OR($B43="",$B43="Land",$C43=""),"",IFERROR($C43*INDEX(Settings!$C$22:$AC$27,MATCH($B43,Settings!$A$22:$A$27,0),23),0))</f>
        <v/>
      </c>
      <c r="AA43" s="38">
        <f>IF(OR($B43="",$B43="Land",$C43=""),"",IFERROR($C43*INDEX(Settings!$C$22:$AC$27,MATCH($B43,Settings!$A$22:$A$27,0),24),0))</f>
        <v/>
      </c>
      <c r="AB43" s="38">
        <f>IF(OR($B43="",$B43="Land",$C43=""),"",IFERROR($C43*INDEX(Settings!$C$22:$AC$27,MATCH($B43,Settings!$A$22:$A$27,0),25),0))</f>
        <v/>
      </c>
      <c r="AC43" s="38">
        <f>IF(OR($B43="",$B43="Land",$C43=""),"",IFERROR($C43*INDEX(Settings!$C$22:$AC$27,MATCH($B43,Settings!$A$22:$A$27,0),26),0))</f>
        <v/>
      </c>
      <c r="AD43" s="38">
        <f>IF(OR($B43="",$B43="Land",$C43=""),"",IFERROR($C43*INDEX(Settings!$C$22:$AC$27,MATCH($B43,Settings!$A$22:$A$27,0),27),0))</f>
        <v/>
      </c>
    </row>
    <row r="44" ht="16" customHeight="1">
      <c r="A44" s="37">
        <f>'Asset Register'!A44</f>
        <v/>
      </c>
      <c r="B44" s="34">
        <f>'Asset Register'!E44</f>
        <v/>
      </c>
      <c r="C44" s="33">
        <f>'Asset Register'!J44</f>
        <v/>
      </c>
      <c r="D44" s="38">
        <f>IF(OR($B44="",$B44="Land",$C44=""),"",IFERROR($C44*INDEX(Settings!$C$22:$AC$27,MATCH($B44,Settings!$A$22:$A$27,0),1),0))</f>
        <v/>
      </c>
      <c r="E44" s="38">
        <f>IF(OR($B44="",$B44="Land",$C44=""),"",IFERROR($C44*INDEX(Settings!$C$22:$AC$27,MATCH($B44,Settings!$A$22:$A$27,0),2),0))</f>
        <v/>
      </c>
      <c r="F44" s="38">
        <f>IF(OR($B44="",$B44="Land",$C44=""),"",IFERROR($C44*INDEX(Settings!$C$22:$AC$27,MATCH($B44,Settings!$A$22:$A$27,0),3),0))</f>
        <v/>
      </c>
      <c r="G44" s="38">
        <f>IF(OR($B44="",$B44="Land",$C44=""),"",IFERROR($C44*INDEX(Settings!$C$22:$AC$27,MATCH($B44,Settings!$A$22:$A$27,0),4),0))</f>
        <v/>
      </c>
      <c r="H44" s="38">
        <f>IF(OR($B44="",$B44="Land",$C44=""),"",IFERROR($C44*INDEX(Settings!$C$22:$AC$27,MATCH($B44,Settings!$A$22:$A$27,0),5),0))</f>
        <v/>
      </c>
      <c r="I44" s="38">
        <f>IF(OR($B44="",$B44="Land",$C44=""),"",IFERROR($C44*INDEX(Settings!$C$22:$AC$27,MATCH($B44,Settings!$A$22:$A$27,0),6),0))</f>
        <v/>
      </c>
      <c r="J44" s="38">
        <f>IF(OR($B44="",$B44="Land",$C44=""),"",IFERROR($C44*INDEX(Settings!$C$22:$AC$27,MATCH($B44,Settings!$A$22:$A$27,0),7),0))</f>
        <v/>
      </c>
      <c r="K44" s="38">
        <f>IF(OR($B44="",$B44="Land",$C44=""),"",IFERROR($C44*INDEX(Settings!$C$22:$AC$27,MATCH($B44,Settings!$A$22:$A$27,0),8),0))</f>
        <v/>
      </c>
      <c r="L44" s="38">
        <f>IF(OR($B44="",$B44="Land",$C44=""),"",IFERROR($C44*INDEX(Settings!$C$22:$AC$27,MATCH($B44,Settings!$A$22:$A$27,0),9),0))</f>
        <v/>
      </c>
      <c r="M44" s="38">
        <f>IF(OR($B44="",$B44="Land",$C44=""),"",IFERROR($C44*INDEX(Settings!$C$22:$AC$27,MATCH($B44,Settings!$A$22:$A$27,0),10),0))</f>
        <v/>
      </c>
      <c r="N44" s="38">
        <f>IF(OR($B44="",$B44="Land",$C44=""),"",IFERROR($C44*INDEX(Settings!$C$22:$AC$27,MATCH($B44,Settings!$A$22:$A$27,0),11),0))</f>
        <v/>
      </c>
      <c r="O44" s="38">
        <f>IF(OR($B44="",$B44="Land",$C44=""),"",IFERROR($C44*INDEX(Settings!$C$22:$AC$27,MATCH($B44,Settings!$A$22:$A$27,0),12),0))</f>
        <v/>
      </c>
      <c r="P44" s="38">
        <f>IF(OR($B44="",$B44="Land",$C44=""),"",IFERROR($C44*INDEX(Settings!$C$22:$AC$27,MATCH($B44,Settings!$A$22:$A$27,0),13),0))</f>
        <v/>
      </c>
      <c r="Q44" s="38">
        <f>IF(OR($B44="",$B44="Land",$C44=""),"",IFERROR($C44*INDEX(Settings!$C$22:$AC$27,MATCH($B44,Settings!$A$22:$A$27,0),14),0))</f>
        <v/>
      </c>
      <c r="R44" s="38">
        <f>IF(OR($B44="",$B44="Land",$C44=""),"",IFERROR($C44*INDEX(Settings!$C$22:$AC$27,MATCH($B44,Settings!$A$22:$A$27,0),15),0))</f>
        <v/>
      </c>
      <c r="S44" s="38">
        <f>IF(OR($B44="",$B44="Land",$C44=""),"",IFERROR($C44*INDEX(Settings!$C$22:$AC$27,MATCH($B44,Settings!$A$22:$A$27,0),16),0))</f>
        <v/>
      </c>
      <c r="T44" s="38">
        <f>IF(OR($B44="",$B44="Land",$C44=""),"",IFERROR($C44*INDEX(Settings!$C$22:$AC$27,MATCH($B44,Settings!$A$22:$A$27,0),17),0))</f>
        <v/>
      </c>
      <c r="U44" s="38">
        <f>IF(OR($B44="",$B44="Land",$C44=""),"",IFERROR($C44*INDEX(Settings!$C$22:$AC$27,MATCH($B44,Settings!$A$22:$A$27,0),18),0))</f>
        <v/>
      </c>
      <c r="V44" s="38">
        <f>IF(OR($B44="",$B44="Land",$C44=""),"",IFERROR($C44*INDEX(Settings!$C$22:$AC$27,MATCH($B44,Settings!$A$22:$A$27,0),19),0))</f>
        <v/>
      </c>
      <c r="W44" s="38">
        <f>IF(OR($B44="",$B44="Land",$C44=""),"",IFERROR($C44*INDEX(Settings!$C$22:$AC$27,MATCH($B44,Settings!$A$22:$A$27,0),20),0))</f>
        <v/>
      </c>
      <c r="X44" s="38">
        <f>IF(OR($B44="",$B44="Land",$C44=""),"",IFERROR($C44*INDEX(Settings!$C$22:$AC$27,MATCH($B44,Settings!$A$22:$A$27,0),21),0))</f>
        <v/>
      </c>
      <c r="Y44" s="38">
        <f>IF(OR($B44="",$B44="Land",$C44=""),"",IFERROR($C44*INDEX(Settings!$C$22:$AC$27,MATCH($B44,Settings!$A$22:$A$27,0),22),0))</f>
        <v/>
      </c>
      <c r="Z44" s="38">
        <f>IF(OR($B44="",$B44="Land",$C44=""),"",IFERROR($C44*INDEX(Settings!$C$22:$AC$27,MATCH($B44,Settings!$A$22:$A$27,0),23),0))</f>
        <v/>
      </c>
      <c r="AA44" s="38">
        <f>IF(OR($B44="",$B44="Land",$C44=""),"",IFERROR($C44*INDEX(Settings!$C$22:$AC$27,MATCH($B44,Settings!$A$22:$A$27,0),24),0))</f>
        <v/>
      </c>
      <c r="AB44" s="38">
        <f>IF(OR($B44="",$B44="Land",$C44=""),"",IFERROR($C44*INDEX(Settings!$C$22:$AC$27,MATCH($B44,Settings!$A$22:$A$27,0),25),0))</f>
        <v/>
      </c>
      <c r="AC44" s="38">
        <f>IF(OR($B44="",$B44="Land",$C44=""),"",IFERROR($C44*INDEX(Settings!$C$22:$AC$27,MATCH($B44,Settings!$A$22:$A$27,0),26),0))</f>
        <v/>
      </c>
      <c r="AD44" s="38">
        <f>IF(OR($B44="",$B44="Land",$C44=""),"",IFERROR($C44*INDEX(Settings!$C$22:$AC$27,MATCH($B44,Settings!$A$22:$A$27,0),27),0))</f>
        <v/>
      </c>
    </row>
    <row r="45" ht="16" customHeight="1">
      <c r="A45" s="37">
        <f>'Asset Register'!A45</f>
        <v/>
      </c>
      <c r="B45" s="34">
        <f>'Asset Register'!E45</f>
        <v/>
      </c>
      <c r="C45" s="33">
        <f>'Asset Register'!J45</f>
        <v/>
      </c>
      <c r="D45" s="38">
        <f>IF(OR($B45="",$B45="Land",$C45=""),"",IFERROR($C45*INDEX(Settings!$C$22:$AC$27,MATCH($B45,Settings!$A$22:$A$27,0),1),0))</f>
        <v/>
      </c>
      <c r="E45" s="38">
        <f>IF(OR($B45="",$B45="Land",$C45=""),"",IFERROR($C45*INDEX(Settings!$C$22:$AC$27,MATCH($B45,Settings!$A$22:$A$27,0),2),0))</f>
        <v/>
      </c>
      <c r="F45" s="38">
        <f>IF(OR($B45="",$B45="Land",$C45=""),"",IFERROR($C45*INDEX(Settings!$C$22:$AC$27,MATCH($B45,Settings!$A$22:$A$27,0),3),0))</f>
        <v/>
      </c>
      <c r="G45" s="38">
        <f>IF(OR($B45="",$B45="Land",$C45=""),"",IFERROR($C45*INDEX(Settings!$C$22:$AC$27,MATCH($B45,Settings!$A$22:$A$27,0),4),0))</f>
        <v/>
      </c>
      <c r="H45" s="38">
        <f>IF(OR($B45="",$B45="Land",$C45=""),"",IFERROR($C45*INDEX(Settings!$C$22:$AC$27,MATCH($B45,Settings!$A$22:$A$27,0),5),0))</f>
        <v/>
      </c>
      <c r="I45" s="38">
        <f>IF(OR($B45="",$B45="Land",$C45=""),"",IFERROR($C45*INDEX(Settings!$C$22:$AC$27,MATCH($B45,Settings!$A$22:$A$27,0),6),0))</f>
        <v/>
      </c>
      <c r="J45" s="38">
        <f>IF(OR($B45="",$B45="Land",$C45=""),"",IFERROR($C45*INDEX(Settings!$C$22:$AC$27,MATCH($B45,Settings!$A$22:$A$27,0),7),0))</f>
        <v/>
      </c>
      <c r="K45" s="38">
        <f>IF(OR($B45="",$B45="Land",$C45=""),"",IFERROR($C45*INDEX(Settings!$C$22:$AC$27,MATCH($B45,Settings!$A$22:$A$27,0),8),0))</f>
        <v/>
      </c>
      <c r="L45" s="38">
        <f>IF(OR($B45="",$B45="Land",$C45=""),"",IFERROR($C45*INDEX(Settings!$C$22:$AC$27,MATCH($B45,Settings!$A$22:$A$27,0),9),0))</f>
        <v/>
      </c>
      <c r="M45" s="38">
        <f>IF(OR($B45="",$B45="Land",$C45=""),"",IFERROR($C45*INDEX(Settings!$C$22:$AC$27,MATCH($B45,Settings!$A$22:$A$27,0),10),0))</f>
        <v/>
      </c>
      <c r="N45" s="38">
        <f>IF(OR($B45="",$B45="Land",$C45=""),"",IFERROR($C45*INDEX(Settings!$C$22:$AC$27,MATCH($B45,Settings!$A$22:$A$27,0),11),0))</f>
        <v/>
      </c>
      <c r="O45" s="38">
        <f>IF(OR($B45="",$B45="Land",$C45=""),"",IFERROR($C45*INDEX(Settings!$C$22:$AC$27,MATCH($B45,Settings!$A$22:$A$27,0),12),0))</f>
        <v/>
      </c>
      <c r="P45" s="38">
        <f>IF(OR($B45="",$B45="Land",$C45=""),"",IFERROR($C45*INDEX(Settings!$C$22:$AC$27,MATCH($B45,Settings!$A$22:$A$27,0),13),0))</f>
        <v/>
      </c>
      <c r="Q45" s="38">
        <f>IF(OR($B45="",$B45="Land",$C45=""),"",IFERROR($C45*INDEX(Settings!$C$22:$AC$27,MATCH($B45,Settings!$A$22:$A$27,0),14),0))</f>
        <v/>
      </c>
      <c r="R45" s="38">
        <f>IF(OR($B45="",$B45="Land",$C45=""),"",IFERROR($C45*INDEX(Settings!$C$22:$AC$27,MATCH($B45,Settings!$A$22:$A$27,0),15),0))</f>
        <v/>
      </c>
      <c r="S45" s="38">
        <f>IF(OR($B45="",$B45="Land",$C45=""),"",IFERROR($C45*INDEX(Settings!$C$22:$AC$27,MATCH($B45,Settings!$A$22:$A$27,0),16),0))</f>
        <v/>
      </c>
      <c r="T45" s="38">
        <f>IF(OR($B45="",$B45="Land",$C45=""),"",IFERROR($C45*INDEX(Settings!$C$22:$AC$27,MATCH($B45,Settings!$A$22:$A$27,0),17),0))</f>
        <v/>
      </c>
      <c r="U45" s="38">
        <f>IF(OR($B45="",$B45="Land",$C45=""),"",IFERROR($C45*INDEX(Settings!$C$22:$AC$27,MATCH($B45,Settings!$A$22:$A$27,0),18),0))</f>
        <v/>
      </c>
      <c r="V45" s="38">
        <f>IF(OR($B45="",$B45="Land",$C45=""),"",IFERROR($C45*INDEX(Settings!$C$22:$AC$27,MATCH($B45,Settings!$A$22:$A$27,0),19),0))</f>
        <v/>
      </c>
      <c r="W45" s="38">
        <f>IF(OR($B45="",$B45="Land",$C45=""),"",IFERROR($C45*INDEX(Settings!$C$22:$AC$27,MATCH($B45,Settings!$A$22:$A$27,0),20),0))</f>
        <v/>
      </c>
      <c r="X45" s="38">
        <f>IF(OR($B45="",$B45="Land",$C45=""),"",IFERROR($C45*INDEX(Settings!$C$22:$AC$27,MATCH($B45,Settings!$A$22:$A$27,0),21),0))</f>
        <v/>
      </c>
      <c r="Y45" s="38">
        <f>IF(OR($B45="",$B45="Land",$C45=""),"",IFERROR($C45*INDEX(Settings!$C$22:$AC$27,MATCH($B45,Settings!$A$22:$A$27,0),22),0))</f>
        <v/>
      </c>
      <c r="Z45" s="38">
        <f>IF(OR($B45="",$B45="Land",$C45=""),"",IFERROR($C45*INDEX(Settings!$C$22:$AC$27,MATCH($B45,Settings!$A$22:$A$27,0),23),0))</f>
        <v/>
      </c>
      <c r="AA45" s="38">
        <f>IF(OR($B45="",$B45="Land",$C45=""),"",IFERROR($C45*INDEX(Settings!$C$22:$AC$27,MATCH($B45,Settings!$A$22:$A$27,0),24),0))</f>
        <v/>
      </c>
      <c r="AB45" s="38">
        <f>IF(OR($B45="",$B45="Land",$C45=""),"",IFERROR($C45*INDEX(Settings!$C$22:$AC$27,MATCH($B45,Settings!$A$22:$A$27,0),25),0))</f>
        <v/>
      </c>
      <c r="AC45" s="38">
        <f>IF(OR($B45="",$B45="Land",$C45=""),"",IFERROR($C45*INDEX(Settings!$C$22:$AC$27,MATCH($B45,Settings!$A$22:$A$27,0),26),0))</f>
        <v/>
      </c>
      <c r="AD45" s="38">
        <f>IF(OR($B45="",$B45="Land",$C45=""),"",IFERROR($C45*INDEX(Settings!$C$22:$AC$27,MATCH($B45,Settings!$A$22:$A$27,0),27),0))</f>
        <v/>
      </c>
    </row>
    <row r="46" ht="16" customHeight="1">
      <c r="A46" s="37">
        <f>'Asset Register'!A46</f>
        <v/>
      </c>
      <c r="B46" s="34">
        <f>'Asset Register'!E46</f>
        <v/>
      </c>
      <c r="C46" s="33">
        <f>'Asset Register'!J46</f>
        <v/>
      </c>
      <c r="D46" s="38">
        <f>IF(OR($B46="",$B46="Land",$C46=""),"",IFERROR($C46*INDEX(Settings!$C$22:$AC$27,MATCH($B46,Settings!$A$22:$A$27,0),1),0))</f>
        <v/>
      </c>
      <c r="E46" s="38">
        <f>IF(OR($B46="",$B46="Land",$C46=""),"",IFERROR($C46*INDEX(Settings!$C$22:$AC$27,MATCH($B46,Settings!$A$22:$A$27,0),2),0))</f>
        <v/>
      </c>
      <c r="F46" s="38">
        <f>IF(OR($B46="",$B46="Land",$C46=""),"",IFERROR($C46*INDEX(Settings!$C$22:$AC$27,MATCH($B46,Settings!$A$22:$A$27,0),3),0))</f>
        <v/>
      </c>
      <c r="G46" s="38">
        <f>IF(OR($B46="",$B46="Land",$C46=""),"",IFERROR($C46*INDEX(Settings!$C$22:$AC$27,MATCH($B46,Settings!$A$22:$A$27,0),4),0))</f>
        <v/>
      </c>
      <c r="H46" s="38">
        <f>IF(OR($B46="",$B46="Land",$C46=""),"",IFERROR($C46*INDEX(Settings!$C$22:$AC$27,MATCH($B46,Settings!$A$22:$A$27,0),5),0))</f>
        <v/>
      </c>
      <c r="I46" s="38">
        <f>IF(OR($B46="",$B46="Land",$C46=""),"",IFERROR($C46*INDEX(Settings!$C$22:$AC$27,MATCH($B46,Settings!$A$22:$A$27,0),6),0))</f>
        <v/>
      </c>
      <c r="J46" s="38">
        <f>IF(OR($B46="",$B46="Land",$C46=""),"",IFERROR($C46*INDEX(Settings!$C$22:$AC$27,MATCH($B46,Settings!$A$22:$A$27,0),7),0))</f>
        <v/>
      </c>
      <c r="K46" s="38">
        <f>IF(OR($B46="",$B46="Land",$C46=""),"",IFERROR($C46*INDEX(Settings!$C$22:$AC$27,MATCH($B46,Settings!$A$22:$A$27,0),8),0))</f>
        <v/>
      </c>
      <c r="L46" s="38">
        <f>IF(OR($B46="",$B46="Land",$C46=""),"",IFERROR($C46*INDEX(Settings!$C$22:$AC$27,MATCH($B46,Settings!$A$22:$A$27,0),9),0))</f>
        <v/>
      </c>
      <c r="M46" s="38">
        <f>IF(OR($B46="",$B46="Land",$C46=""),"",IFERROR($C46*INDEX(Settings!$C$22:$AC$27,MATCH($B46,Settings!$A$22:$A$27,0),10),0))</f>
        <v/>
      </c>
      <c r="N46" s="38">
        <f>IF(OR($B46="",$B46="Land",$C46=""),"",IFERROR($C46*INDEX(Settings!$C$22:$AC$27,MATCH($B46,Settings!$A$22:$A$27,0),11),0))</f>
        <v/>
      </c>
      <c r="O46" s="38">
        <f>IF(OR($B46="",$B46="Land",$C46=""),"",IFERROR($C46*INDEX(Settings!$C$22:$AC$27,MATCH($B46,Settings!$A$22:$A$27,0),12),0))</f>
        <v/>
      </c>
      <c r="P46" s="38">
        <f>IF(OR($B46="",$B46="Land",$C46=""),"",IFERROR($C46*INDEX(Settings!$C$22:$AC$27,MATCH($B46,Settings!$A$22:$A$27,0),13),0))</f>
        <v/>
      </c>
      <c r="Q46" s="38">
        <f>IF(OR($B46="",$B46="Land",$C46=""),"",IFERROR($C46*INDEX(Settings!$C$22:$AC$27,MATCH($B46,Settings!$A$22:$A$27,0),14),0))</f>
        <v/>
      </c>
      <c r="R46" s="38">
        <f>IF(OR($B46="",$B46="Land",$C46=""),"",IFERROR($C46*INDEX(Settings!$C$22:$AC$27,MATCH($B46,Settings!$A$22:$A$27,0),15),0))</f>
        <v/>
      </c>
      <c r="S46" s="38">
        <f>IF(OR($B46="",$B46="Land",$C46=""),"",IFERROR($C46*INDEX(Settings!$C$22:$AC$27,MATCH($B46,Settings!$A$22:$A$27,0),16),0))</f>
        <v/>
      </c>
      <c r="T46" s="38">
        <f>IF(OR($B46="",$B46="Land",$C46=""),"",IFERROR($C46*INDEX(Settings!$C$22:$AC$27,MATCH($B46,Settings!$A$22:$A$27,0),17),0))</f>
        <v/>
      </c>
      <c r="U46" s="38">
        <f>IF(OR($B46="",$B46="Land",$C46=""),"",IFERROR($C46*INDEX(Settings!$C$22:$AC$27,MATCH($B46,Settings!$A$22:$A$27,0),18),0))</f>
        <v/>
      </c>
      <c r="V46" s="38">
        <f>IF(OR($B46="",$B46="Land",$C46=""),"",IFERROR($C46*INDEX(Settings!$C$22:$AC$27,MATCH($B46,Settings!$A$22:$A$27,0),19),0))</f>
        <v/>
      </c>
      <c r="W46" s="38">
        <f>IF(OR($B46="",$B46="Land",$C46=""),"",IFERROR($C46*INDEX(Settings!$C$22:$AC$27,MATCH($B46,Settings!$A$22:$A$27,0),20),0))</f>
        <v/>
      </c>
      <c r="X46" s="38">
        <f>IF(OR($B46="",$B46="Land",$C46=""),"",IFERROR($C46*INDEX(Settings!$C$22:$AC$27,MATCH($B46,Settings!$A$22:$A$27,0),21),0))</f>
        <v/>
      </c>
      <c r="Y46" s="38">
        <f>IF(OR($B46="",$B46="Land",$C46=""),"",IFERROR($C46*INDEX(Settings!$C$22:$AC$27,MATCH($B46,Settings!$A$22:$A$27,0),22),0))</f>
        <v/>
      </c>
      <c r="Z46" s="38">
        <f>IF(OR($B46="",$B46="Land",$C46=""),"",IFERROR($C46*INDEX(Settings!$C$22:$AC$27,MATCH($B46,Settings!$A$22:$A$27,0),23),0))</f>
        <v/>
      </c>
      <c r="AA46" s="38">
        <f>IF(OR($B46="",$B46="Land",$C46=""),"",IFERROR($C46*INDEX(Settings!$C$22:$AC$27,MATCH($B46,Settings!$A$22:$A$27,0),24),0))</f>
        <v/>
      </c>
      <c r="AB46" s="38">
        <f>IF(OR($B46="",$B46="Land",$C46=""),"",IFERROR($C46*INDEX(Settings!$C$22:$AC$27,MATCH($B46,Settings!$A$22:$A$27,0),25),0))</f>
        <v/>
      </c>
      <c r="AC46" s="38">
        <f>IF(OR($B46="",$B46="Land",$C46=""),"",IFERROR($C46*INDEX(Settings!$C$22:$AC$27,MATCH($B46,Settings!$A$22:$A$27,0),26),0))</f>
        <v/>
      </c>
      <c r="AD46" s="38">
        <f>IF(OR($B46="",$B46="Land",$C46=""),"",IFERROR($C46*INDEX(Settings!$C$22:$AC$27,MATCH($B46,Settings!$A$22:$A$27,0),27),0))</f>
        <v/>
      </c>
    </row>
    <row r="47" ht="16" customHeight="1">
      <c r="A47" s="37">
        <f>'Asset Register'!A47</f>
        <v/>
      </c>
      <c r="B47" s="34">
        <f>'Asset Register'!E47</f>
        <v/>
      </c>
      <c r="C47" s="33">
        <f>'Asset Register'!J47</f>
        <v/>
      </c>
      <c r="D47" s="38">
        <f>IF(OR($B47="",$B47="Land",$C47=""),"",IFERROR($C47*INDEX(Settings!$C$22:$AC$27,MATCH($B47,Settings!$A$22:$A$27,0),1),0))</f>
        <v/>
      </c>
      <c r="E47" s="38">
        <f>IF(OR($B47="",$B47="Land",$C47=""),"",IFERROR($C47*INDEX(Settings!$C$22:$AC$27,MATCH($B47,Settings!$A$22:$A$27,0),2),0))</f>
        <v/>
      </c>
      <c r="F47" s="38">
        <f>IF(OR($B47="",$B47="Land",$C47=""),"",IFERROR($C47*INDEX(Settings!$C$22:$AC$27,MATCH($B47,Settings!$A$22:$A$27,0),3),0))</f>
        <v/>
      </c>
      <c r="G47" s="38">
        <f>IF(OR($B47="",$B47="Land",$C47=""),"",IFERROR($C47*INDEX(Settings!$C$22:$AC$27,MATCH($B47,Settings!$A$22:$A$27,0),4),0))</f>
        <v/>
      </c>
      <c r="H47" s="38">
        <f>IF(OR($B47="",$B47="Land",$C47=""),"",IFERROR($C47*INDEX(Settings!$C$22:$AC$27,MATCH($B47,Settings!$A$22:$A$27,0),5),0))</f>
        <v/>
      </c>
      <c r="I47" s="38">
        <f>IF(OR($B47="",$B47="Land",$C47=""),"",IFERROR($C47*INDEX(Settings!$C$22:$AC$27,MATCH($B47,Settings!$A$22:$A$27,0),6),0))</f>
        <v/>
      </c>
      <c r="J47" s="38">
        <f>IF(OR($B47="",$B47="Land",$C47=""),"",IFERROR($C47*INDEX(Settings!$C$22:$AC$27,MATCH($B47,Settings!$A$22:$A$27,0),7),0))</f>
        <v/>
      </c>
      <c r="K47" s="38">
        <f>IF(OR($B47="",$B47="Land",$C47=""),"",IFERROR($C47*INDEX(Settings!$C$22:$AC$27,MATCH($B47,Settings!$A$22:$A$27,0),8),0))</f>
        <v/>
      </c>
      <c r="L47" s="38">
        <f>IF(OR($B47="",$B47="Land",$C47=""),"",IFERROR($C47*INDEX(Settings!$C$22:$AC$27,MATCH($B47,Settings!$A$22:$A$27,0),9),0))</f>
        <v/>
      </c>
      <c r="M47" s="38">
        <f>IF(OR($B47="",$B47="Land",$C47=""),"",IFERROR($C47*INDEX(Settings!$C$22:$AC$27,MATCH($B47,Settings!$A$22:$A$27,0),10),0))</f>
        <v/>
      </c>
      <c r="N47" s="38">
        <f>IF(OR($B47="",$B47="Land",$C47=""),"",IFERROR($C47*INDEX(Settings!$C$22:$AC$27,MATCH($B47,Settings!$A$22:$A$27,0),11),0))</f>
        <v/>
      </c>
      <c r="O47" s="38">
        <f>IF(OR($B47="",$B47="Land",$C47=""),"",IFERROR($C47*INDEX(Settings!$C$22:$AC$27,MATCH($B47,Settings!$A$22:$A$27,0),12),0))</f>
        <v/>
      </c>
      <c r="P47" s="38">
        <f>IF(OR($B47="",$B47="Land",$C47=""),"",IFERROR($C47*INDEX(Settings!$C$22:$AC$27,MATCH($B47,Settings!$A$22:$A$27,0),13),0))</f>
        <v/>
      </c>
      <c r="Q47" s="38">
        <f>IF(OR($B47="",$B47="Land",$C47=""),"",IFERROR($C47*INDEX(Settings!$C$22:$AC$27,MATCH($B47,Settings!$A$22:$A$27,0),14),0))</f>
        <v/>
      </c>
      <c r="R47" s="38">
        <f>IF(OR($B47="",$B47="Land",$C47=""),"",IFERROR($C47*INDEX(Settings!$C$22:$AC$27,MATCH($B47,Settings!$A$22:$A$27,0),15),0))</f>
        <v/>
      </c>
      <c r="S47" s="38">
        <f>IF(OR($B47="",$B47="Land",$C47=""),"",IFERROR($C47*INDEX(Settings!$C$22:$AC$27,MATCH($B47,Settings!$A$22:$A$27,0),16),0))</f>
        <v/>
      </c>
      <c r="T47" s="38">
        <f>IF(OR($B47="",$B47="Land",$C47=""),"",IFERROR($C47*INDEX(Settings!$C$22:$AC$27,MATCH($B47,Settings!$A$22:$A$27,0),17),0))</f>
        <v/>
      </c>
      <c r="U47" s="38">
        <f>IF(OR($B47="",$B47="Land",$C47=""),"",IFERROR($C47*INDEX(Settings!$C$22:$AC$27,MATCH($B47,Settings!$A$22:$A$27,0),18),0))</f>
        <v/>
      </c>
      <c r="V47" s="38">
        <f>IF(OR($B47="",$B47="Land",$C47=""),"",IFERROR($C47*INDEX(Settings!$C$22:$AC$27,MATCH($B47,Settings!$A$22:$A$27,0),19),0))</f>
        <v/>
      </c>
      <c r="W47" s="38">
        <f>IF(OR($B47="",$B47="Land",$C47=""),"",IFERROR($C47*INDEX(Settings!$C$22:$AC$27,MATCH($B47,Settings!$A$22:$A$27,0),20),0))</f>
        <v/>
      </c>
      <c r="X47" s="38">
        <f>IF(OR($B47="",$B47="Land",$C47=""),"",IFERROR($C47*INDEX(Settings!$C$22:$AC$27,MATCH($B47,Settings!$A$22:$A$27,0),21),0))</f>
        <v/>
      </c>
      <c r="Y47" s="38">
        <f>IF(OR($B47="",$B47="Land",$C47=""),"",IFERROR($C47*INDEX(Settings!$C$22:$AC$27,MATCH($B47,Settings!$A$22:$A$27,0),22),0))</f>
        <v/>
      </c>
      <c r="Z47" s="38">
        <f>IF(OR($B47="",$B47="Land",$C47=""),"",IFERROR($C47*INDEX(Settings!$C$22:$AC$27,MATCH($B47,Settings!$A$22:$A$27,0),23),0))</f>
        <v/>
      </c>
      <c r="AA47" s="38">
        <f>IF(OR($B47="",$B47="Land",$C47=""),"",IFERROR($C47*INDEX(Settings!$C$22:$AC$27,MATCH($B47,Settings!$A$22:$A$27,0),24),0))</f>
        <v/>
      </c>
      <c r="AB47" s="38">
        <f>IF(OR($B47="",$B47="Land",$C47=""),"",IFERROR($C47*INDEX(Settings!$C$22:$AC$27,MATCH($B47,Settings!$A$22:$A$27,0),25),0))</f>
        <v/>
      </c>
      <c r="AC47" s="38">
        <f>IF(OR($B47="",$B47="Land",$C47=""),"",IFERROR($C47*INDEX(Settings!$C$22:$AC$27,MATCH($B47,Settings!$A$22:$A$27,0),26),0))</f>
        <v/>
      </c>
      <c r="AD47" s="38">
        <f>IF(OR($B47="",$B47="Land",$C47=""),"",IFERROR($C47*INDEX(Settings!$C$22:$AC$27,MATCH($B47,Settings!$A$22:$A$27,0),27),0))</f>
        <v/>
      </c>
    </row>
    <row r="48" ht="16" customHeight="1">
      <c r="A48" s="37">
        <f>'Asset Register'!A48</f>
        <v/>
      </c>
      <c r="B48" s="34">
        <f>'Asset Register'!E48</f>
        <v/>
      </c>
      <c r="C48" s="33">
        <f>'Asset Register'!J48</f>
        <v/>
      </c>
      <c r="D48" s="38">
        <f>IF(OR($B48="",$B48="Land",$C48=""),"",IFERROR($C48*INDEX(Settings!$C$22:$AC$27,MATCH($B48,Settings!$A$22:$A$27,0),1),0))</f>
        <v/>
      </c>
      <c r="E48" s="38">
        <f>IF(OR($B48="",$B48="Land",$C48=""),"",IFERROR($C48*INDEX(Settings!$C$22:$AC$27,MATCH($B48,Settings!$A$22:$A$27,0),2),0))</f>
        <v/>
      </c>
      <c r="F48" s="38">
        <f>IF(OR($B48="",$B48="Land",$C48=""),"",IFERROR($C48*INDEX(Settings!$C$22:$AC$27,MATCH($B48,Settings!$A$22:$A$27,0),3),0))</f>
        <v/>
      </c>
      <c r="G48" s="38">
        <f>IF(OR($B48="",$B48="Land",$C48=""),"",IFERROR($C48*INDEX(Settings!$C$22:$AC$27,MATCH($B48,Settings!$A$22:$A$27,0),4),0))</f>
        <v/>
      </c>
      <c r="H48" s="38">
        <f>IF(OR($B48="",$B48="Land",$C48=""),"",IFERROR($C48*INDEX(Settings!$C$22:$AC$27,MATCH($B48,Settings!$A$22:$A$27,0),5),0))</f>
        <v/>
      </c>
      <c r="I48" s="38">
        <f>IF(OR($B48="",$B48="Land",$C48=""),"",IFERROR($C48*INDEX(Settings!$C$22:$AC$27,MATCH($B48,Settings!$A$22:$A$27,0),6),0))</f>
        <v/>
      </c>
      <c r="J48" s="38">
        <f>IF(OR($B48="",$B48="Land",$C48=""),"",IFERROR($C48*INDEX(Settings!$C$22:$AC$27,MATCH($B48,Settings!$A$22:$A$27,0),7),0))</f>
        <v/>
      </c>
      <c r="K48" s="38">
        <f>IF(OR($B48="",$B48="Land",$C48=""),"",IFERROR($C48*INDEX(Settings!$C$22:$AC$27,MATCH($B48,Settings!$A$22:$A$27,0),8),0))</f>
        <v/>
      </c>
      <c r="L48" s="38">
        <f>IF(OR($B48="",$B48="Land",$C48=""),"",IFERROR($C48*INDEX(Settings!$C$22:$AC$27,MATCH($B48,Settings!$A$22:$A$27,0),9),0))</f>
        <v/>
      </c>
      <c r="M48" s="38">
        <f>IF(OR($B48="",$B48="Land",$C48=""),"",IFERROR($C48*INDEX(Settings!$C$22:$AC$27,MATCH($B48,Settings!$A$22:$A$27,0),10),0))</f>
        <v/>
      </c>
      <c r="N48" s="38">
        <f>IF(OR($B48="",$B48="Land",$C48=""),"",IFERROR($C48*INDEX(Settings!$C$22:$AC$27,MATCH($B48,Settings!$A$22:$A$27,0),11),0))</f>
        <v/>
      </c>
      <c r="O48" s="38">
        <f>IF(OR($B48="",$B48="Land",$C48=""),"",IFERROR($C48*INDEX(Settings!$C$22:$AC$27,MATCH($B48,Settings!$A$22:$A$27,0),12),0))</f>
        <v/>
      </c>
      <c r="P48" s="38">
        <f>IF(OR($B48="",$B48="Land",$C48=""),"",IFERROR($C48*INDEX(Settings!$C$22:$AC$27,MATCH($B48,Settings!$A$22:$A$27,0),13),0))</f>
        <v/>
      </c>
      <c r="Q48" s="38">
        <f>IF(OR($B48="",$B48="Land",$C48=""),"",IFERROR($C48*INDEX(Settings!$C$22:$AC$27,MATCH($B48,Settings!$A$22:$A$27,0),14),0))</f>
        <v/>
      </c>
      <c r="R48" s="38">
        <f>IF(OR($B48="",$B48="Land",$C48=""),"",IFERROR($C48*INDEX(Settings!$C$22:$AC$27,MATCH($B48,Settings!$A$22:$A$27,0),15),0))</f>
        <v/>
      </c>
      <c r="S48" s="38">
        <f>IF(OR($B48="",$B48="Land",$C48=""),"",IFERROR($C48*INDEX(Settings!$C$22:$AC$27,MATCH($B48,Settings!$A$22:$A$27,0),16),0))</f>
        <v/>
      </c>
      <c r="T48" s="38">
        <f>IF(OR($B48="",$B48="Land",$C48=""),"",IFERROR($C48*INDEX(Settings!$C$22:$AC$27,MATCH($B48,Settings!$A$22:$A$27,0),17),0))</f>
        <v/>
      </c>
      <c r="U48" s="38">
        <f>IF(OR($B48="",$B48="Land",$C48=""),"",IFERROR($C48*INDEX(Settings!$C$22:$AC$27,MATCH($B48,Settings!$A$22:$A$27,0),18),0))</f>
        <v/>
      </c>
      <c r="V48" s="38">
        <f>IF(OR($B48="",$B48="Land",$C48=""),"",IFERROR($C48*INDEX(Settings!$C$22:$AC$27,MATCH($B48,Settings!$A$22:$A$27,0),19),0))</f>
        <v/>
      </c>
      <c r="W48" s="38">
        <f>IF(OR($B48="",$B48="Land",$C48=""),"",IFERROR($C48*INDEX(Settings!$C$22:$AC$27,MATCH($B48,Settings!$A$22:$A$27,0),20),0))</f>
        <v/>
      </c>
      <c r="X48" s="38">
        <f>IF(OR($B48="",$B48="Land",$C48=""),"",IFERROR($C48*INDEX(Settings!$C$22:$AC$27,MATCH($B48,Settings!$A$22:$A$27,0),21),0))</f>
        <v/>
      </c>
      <c r="Y48" s="38">
        <f>IF(OR($B48="",$B48="Land",$C48=""),"",IFERROR($C48*INDEX(Settings!$C$22:$AC$27,MATCH($B48,Settings!$A$22:$A$27,0),22),0))</f>
        <v/>
      </c>
      <c r="Z48" s="38">
        <f>IF(OR($B48="",$B48="Land",$C48=""),"",IFERROR($C48*INDEX(Settings!$C$22:$AC$27,MATCH($B48,Settings!$A$22:$A$27,0),23),0))</f>
        <v/>
      </c>
      <c r="AA48" s="38">
        <f>IF(OR($B48="",$B48="Land",$C48=""),"",IFERROR($C48*INDEX(Settings!$C$22:$AC$27,MATCH($B48,Settings!$A$22:$A$27,0),24),0))</f>
        <v/>
      </c>
      <c r="AB48" s="38">
        <f>IF(OR($B48="",$B48="Land",$C48=""),"",IFERROR($C48*INDEX(Settings!$C$22:$AC$27,MATCH($B48,Settings!$A$22:$A$27,0),25),0))</f>
        <v/>
      </c>
      <c r="AC48" s="38">
        <f>IF(OR($B48="",$B48="Land",$C48=""),"",IFERROR($C48*INDEX(Settings!$C$22:$AC$27,MATCH($B48,Settings!$A$22:$A$27,0),26),0))</f>
        <v/>
      </c>
      <c r="AD48" s="38">
        <f>IF(OR($B48="",$B48="Land",$C48=""),"",IFERROR($C48*INDEX(Settings!$C$22:$AC$27,MATCH($B48,Settings!$A$22:$A$27,0),27),0))</f>
        <v/>
      </c>
    </row>
    <row r="49" ht="16" customHeight="1">
      <c r="A49" s="37">
        <f>'Asset Register'!A49</f>
        <v/>
      </c>
      <c r="B49" s="34">
        <f>'Asset Register'!E49</f>
        <v/>
      </c>
      <c r="C49" s="33">
        <f>'Asset Register'!J49</f>
        <v/>
      </c>
      <c r="D49" s="38">
        <f>IF(OR($B49="",$B49="Land",$C49=""),"",IFERROR($C49*INDEX(Settings!$C$22:$AC$27,MATCH($B49,Settings!$A$22:$A$27,0),1),0))</f>
        <v/>
      </c>
      <c r="E49" s="38">
        <f>IF(OR($B49="",$B49="Land",$C49=""),"",IFERROR($C49*INDEX(Settings!$C$22:$AC$27,MATCH($B49,Settings!$A$22:$A$27,0),2),0))</f>
        <v/>
      </c>
      <c r="F49" s="38">
        <f>IF(OR($B49="",$B49="Land",$C49=""),"",IFERROR($C49*INDEX(Settings!$C$22:$AC$27,MATCH($B49,Settings!$A$22:$A$27,0),3),0))</f>
        <v/>
      </c>
      <c r="G49" s="38">
        <f>IF(OR($B49="",$B49="Land",$C49=""),"",IFERROR($C49*INDEX(Settings!$C$22:$AC$27,MATCH($B49,Settings!$A$22:$A$27,0),4),0))</f>
        <v/>
      </c>
      <c r="H49" s="38">
        <f>IF(OR($B49="",$B49="Land",$C49=""),"",IFERROR($C49*INDEX(Settings!$C$22:$AC$27,MATCH($B49,Settings!$A$22:$A$27,0),5),0))</f>
        <v/>
      </c>
      <c r="I49" s="38">
        <f>IF(OR($B49="",$B49="Land",$C49=""),"",IFERROR($C49*INDEX(Settings!$C$22:$AC$27,MATCH($B49,Settings!$A$22:$A$27,0),6),0))</f>
        <v/>
      </c>
      <c r="J49" s="38">
        <f>IF(OR($B49="",$B49="Land",$C49=""),"",IFERROR($C49*INDEX(Settings!$C$22:$AC$27,MATCH($B49,Settings!$A$22:$A$27,0),7),0))</f>
        <v/>
      </c>
      <c r="K49" s="38">
        <f>IF(OR($B49="",$B49="Land",$C49=""),"",IFERROR($C49*INDEX(Settings!$C$22:$AC$27,MATCH($B49,Settings!$A$22:$A$27,0),8),0))</f>
        <v/>
      </c>
      <c r="L49" s="38">
        <f>IF(OR($B49="",$B49="Land",$C49=""),"",IFERROR($C49*INDEX(Settings!$C$22:$AC$27,MATCH($B49,Settings!$A$22:$A$27,0),9),0))</f>
        <v/>
      </c>
      <c r="M49" s="38">
        <f>IF(OR($B49="",$B49="Land",$C49=""),"",IFERROR($C49*INDEX(Settings!$C$22:$AC$27,MATCH($B49,Settings!$A$22:$A$27,0),10),0))</f>
        <v/>
      </c>
      <c r="N49" s="38">
        <f>IF(OR($B49="",$B49="Land",$C49=""),"",IFERROR($C49*INDEX(Settings!$C$22:$AC$27,MATCH($B49,Settings!$A$22:$A$27,0),11),0))</f>
        <v/>
      </c>
      <c r="O49" s="38">
        <f>IF(OR($B49="",$B49="Land",$C49=""),"",IFERROR($C49*INDEX(Settings!$C$22:$AC$27,MATCH($B49,Settings!$A$22:$A$27,0),12),0))</f>
        <v/>
      </c>
      <c r="P49" s="38">
        <f>IF(OR($B49="",$B49="Land",$C49=""),"",IFERROR($C49*INDEX(Settings!$C$22:$AC$27,MATCH($B49,Settings!$A$22:$A$27,0),13),0))</f>
        <v/>
      </c>
      <c r="Q49" s="38">
        <f>IF(OR($B49="",$B49="Land",$C49=""),"",IFERROR($C49*INDEX(Settings!$C$22:$AC$27,MATCH($B49,Settings!$A$22:$A$27,0),14),0))</f>
        <v/>
      </c>
      <c r="R49" s="38">
        <f>IF(OR($B49="",$B49="Land",$C49=""),"",IFERROR($C49*INDEX(Settings!$C$22:$AC$27,MATCH($B49,Settings!$A$22:$A$27,0),15),0))</f>
        <v/>
      </c>
      <c r="S49" s="38">
        <f>IF(OR($B49="",$B49="Land",$C49=""),"",IFERROR($C49*INDEX(Settings!$C$22:$AC$27,MATCH($B49,Settings!$A$22:$A$27,0),16),0))</f>
        <v/>
      </c>
      <c r="T49" s="38">
        <f>IF(OR($B49="",$B49="Land",$C49=""),"",IFERROR($C49*INDEX(Settings!$C$22:$AC$27,MATCH($B49,Settings!$A$22:$A$27,0),17),0))</f>
        <v/>
      </c>
      <c r="U49" s="38">
        <f>IF(OR($B49="",$B49="Land",$C49=""),"",IFERROR($C49*INDEX(Settings!$C$22:$AC$27,MATCH($B49,Settings!$A$22:$A$27,0),18),0))</f>
        <v/>
      </c>
      <c r="V49" s="38">
        <f>IF(OR($B49="",$B49="Land",$C49=""),"",IFERROR($C49*INDEX(Settings!$C$22:$AC$27,MATCH($B49,Settings!$A$22:$A$27,0),19),0))</f>
        <v/>
      </c>
      <c r="W49" s="38">
        <f>IF(OR($B49="",$B49="Land",$C49=""),"",IFERROR($C49*INDEX(Settings!$C$22:$AC$27,MATCH($B49,Settings!$A$22:$A$27,0),20),0))</f>
        <v/>
      </c>
      <c r="X49" s="38">
        <f>IF(OR($B49="",$B49="Land",$C49=""),"",IFERROR($C49*INDEX(Settings!$C$22:$AC$27,MATCH($B49,Settings!$A$22:$A$27,0),21),0))</f>
        <v/>
      </c>
      <c r="Y49" s="38">
        <f>IF(OR($B49="",$B49="Land",$C49=""),"",IFERROR($C49*INDEX(Settings!$C$22:$AC$27,MATCH($B49,Settings!$A$22:$A$27,0),22),0))</f>
        <v/>
      </c>
      <c r="Z49" s="38">
        <f>IF(OR($B49="",$B49="Land",$C49=""),"",IFERROR($C49*INDEX(Settings!$C$22:$AC$27,MATCH($B49,Settings!$A$22:$A$27,0),23),0))</f>
        <v/>
      </c>
      <c r="AA49" s="38">
        <f>IF(OR($B49="",$B49="Land",$C49=""),"",IFERROR($C49*INDEX(Settings!$C$22:$AC$27,MATCH($B49,Settings!$A$22:$A$27,0),24),0))</f>
        <v/>
      </c>
      <c r="AB49" s="38">
        <f>IF(OR($B49="",$B49="Land",$C49=""),"",IFERROR($C49*INDEX(Settings!$C$22:$AC$27,MATCH($B49,Settings!$A$22:$A$27,0),25),0))</f>
        <v/>
      </c>
      <c r="AC49" s="38">
        <f>IF(OR($B49="",$B49="Land",$C49=""),"",IFERROR($C49*INDEX(Settings!$C$22:$AC$27,MATCH($B49,Settings!$A$22:$A$27,0),26),0))</f>
        <v/>
      </c>
      <c r="AD49" s="38">
        <f>IF(OR($B49="",$B49="Land",$C49=""),"",IFERROR($C49*INDEX(Settings!$C$22:$AC$27,MATCH($B49,Settings!$A$22:$A$27,0),27),0))</f>
        <v/>
      </c>
    </row>
    <row r="50" ht="16" customHeight="1">
      <c r="A50" s="37">
        <f>'Asset Register'!A50</f>
        <v/>
      </c>
      <c r="B50" s="34">
        <f>'Asset Register'!E50</f>
        <v/>
      </c>
      <c r="C50" s="33">
        <f>'Asset Register'!J50</f>
        <v/>
      </c>
      <c r="D50" s="38">
        <f>IF(OR($B50="",$B50="Land",$C50=""),"",IFERROR($C50*INDEX(Settings!$C$22:$AC$27,MATCH($B50,Settings!$A$22:$A$27,0),1),0))</f>
        <v/>
      </c>
      <c r="E50" s="38">
        <f>IF(OR($B50="",$B50="Land",$C50=""),"",IFERROR($C50*INDEX(Settings!$C$22:$AC$27,MATCH($B50,Settings!$A$22:$A$27,0),2),0))</f>
        <v/>
      </c>
      <c r="F50" s="38">
        <f>IF(OR($B50="",$B50="Land",$C50=""),"",IFERROR($C50*INDEX(Settings!$C$22:$AC$27,MATCH($B50,Settings!$A$22:$A$27,0),3),0))</f>
        <v/>
      </c>
      <c r="G50" s="38">
        <f>IF(OR($B50="",$B50="Land",$C50=""),"",IFERROR($C50*INDEX(Settings!$C$22:$AC$27,MATCH($B50,Settings!$A$22:$A$27,0),4),0))</f>
        <v/>
      </c>
      <c r="H50" s="38">
        <f>IF(OR($B50="",$B50="Land",$C50=""),"",IFERROR($C50*INDEX(Settings!$C$22:$AC$27,MATCH($B50,Settings!$A$22:$A$27,0),5),0))</f>
        <v/>
      </c>
      <c r="I50" s="38">
        <f>IF(OR($B50="",$B50="Land",$C50=""),"",IFERROR($C50*INDEX(Settings!$C$22:$AC$27,MATCH($B50,Settings!$A$22:$A$27,0),6),0))</f>
        <v/>
      </c>
      <c r="J50" s="38">
        <f>IF(OR($B50="",$B50="Land",$C50=""),"",IFERROR($C50*INDEX(Settings!$C$22:$AC$27,MATCH($B50,Settings!$A$22:$A$27,0),7),0))</f>
        <v/>
      </c>
      <c r="K50" s="38">
        <f>IF(OR($B50="",$B50="Land",$C50=""),"",IFERROR($C50*INDEX(Settings!$C$22:$AC$27,MATCH($B50,Settings!$A$22:$A$27,0),8),0))</f>
        <v/>
      </c>
      <c r="L50" s="38">
        <f>IF(OR($B50="",$B50="Land",$C50=""),"",IFERROR($C50*INDEX(Settings!$C$22:$AC$27,MATCH($B50,Settings!$A$22:$A$27,0),9),0))</f>
        <v/>
      </c>
      <c r="M50" s="38">
        <f>IF(OR($B50="",$B50="Land",$C50=""),"",IFERROR($C50*INDEX(Settings!$C$22:$AC$27,MATCH($B50,Settings!$A$22:$A$27,0),10),0))</f>
        <v/>
      </c>
      <c r="N50" s="38">
        <f>IF(OR($B50="",$B50="Land",$C50=""),"",IFERROR($C50*INDEX(Settings!$C$22:$AC$27,MATCH($B50,Settings!$A$22:$A$27,0),11),0))</f>
        <v/>
      </c>
      <c r="O50" s="38">
        <f>IF(OR($B50="",$B50="Land",$C50=""),"",IFERROR($C50*INDEX(Settings!$C$22:$AC$27,MATCH($B50,Settings!$A$22:$A$27,0),12),0))</f>
        <v/>
      </c>
      <c r="P50" s="38">
        <f>IF(OR($B50="",$B50="Land",$C50=""),"",IFERROR($C50*INDEX(Settings!$C$22:$AC$27,MATCH($B50,Settings!$A$22:$A$27,0),13),0))</f>
        <v/>
      </c>
      <c r="Q50" s="38">
        <f>IF(OR($B50="",$B50="Land",$C50=""),"",IFERROR($C50*INDEX(Settings!$C$22:$AC$27,MATCH($B50,Settings!$A$22:$A$27,0),14),0))</f>
        <v/>
      </c>
      <c r="R50" s="38">
        <f>IF(OR($B50="",$B50="Land",$C50=""),"",IFERROR($C50*INDEX(Settings!$C$22:$AC$27,MATCH($B50,Settings!$A$22:$A$27,0),15),0))</f>
        <v/>
      </c>
      <c r="S50" s="38">
        <f>IF(OR($B50="",$B50="Land",$C50=""),"",IFERROR($C50*INDEX(Settings!$C$22:$AC$27,MATCH($B50,Settings!$A$22:$A$27,0),16),0))</f>
        <v/>
      </c>
      <c r="T50" s="38">
        <f>IF(OR($B50="",$B50="Land",$C50=""),"",IFERROR($C50*INDEX(Settings!$C$22:$AC$27,MATCH($B50,Settings!$A$22:$A$27,0),17),0))</f>
        <v/>
      </c>
      <c r="U50" s="38">
        <f>IF(OR($B50="",$B50="Land",$C50=""),"",IFERROR($C50*INDEX(Settings!$C$22:$AC$27,MATCH($B50,Settings!$A$22:$A$27,0),18),0))</f>
        <v/>
      </c>
      <c r="V50" s="38">
        <f>IF(OR($B50="",$B50="Land",$C50=""),"",IFERROR($C50*INDEX(Settings!$C$22:$AC$27,MATCH($B50,Settings!$A$22:$A$27,0),19),0))</f>
        <v/>
      </c>
      <c r="W50" s="38">
        <f>IF(OR($B50="",$B50="Land",$C50=""),"",IFERROR($C50*INDEX(Settings!$C$22:$AC$27,MATCH($B50,Settings!$A$22:$A$27,0),20),0))</f>
        <v/>
      </c>
      <c r="X50" s="38">
        <f>IF(OR($B50="",$B50="Land",$C50=""),"",IFERROR($C50*INDEX(Settings!$C$22:$AC$27,MATCH($B50,Settings!$A$22:$A$27,0),21),0))</f>
        <v/>
      </c>
      <c r="Y50" s="38">
        <f>IF(OR($B50="",$B50="Land",$C50=""),"",IFERROR($C50*INDEX(Settings!$C$22:$AC$27,MATCH($B50,Settings!$A$22:$A$27,0),22),0))</f>
        <v/>
      </c>
      <c r="Z50" s="38">
        <f>IF(OR($B50="",$B50="Land",$C50=""),"",IFERROR($C50*INDEX(Settings!$C$22:$AC$27,MATCH($B50,Settings!$A$22:$A$27,0),23),0))</f>
        <v/>
      </c>
      <c r="AA50" s="38">
        <f>IF(OR($B50="",$B50="Land",$C50=""),"",IFERROR($C50*INDEX(Settings!$C$22:$AC$27,MATCH($B50,Settings!$A$22:$A$27,0),24),0))</f>
        <v/>
      </c>
      <c r="AB50" s="38">
        <f>IF(OR($B50="",$B50="Land",$C50=""),"",IFERROR($C50*INDEX(Settings!$C$22:$AC$27,MATCH($B50,Settings!$A$22:$A$27,0),25),0))</f>
        <v/>
      </c>
      <c r="AC50" s="38">
        <f>IF(OR($B50="",$B50="Land",$C50=""),"",IFERROR($C50*INDEX(Settings!$C$22:$AC$27,MATCH($B50,Settings!$A$22:$A$27,0),26),0))</f>
        <v/>
      </c>
      <c r="AD50" s="38">
        <f>IF(OR($B50="",$B50="Land",$C50=""),"",IFERROR($C50*INDEX(Settings!$C$22:$AC$27,MATCH($B50,Settings!$A$22:$A$27,0),27),0))</f>
        <v/>
      </c>
    </row>
    <row r="51" ht="16" customHeight="1">
      <c r="A51" s="37">
        <f>'Asset Register'!A51</f>
        <v/>
      </c>
      <c r="B51" s="34">
        <f>'Asset Register'!E51</f>
        <v/>
      </c>
      <c r="C51" s="33">
        <f>'Asset Register'!J51</f>
        <v/>
      </c>
      <c r="D51" s="38">
        <f>IF(OR($B51="",$B51="Land",$C51=""),"",IFERROR($C51*INDEX(Settings!$C$22:$AC$27,MATCH($B51,Settings!$A$22:$A$27,0),1),0))</f>
        <v/>
      </c>
      <c r="E51" s="38">
        <f>IF(OR($B51="",$B51="Land",$C51=""),"",IFERROR($C51*INDEX(Settings!$C$22:$AC$27,MATCH($B51,Settings!$A$22:$A$27,0),2),0))</f>
        <v/>
      </c>
      <c r="F51" s="38">
        <f>IF(OR($B51="",$B51="Land",$C51=""),"",IFERROR($C51*INDEX(Settings!$C$22:$AC$27,MATCH($B51,Settings!$A$22:$A$27,0),3),0))</f>
        <v/>
      </c>
      <c r="G51" s="38">
        <f>IF(OR($B51="",$B51="Land",$C51=""),"",IFERROR($C51*INDEX(Settings!$C$22:$AC$27,MATCH($B51,Settings!$A$22:$A$27,0),4),0))</f>
        <v/>
      </c>
      <c r="H51" s="38">
        <f>IF(OR($B51="",$B51="Land",$C51=""),"",IFERROR($C51*INDEX(Settings!$C$22:$AC$27,MATCH($B51,Settings!$A$22:$A$27,0),5),0))</f>
        <v/>
      </c>
      <c r="I51" s="38">
        <f>IF(OR($B51="",$B51="Land",$C51=""),"",IFERROR($C51*INDEX(Settings!$C$22:$AC$27,MATCH($B51,Settings!$A$22:$A$27,0),6),0))</f>
        <v/>
      </c>
      <c r="J51" s="38">
        <f>IF(OR($B51="",$B51="Land",$C51=""),"",IFERROR($C51*INDEX(Settings!$C$22:$AC$27,MATCH($B51,Settings!$A$22:$A$27,0),7),0))</f>
        <v/>
      </c>
      <c r="K51" s="38">
        <f>IF(OR($B51="",$B51="Land",$C51=""),"",IFERROR($C51*INDEX(Settings!$C$22:$AC$27,MATCH($B51,Settings!$A$22:$A$27,0),8),0))</f>
        <v/>
      </c>
      <c r="L51" s="38">
        <f>IF(OR($B51="",$B51="Land",$C51=""),"",IFERROR($C51*INDEX(Settings!$C$22:$AC$27,MATCH($B51,Settings!$A$22:$A$27,0),9),0))</f>
        <v/>
      </c>
      <c r="M51" s="38">
        <f>IF(OR($B51="",$B51="Land",$C51=""),"",IFERROR($C51*INDEX(Settings!$C$22:$AC$27,MATCH($B51,Settings!$A$22:$A$27,0),10),0))</f>
        <v/>
      </c>
      <c r="N51" s="38">
        <f>IF(OR($B51="",$B51="Land",$C51=""),"",IFERROR($C51*INDEX(Settings!$C$22:$AC$27,MATCH($B51,Settings!$A$22:$A$27,0),11),0))</f>
        <v/>
      </c>
      <c r="O51" s="38">
        <f>IF(OR($B51="",$B51="Land",$C51=""),"",IFERROR($C51*INDEX(Settings!$C$22:$AC$27,MATCH($B51,Settings!$A$22:$A$27,0),12),0))</f>
        <v/>
      </c>
      <c r="P51" s="38">
        <f>IF(OR($B51="",$B51="Land",$C51=""),"",IFERROR($C51*INDEX(Settings!$C$22:$AC$27,MATCH($B51,Settings!$A$22:$A$27,0),13),0))</f>
        <v/>
      </c>
      <c r="Q51" s="38">
        <f>IF(OR($B51="",$B51="Land",$C51=""),"",IFERROR($C51*INDEX(Settings!$C$22:$AC$27,MATCH($B51,Settings!$A$22:$A$27,0),14),0))</f>
        <v/>
      </c>
      <c r="R51" s="38">
        <f>IF(OR($B51="",$B51="Land",$C51=""),"",IFERROR($C51*INDEX(Settings!$C$22:$AC$27,MATCH($B51,Settings!$A$22:$A$27,0),15),0))</f>
        <v/>
      </c>
      <c r="S51" s="38">
        <f>IF(OR($B51="",$B51="Land",$C51=""),"",IFERROR($C51*INDEX(Settings!$C$22:$AC$27,MATCH($B51,Settings!$A$22:$A$27,0),16),0))</f>
        <v/>
      </c>
      <c r="T51" s="38">
        <f>IF(OR($B51="",$B51="Land",$C51=""),"",IFERROR($C51*INDEX(Settings!$C$22:$AC$27,MATCH($B51,Settings!$A$22:$A$27,0),17),0))</f>
        <v/>
      </c>
      <c r="U51" s="38">
        <f>IF(OR($B51="",$B51="Land",$C51=""),"",IFERROR($C51*INDEX(Settings!$C$22:$AC$27,MATCH($B51,Settings!$A$22:$A$27,0),18),0))</f>
        <v/>
      </c>
      <c r="V51" s="38">
        <f>IF(OR($B51="",$B51="Land",$C51=""),"",IFERROR($C51*INDEX(Settings!$C$22:$AC$27,MATCH($B51,Settings!$A$22:$A$27,0),19),0))</f>
        <v/>
      </c>
      <c r="W51" s="38">
        <f>IF(OR($B51="",$B51="Land",$C51=""),"",IFERROR($C51*INDEX(Settings!$C$22:$AC$27,MATCH($B51,Settings!$A$22:$A$27,0),20),0))</f>
        <v/>
      </c>
      <c r="X51" s="38">
        <f>IF(OR($B51="",$B51="Land",$C51=""),"",IFERROR($C51*INDEX(Settings!$C$22:$AC$27,MATCH($B51,Settings!$A$22:$A$27,0),21),0))</f>
        <v/>
      </c>
      <c r="Y51" s="38">
        <f>IF(OR($B51="",$B51="Land",$C51=""),"",IFERROR($C51*INDEX(Settings!$C$22:$AC$27,MATCH($B51,Settings!$A$22:$A$27,0),22),0))</f>
        <v/>
      </c>
      <c r="Z51" s="38">
        <f>IF(OR($B51="",$B51="Land",$C51=""),"",IFERROR($C51*INDEX(Settings!$C$22:$AC$27,MATCH($B51,Settings!$A$22:$A$27,0),23),0))</f>
        <v/>
      </c>
      <c r="AA51" s="38">
        <f>IF(OR($B51="",$B51="Land",$C51=""),"",IFERROR($C51*INDEX(Settings!$C$22:$AC$27,MATCH($B51,Settings!$A$22:$A$27,0),24),0))</f>
        <v/>
      </c>
      <c r="AB51" s="38">
        <f>IF(OR($B51="",$B51="Land",$C51=""),"",IFERROR($C51*INDEX(Settings!$C$22:$AC$27,MATCH($B51,Settings!$A$22:$A$27,0),25),0))</f>
        <v/>
      </c>
      <c r="AC51" s="38">
        <f>IF(OR($B51="",$B51="Land",$C51=""),"",IFERROR($C51*INDEX(Settings!$C$22:$AC$27,MATCH($B51,Settings!$A$22:$A$27,0),26),0))</f>
        <v/>
      </c>
      <c r="AD51" s="38">
        <f>IF(OR($B51="",$B51="Land",$C51=""),"",IFERROR($C51*INDEX(Settings!$C$22:$AC$27,MATCH($B51,Settings!$A$22:$A$27,0),27),0))</f>
        <v/>
      </c>
    </row>
    <row r="52" ht="16" customHeight="1">
      <c r="A52" s="37">
        <f>'Asset Register'!A52</f>
        <v/>
      </c>
      <c r="B52" s="34">
        <f>'Asset Register'!E52</f>
        <v/>
      </c>
      <c r="C52" s="33">
        <f>'Asset Register'!J52</f>
        <v/>
      </c>
      <c r="D52" s="38">
        <f>IF(OR($B52="",$B52="Land",$C52=""),"",IFERROR($C52*INDEX(Settings!$C$22:$AC$27,MATCH($B52,Settings!$A$22:$A$27,0),1),0))</f>
        <v/>
      </c>
      <c r="E52" s="38">
        <f>IF(OR($B52="",$B52="Land",$C52=""),"",IFERROR($C52*INDEX(Settings!$C$22:$AC$27,MATCH($B52,Settings!$A$22:$A$27,0),2),0))</f>
        <v/>
      </c>
      <c r="F52" s="38">
        <f>IF(OR($B52="",$B52="Land",$C52=""),"",IFERROR($C52*INDEX(Settings!$C$22:$AC$27,MATCH($B52,Settings!$A$22:$A$27,0),3),0))</f>
        <v/>
      </c>
      <c r="G52" s="38">
        <f>IF(OR($B52="",$B52="Land",$C52=""),"",IFERROR($C52*INDEX(Settings!$C$22:$AC$27,MATCH($B52,Settings!$A$22:$A$27,0),4),0))</f>
        <v/>
      </c>
      <c r="H52" s="38">
        <f>IF(OR($B52="",$B52="Land",$C52=""),"",IFERROR($C52*INDEX(Settings!$C$22:$AC$27,MATCH($B52,Settings!$A$22:$A$27,0),5),0))</f>
        <v/>
      </c>
      <c r="I52" s="38">
        <f>IF(OR($B52="",$B52="Land",$C52=""),"",IFERROR($C52*INDEX(Settings!$C$22:$AC$27,MATCH($B52,Settings!$A$22:$A$27,0),6),0))</f>
        <v/>
      </c>
      <c r="J52" s="38">
        <f>IF(OR($B52="",$B52="Land",$C52=""),"",IFERROR($C52*INDEX(Settings!$C$22:$AC$27,MATCH($B52,Settings!$A$22:$A$27,0),7),0))</f>
        <v/>
      </c>
      <c r="K52" s="38">
        <f>IF(OR($B52="",$B52="Land",$C52=""),"",IFERROR($C52*INDEX(Settings!$C$22:$AC$27,MATCH($B52,Settings!$A$22:$A$27,0),8),0))</f>
        <v/>
      </c>
      <c r="L52" s="38">
        <f>IF(OR($B52="",$B52="Land",$C52=""),"",IFERROR($C52*INDEX(Settings!$C$22:$AC$27,MATCH($B52,Settings!$A$22:$A$27,0),9),0))</f>
        <v/>
      </c>
      <c r="M52" s="38">
        <f>IF(OR($B52="",$B52="Land",$C52=""),"",IFERROR($C52*INDEX(Settings!$C$22:$AC$27,MATCH($B52,Settings!$A$22:$A$27,0),10),0))</f>
        <v/>
      </c>
      <c r="N52" s="38">
        <f>IF(OR($B52="",$B52="Land",$C52=""),"",IFERROR($C52*INDEX(Settings!$C$22:$AC$27,MATCH($B52,Settings!$A$22:$A$27,0),11),0))</f>
        <v/>
      </c>
      <c r="O52" s="38">
        <f>IF(OR($B52="",$B52="Land",$C52=""),"",IFERROR($C52*INDEX(Settings!$C$22:$AC$27,MATCH($B52,Settings!$A$22:$A$27,0),12),0))</f>
        <v/>
      </c>
      <c r="P52" s="38">
        <f>IF(OR($B52="",$B52="Land",$C52=""),"",IFERROR($C52*INDEX(Settings!$C$22:$AC$27,MATCH($B52,Settings!$A$22:$A$27,0),13),0))</f>
        <v/>
      </c>
      <c r="Q52" s="38">
        <f>IF(OR($B52="",$B52="Land",$C52=""),"",IFERROR($C52*INDEX(Settings!$C$22:$AC$27,MATCH($B52,Settings!$A$22:$A$27,0),14),0))</f>
        <v/>
      </c>
      <c r="R52" s="38">
        <f>IF(OR($B52="",$B52="Land",$C52=""),"",IFERROR($C52*INDEX(Settings!$C$22:$AC$27,MATCH($B52,Settings!$A$22:$A$27,0),15),0))</f>
        <v/>
      </c>
      <c r="S52" s="38">
        <f>IF(OR($B52="",$B52="Land",$C52=""),"",IFERROR($C52*INDEX(Settings!$C$22:$AC$27,MATCH($B52,Settings!$A$22:$A$27,0),16),0))</f>
        <v/>
      </c>
      <c r="T52" s="38">
        <f>IF(OR($B52="",$B52="Land",$C52=""),"",IFERROR($C52*INDEX(Settings!$C$22:$AC$27,MATCH($B52,Settings!$A$22:$A$27,0),17),0))</f>
        <v/>
      </c>
      <c r="U52" s="38">
        <f>IF(OR($B52="",$B52="Land",$C52=""),"",IFERROR($C52*INDEX(Settings!$C$22:$AC$27,MATCH($B52,Settings!$A$22:$A$27,0),18),0))</f>
        <v/>
      </c>
      <c r="V52" s="38">
        <f>IF(OR($B52="",$B52="Land",$C52=""),"",IFERROR($C52*INDEX(Settings!$C$22:$AC$27,MATCH($B52,Settings!$A$22:$A$27,0),19),0))</f>
        <v/>
      </c>
      <c r="W52" s="38">
        <f>IF(OR($B52="",$B52="Land",$C52=""),"",IFERROR($C52*INDEX(Settings!$C$22:$AC$27,MATCH($B52,Settings!$A$22:$A$27,0),20),0))</f>
        <v/>
      </c>
      <c r="X52" s="38">
        <f>IF(OR($B52="",$B52="Land",$C52=""),"",IFERROR($C52*INDEX(Settings!$C$22:$AC$27,MATCH($B52,Settings!$A$22:$A$27,0),21),0))</f>
        <v/>
      </c>
      <c r="Y52" s="38">
        <f>IF(OR($B52="",$B52="Land",$C52=""),"",IFERROR($C52*INDEX(Settings!$C$22:$AC$27,MATCH($B52,Settings!$A$22:$A$27,0),22),0))</f>
        <v/>
      </c>
      <c r="Z52" s="38">
        <f>IF(OR($B52="",$B52="Land",$C52=""),"",IFERROR($C52*INDEX(Settings!$C$22:$AC$27,MATCH($B52,Settings!$A$22:$A$27,0),23),0))</f>
        <v/>
      </c>
      <c r="AA52" s="38">
        <f>IF(OR($B52="",$B52="Land",$C52=""),"",IFERROR($C52*INDEX(Settings!$C$22:$AC$27,MATCH($B52,Settings!$A$22:$A$27,0),24),0))</f>
        <v/>
      </c>
      <c r="AB52" s="38">
        <f>IF(OR($B52="",$B52="Land",$C52=""),"",IFERROR($C52*INDEX(Settings!$C$22:$AC$27,MATCH($B52,Settings!$A$22:$A$27,0),25),0))</f>
        <v/>
      </c>
      <c r="AC52" s="38">
        <f>IF(OR($B52="",$B52="Land",$C52=""),"",IFERROR($C52*INDEX(Settings!$C$22:$AC$27,MATCH($B52,Settings!$A$22:$A$27,0),26),0))</f>
        <v/>
      </c>
      <c r="AD52" s="38">
        <f>IF(OR($B52="",$B52="Land",$C52=""),"",IFERROR($C52*INDEX(Settings!$C$22:$AC$27,MATCH($B52,Settings!$A$22:$A$27,0),27),0))</f>
        <v/>
      </c>
    </row>
    <row r="53" ht="16" customHeight="1">
      <c r="A53" s="37">
        <f>'Asset Register'!A53</f>
        <v/>
      </c>
      <c r="B53" s="34">
        <f>'Asset Register'!E53</f>
        <v/>
      </c>
      <c r="C53" s="33">
        <f>'Asset Register'!J53</f>
        <v/>
      </c>
      <c r="D53" s="38">
        <f>IF(OR($B53="",$B53="Land",$C53=""),"",IFERROR($C53*INDEX(Settings!$C$22:$AC$27,MATCH($B53,Settings!$A$22:$A$27,0),1),0))</f>
        <v/>
      </c>
      <c r="E53" s="38">
        <f>IF(OR($B53="",$B53="Land",$C53=""),"",IFERROR($C53*INDEX(Settings!$C$22:$AC$27,MATCH($B53,Settings!$A$22:$A$27,0),2),0))</f>
        <v/>
      </c>
      <c r="F53" s="38">
        <f>IF(OR($B53="",$B53="Land",$C53=""),"",IFERROR($C53*INDEX(Settings!$C$22:$AC$27,MATCH($B53,Settings!$A$22:$A$27,0),3),0))</f>
        <v/>
      </c>
      <c r="G53" s="38">
        <f>IF(OR($B53="",$B53="Land",$C53=""),"",IFERROR($C53*INDEX(Settings!$C$22:$AC$27,MATCH($B53,Settings!$A$22:$A$27,0),4),0))</f>
        <v/>
      </c>
      <c r="H53" s="38">
        <f>IF(OR($B53="",$B53="Land",$C53=""),"",IFERROR($C53*INDEX(Settings!$C$22:$AC$27,MATCH($B53,Settings!$A$22:$A$27,0),5),0))</f>
        <v/>
      </c>
      <c r="I53" s="38">
        <f>IF(OR($B53="",$B53="Land",$C53=""),"",IFERROR($C53*INDEX(Settings!$C$22:$AC$27,MATCH($B53,Settings!$A$22:$A$27,0),6),0))</f>
        <v/>
      </c>
      <c r="J53" s="38">
        <f>IF(OR($B53="",$B53="Land",$C53=""),"",IFERROR($C53*INDEX(Settings!$C$22:$AC$27,MATCH($B53,Settings!$A$22:$A$27,0),7),0))</f>
        <v/>
      </c>
      <c r="K53" s="38">
        <f>IF(OR($B53="",$B53="Land",$C53=""),"",IFERROR($C53*INDEX(Settings!$C$22:$AC$27,MATCH($B53,Settings!$A$22:$A$27,0),8),0))</f>
        <v/>
      </c>
      <c r="L53" s="38">
        <f>IF(OR($B53="",$B53="Land",$C53=""),"",IFERROR($C53*INDEX(Settings!$C$22:$AC$27,MATCH($B53,Settings!$A$22:$A$27,0),9),0))</f>
        <v/>
      </c>
      <c r="M53" s="38">
        <f>IF(OR($B53="",$B53="Land",$C53=""),"",IFERROR($C53*INDEX(Settings!$C$22:$AC$27,MATCH($B53,Settings!$A$22:$A$27,0),10),0))</f>
        <v/>
      </c>
      <c r="N53" s="38">
        <f>IF(OR($B53="",$B53="Land",$C53=""),"",IFERROR($C53*INDEX(Settings!$C$22:$AC$27,MATCH($B53,Settings!$A$22:$A$27,0),11),0))</f>
        <v/>
      </c>
      <c r="O53" s="38">
        <f>IF(OR($B53="",$B53="Land",$C53=""),"",IFERROR($C53*INDEX(Settings!$C$22:$AC$27,MATCH($B53,Settings!$A$22:$A$27,0),12),0))</f>
        <v/>
      </c>
      <c r="P53" s="38">
        <f>IF(OR($B53="",$B53="Land",$C53=""),"",IFERROR($C53*INDEX(Settings!$C$22:$AC$27,MATCH($B53,Settings!$A$22:$A$27,0),13),0))</f>
        <v/>
      </c>
      <c r="Q53" s="38">
        <f>IF(OR($B53="",$B53="Land",$C53=""),"",IFERROR($C53*INDEX(Settings!$C$22:$AC$27,MATCH($B53,Settings!$A$22:$A$27,0),14),0))</f>
        <v/>
      </c>
      <c r="R53" s="38">
        <f>IF(OR($B53="",$B53="Land",$C53=""),"",IFERROR($C53*INDEX(Settings!$C$22:$AC$27,MATCH($B53,Settings!$A$22:$A$27,0),15),0))</f>
        <v/>
      </c>
      <c r="S53" s="38">
        <f>IF(OR($B53="",$B53="Land",$C53=""),"",IFERROR($C53*INDEX(Settings!$C$22:$AC$27,MATCH($B53,Settings!$A$22:$A$27,0),16),0))</f>
        <v/>
      </c>
      <c r="T53" s="38">
        <f>IF(OR($B53="",$B53="Land",$C53=""),"",IFERROR($C53*INDEX(Settings!$C$22:$AC$27,MATCH($B53,Settings!$A$22:$A$27,0),17),0))</f>
        <v/>
      </c>
      <c r="U53" s="38">
        <f>IF(OR($B53="",$B53="Land",$C53=""),"",IFERROR($C53*INDEX(Settings!$C$22:$AC$27,MATCH($B53,Settings!$A$22:$A$27,0),18),0))</f>
        <v/>
      </c>
      <c r="V53" s="38">
        <f>IF(OR($B53="",$B53="Land",$C53=""),"",IFERROR($C53*INDEX(Settings!$C$22:$AC$27,MATCH($B53,Settings!$A$22:$A$27,0),19),0))</f>
        <v/>
      </c>
      <c r="W53" s="38">
        <f>IF(OR($B53="",$B53="Land",$C53=""),"",IFERROR($C53*INDEX(Settings!$C$22:$AC$27,MATCH($B53,Settings!$A$22:$A$27,0),20),0))</f>
        <v/>
      </c>
      <c r="X53" s="38">
        <f>IF(OR($B53="",$B53="Land",$C53=""),"",IFERROR($C53*INDEX(Settings!$C$22:$AC$27,MATCH($B53,Settings!$A$22:$A$27,0),21),0))</f>
        <v/>
      </c>
      <c r="Y53" s="38">
        <f>IF(OR($B53="",$B53="Land",$C53=""),"",IFERROR($C53*INDEX(Settings!$C$22:$AC$27,MATCH($B53,Settings!$A$22:$A$27,0),22),0))</f>
        <v/>
      </c>
      <c r="Z53" s="38">
        <f>IF(OR($B53="",$B53="Land",$C53=""),"",IFERROR($C53*INDEX(Settings!$C$22:$AC$27,MATCH($B53,Settings!$A$22:$A$27,0),23),0))</f>
        <v/>
      </c>
      <c r="AA53" s="38">
        <f>IF(OR($B53="",$B53="Land",$C53=""),"",IFERROR($C53*INDEX(Settings!$C$22:$AC$27,MATCH($B53,Settings!$A$22:$A$27,0),24),0))</f>
        <v/>
      </c>
      <c r="AB53" s="38">
        <f>IF(OR($B53="",$B53="Land",$C53=""),"",IFERROR($C53*INDEX(Settings!$C$22:$AC$27,MATCH($B53,Settings!$A$22:$A$27,0),25),0))</f>
        <v/>
      </c>
      <c r="AC53" s="38">
        <f>IF(OR($B53="",$B53="Land",$C53=""),"",IFERROR($C53*INDEX(Settings!$C$22:$AC$27,MATCH($B53,Settings!$A$22:$A$27,0),26),0))</f>
        <v/>
      </c>
      <c r="AD53" s="38">
        <f>IF(OR($B53="",$B53="Land",$C53=""),"",IFERROR($C53*INDEX(Settings!$C$22:$AC$27,MATCH($B53,Settings!$A$22:$A$27,0),27),0))</f>
        <v/>
      </c>
    </row>
    <row r="54" ht="16" customHeight="1">
      <c r="A54" s="37">
        <f>'Asset Register'!A54</f>
        <v/>
      </c>
      <c r="B54" s="34">
        <f>'Asset Register'!E54</f>
        <v/>
      </c>
      <c r="C54" s="33">
        <f>'Asset Register'!J54</f>
        <v/>
      </c>
      <c r="D54" s="38">
        <f>IF(OR($B54="",$B54="Land",$C54=""),"",IFERROR($C54*INDEX(Settings!$C$22:$AC$27,MATCH($B54,Settings!$A$22:$A$27,0),1),0))</f>
        <v/>
      </c>
      <c r="E54" s="38">
        <f>IF(OR($B54="",$B54="Land",$C54=""),"",IFERROR($C54*INDEX(Settings!$C$22:$AC$27,MATCH($B54,Settings!$A$22:$A$27,0),2),0))</f>
        <v/>
      </c>
      <c r="F54" s="38">
        <f>IF(OR($B54="",$B54="Land",$C54=""),"",IFERROR($C54*INDEX(Settings!$C$22:$AC$27,MATCH($B54,Settings!$A$22:$A$27,0),3),0))</f>
        <v/>
      </c>
      <c r="G54" s="38">
        <f>IF(OR($B54="",$B54="Land",$C54=""),"",IFERROR($C54*INDEX(Settings!$C$22:$AC$27,MATCH($B54,Settings!$A$22:$A$27,0),4),0))</f>
        <v/>
      </c>
      <c r="H54" s="38">
        <f>IF(OR($B54="",$B54="Land",$C54=""),"",IFERROR($C54*INDEX(Settings!$C$22:$AC$27,MATCH($B54,Settings!$A$22:$A$27,0),5),0))</f>
        <v/>
      </c>
      <c r="I54" s="38">
        <f>IF(OR($B54="",$B54="Land",$C54=""),"",IFERROR($C54*INDEX(Settings!$C$22:$AC$27,MATCH($B54,Settings!$A$22:$A$27,0),6),0))</f>
        <v/>
      </c>
      <c r="J54" s="38">
        <f>IF(OR($B54="",$B54="Land",$C54=""),"",IFERROR($C54*INDEX(Settings!$C$22:$AC$27,MATCH($B54,Settings!$A$22:$A$27,0),7),0))</f>
        <v/>
      </c>
      <c r="K54" s="38">
        <f>IF(OR($B54="",$B54="Land",$C54=""),"",IFERROR($C54*INDEX(Settings!$C$22:$AC$27,MATCH($B54,Settings!$A$22:$A$27,0),8),0))</f>
        <v/>
      </c>
      <c r="L54" s="38">
        <f>IF(OR($B54="",$B54="Land",$C54=""),"",IFERROR($C54*INDEX(Settings!$C$22:$AC$27,MATCH($B54,Settings!$A$22:$A$27,0),9),0))</f>
        <v/>
      </c>
      <c r="M54" s="38">
        <f>IF(OR($B54="",$B54="Land",$C54=""),"",IFERROR($C54*INDEX(Settings!$C$22:$AC$27,MATCH($B54,Settings!$A$22:$A$27,0),10),0))</f>
        <v/>
      </c>
      <c r="N54" s="38">
        <f>IF(OR($B54="",$B54="Land",$C54=""),"",IFERROR($C54*INDEX(Settings!$C$22:$AC$27,MATCH($B54,Settings!$A$22:$A$27,0),11),0))</f>
        <v/>
      </c>
      <c r="O54" s="38">
        <f>IF(OR($B54="",$B54="Land",$C54=""),"",IFERROR($C54*INDEX(Settings!$C$22:$AC$27,MATCH($B54,Settings!$A$22:$A$27,0),12),0))</f>
        <v/>
      </c>
      <c r="P54" s="38">
        <f>IF(OR($B54="",$B54="Land",$C54=""),"",IFERROR($C54*INDEX(Settings!$C$22:$AC$27,MATCH($B54,Settings!$A$22:$A$27,0),13),0))</f>
        <v/>
      </c>
      <c r="Q54" s="38">
        <f>IF(OR($B54="",$B54="Land",$C54=""),"",IFERROR($C54*INDEX(Settings!$C$22:$AC$27,MATCH($B54,Settings!$A$22:$A$27,0),14),0))</f>
        <v/>
      </c>
      <c r="R54" s="38">
        <f>IF(OR($B54="",$B54="Land",$C54=""),"",IFERROR($C54*INDEX(Settings!$C$22:$AC$27,MATCH($B54,Settings!$A$22:$A$27,0),15),0))</f>
        <v/>
      </c>
      <c r="S54" s="38">
        <f>IF(OR($B54="",$B54="Land",$C54=""),"",IFERROR($C54*INDEX(Settings!$C$22:$AC$27,MATCH($B54,Settings!$A$22:$A$27,0),16),0))</f>
        <v/>
      </c>
      <c r="T54" s="38">
        <f>IF(OR($B54="",$B54="Land",$C54=""),"",IFERROR($C54*INDEX(Settings!$C$22:$AC$27,MATCH($B54,Settings!$A$22:$A$27,0),17),0))</f>
        <v/>
      </c>
      <c r="U54" s="38">
        <f>IF(OR($B54="",$B54="Land",$C54=""),"",IFERROR($C54*INDEX(Settings!$C$22:$AC$27,MATCH($B54,Settings!$A$22:$A$27,0),18),0))</f>
        <v/>
      </c>
      <c r="V54" s="38">
        <f>IF(OR($B54="",$B54="Land",$C54=""),"",IFERROR($C54*INDEX(Settings!$C$22:$AC$27,MATCH($B54,Settings!$A$22:$A$27,0),19),0))</f>
        <v/>
      </c>
      <c r="W54" s="38">
        <f>IF(OR($B54="",$B54="Land",$C54=""),"",IFERROR($C54*INDEX(Settings!$C$22:$AC$27,MATCH($B54,Settings!$A$22:$A$27,0),20),0))</f>
        <v/>
      </c>
      <c r="X54" s="38">
        <f>IF(OR($B54="",$B54="Land",$C54=""),"",IFERROR($C54*INDEX(Settings!$C$22:$AC$27,MATCH($B54,Settings!$A$22:$A$27,0),21),0))</f>
        <v/>
      </c>
      <c r="Y54" s="38">
        <f>IF(OR($B54="",$B54="Land",$C54=""),"",IFERROR($C54*INDEX(Settings!$C$22:$AC$27,MATCH($B54,Settings!$A$22:$A$27,0),22),0))</f>
        <v/>
      </c>
      <c r="Z54" s="38">
        <f>IF(OR($B54="",$B54="Land",$C54=""),"",IFERROR($C54*INDEX(Settings!$C$22:$AC$27,MATCH($B54,Settings!$A$22:$A$27,0),23),0))</f>
        <v/>
      </c>
      <c r="AA54" s="38">
        <f>IF(OR($B54="",$B54="Land",$C54=""),"",IFERROR($C54*INDEX(Settings!$C$22:$AC$27,MATCH($B54,Settings!$A$22:$A$27,0),24),0))</f>
        <v/>
      </c>
      <c r="AB54" s="38">
        <f>IF(OR($B54="",$B54="Land",$C54=""),"",IFERROR($C54*INDEX(Settings!$C$22:$AC$27,MATCH($B54,Settings!$A$22:$A$27,0),25),0))</f>
        <v/>
      </c>
      <c r="AC54" s="38">
        <f>IF(OR($B54="",$B54="Land",$C54=""),"",IFERROR($C54*INDEX(Settings!$C$22:$AC$27,MATCH($B54,Settings!$A$22:$A$27,0),26),0))</f>
        <v/>
      </c>
      <c r="AD54" s="38">
        <f>IF(OR($B54="",$B54="Land",$C54=""),"",IFERROR($C54*INDEX(Settings!$C$22:$AC$27,MATCH($B54,Settings!$A$22:$A$27,0),27),0))</f>
        <v/>
      </c>
    </row>
    <row r="55" ht="16" customHeight="1">
      <c r="A55" s="37">
        <f>'Asset Register'!A55</f>
        <v/>
      </c>
      <c r="B55" s="34">
        <f>'Asset Register'!E55</f>
        <v/>
      </c>
      <c r="C55" s="33">
        <f>'Asset Register'!J55</f>
        <v/>
      </c>
      <c r="D55" s="38">
        <f>IF(OR($B55="",$B55="Land",$C55=""),"",IFERROR($C55*INDEX(Settings!$C$22:$AC$27,MATCH($B55,Settings!$A$22:$A$27,0),1),0))</f>
        <v/>
      </c>
      <c r="E55" s="38">
        <f>IF(OR($B55="",$B55="Land",$C55=""),"",IFERROR($C55*INDEX(Settings!$C$22:$AC$27,MATCH($B55,Settings!$A$22:$A$27,0),2),0))</f>
        <v/>
      </c>
      <c r="F55" s="38">
        <f>IF(OR($B55="",$B55="Land",$C55=""),"",IFERROR($C55*INDEX(Settings!$C$22:$AC$27,MATCH($B55,Settings!$A$22:$A$27,0),3),0))</f>
        <v/>
      </c>
      <c r="G55" s="38">
        <f>IF(OR($B55="",$B55="Land",$C55=""),"",IFERROR($C55*INDEX(Settings!$C$22:$AC$27,MATCH($B55,Settings!$A$22:$A$27,0),4),0))</f>
        <v/>
      </c>
      <c r="H55" s="38">
        <f>IF(OR($B55="",$B55="Land",$C55=""),"",IFERROR($C55*INDEX(Settings!$C$22:$AC$27,MATCH($B55,Settings!$A$22:$A$27,0),5),0))</f>
        <v/>
      </c>
      <c r="I55" s="38">
        <f>IF(OR($B55="",$B55="Land",$C55=""),"",IFERROR($C55*INDEX(Settings!$C$22:$AC$27,MATCH($B55,Settings!$A$22:$A$27,0),6),0))</f>
        <v/>
      </c>
      <c r="J55" s="38">
        <f>IF(OR($B55="",$B55="Land",$C55=""),"",IFERROR($C55*INDEX(Settings!$C$22:$AC$27,MATCH($B55,Settings!$A$22:$A$27,0),7),0))</f>
        <v/>
      </c>
      <c r="K55" s="38">
        <f>IF(OR($B55="",$B55="Land",$C55=""),"",IFERROR($C55*INDEX(Settings!$C$22:$AC$27,MATCH($B55,Settings!$A$22:$A$27,0),8),0))</f>
        <v/>
      </c>
      <c r="L55" s="38">
        <f>IF(OR($B55="",$B55="Land",$C55=""),"",IFERROR($C55*INDEX(Settings!$C$22:$AC$27,MATCH($B55,Settings!$A$22:$A$27,0),9),0))</f>
        <v/>
      </c>
      <c r="M55" s="38">
        <f>IF(OR($B55="",$B55="Land",$C55=""),"",IFERROR($C55*INDEX(Settings!$C$22:$AC$27,MATCH($B55,Settings!$A$22:$A$27,0),10),0))</f>
        <v/>
      </c>
      <c r="N55" s="38">
        <f>IF(OR($B55="",$B55="Land",$C55=""),"",IFERROR($C55*INDEX(Settings!$C$22:$AC$27,MATCH($B55,Settings!$A$22:$A$27,0),11),0))</f>
        <v/>
      </c>
      <c r="O55" s="38">
        <f>IF(OR($B55="",$B55="Land",$C55=""),"",IFERROR($C55*INDEX(Settings!$C$22:$AC$27,MATCH($B55,Settings!$A$22:$A$27,0),12),0))</f>
        <v/>
      </c>
      <c r="P55" s="38">
        <f>IF(OR($B55="",$B55="Land",$C55=""),"",IFERROR($C55*INDEX(Settings!$C$22:$AC$27,MATCH($B55,Settings!$A$22:$A$27,0),13),0))</f>
        <v/>
      </c>
      <c r="Q55" s="38">
        <f>IF(OR($B55="",$B55="Land",$C55=""),"",IFERROR($C55*INDEX(Settings!$C$22:$AC$27,MATCH($B55,Settings!$A$22:$A$27,0),14),0))</f>
        <v/>
      </c>
      <c r="R55" s="38">
        <f>IF(OR($B55="",$B55="Land",$C55=""),"",IFERROR($C55*INDEX(Settings!$C$22:$AC$27,MATCH($B55,Settings!$A$22:$A$27,0),15),0))</f>
        <v/>
      </c>
      <c r="S55" s="38">
        <f>IF(OR($B55="",$B55="Land",$C55=""),"",IFERROR($C55*INDEX(Settings!$C$22:$AC$27,MATCH($B55,Settings!$A$22:$A$27,0),16),0))</f>
        <v/>
      </c>
      <c r="T55" s="38">
        <f>IF(OR($B55="",$B55="Land",$C55=""),"",IFERROR($C55*INDEX(Settings!$C$22:$AC$27,MATCH($B55,Settings!$A$22:$A$27,0),17),0))</f>
        <v/>
      </c>
      <c r="U55" s="38">
        <f>IF(OR($B55="",$B55="Land",$C55=""),"",IFERROR($C55*INDEX(Settings!$C$22:$AC$27,MATCH($B55,Settings!$A$22:$A$27,0),18),0))</f>
        <v/>
      </c>
      <c r="V55" s="38">
        <f>IF(OR($B55="",$B55="Land",$C55=""),"",IFERROR($C55*INDEX(Settings!$C$22:$AC$27,MATCH($B55,Settings!$A$22:$A$27,0),19),0))</f>
        <v/>
      </c>
      <c r="W55" s="38">
        <f>IF(OR($B55="",$B55="Land",$C55=""),"",IFERROR($C55*INDEX(Settings!$C$22:$AC$27,MATCH($B55,Settings!$A$22:$A$27,0),20),0))</f>
        <v/>
      </c>
      <c r="X55" s="38">
        <f>IF(OR($B55="",$B55="Land",$C55=""),"",IFERROR($C55*INDEX(Settings!$C$22:$AC$27,MATCH($B55,Settings!$A$22:$A$27,0),21),0))</f>
        <v/>
      </c>
      <c r="Y55" s="38">
        <f>IF(OR($B55="",$B55="Land",$C55=""),"",IFERROR($C55*INDEX(Settings!$C$22:$AC$27,MATCH($B55,Settings!$A$22:$A$27,0),22),0))</f>
        <v/>
      </c>
      <c r="Z55" s="38">
        <f>IF(OR($B55="",$B55="Land",$C55=""),"",IFERROR($C55*INDEX(Settings!$C$22:$AC$27,MATCH($B55,Settings!$A$22:$A$27,0),23),0))</f>
        <v/>
      </c>
      <c r="AA55" s="38">
        <f>IF(OR($B55="",$B55="Land",$C55=""),"",IFERROR($C55*INDEX(Settings!$C$22:$AC$27,MATCH($B55,Settings!$A$22:$A$27,0),24),0))</f>
        <v/>
      </c>
      <c r="AB55" s="38">
        <f>IF(OR($B55="",$B55="Land",$C55=""),"",IFERROR($C55*INDEX(Settings!$C$22:$AC$27,MATCH($B55,Settings!$A$22:$A$27,0),25),0))</f>
        <v/>
      </c>
      <c r="AC55" s="38">
        <f>IF(OR($B55="",$B55="Land",$C55=""),"",IFERROR($C55*INDEX(Settings!$C$22:$AC$27,MATCH($B55,Settings!$A$22:$A$27,0),26),0))</f>
        <v/>
      </c>
      <c r="AD55" s="38">
        <f>IF(OR($B55="",$B55="Land",$C55=""),"",IFERROR($C55*INDEX(Settings!$C$22:$AC$27,MATCH($B55,Settings!$A$22:$A$27,0),27),0))</f>
        <v/>
      </c>
    </row>
    <row r="56" ht="16" customHeight="1">
      <c r="A56" s="37">
        <f>'Asset Register'!A56</f>
        <v/>
      </c>
      <c r="B56" s="34">
        <f>'Asset Register'!E56</f>
        <v/>
      </c>
      <c r="C56" s="33">
        <f>'Asset Register'!J56</f>
        <v/>
      </c>
      <c r="D56" s="38">
        <f>IF(OR($B56="",$B56="Land",$C56=""),"",IFERROR($C56*INDEX(Settings!$C$22:$AC$27,MATCH($B56,Settings!$A$22:$A$27,0),1),0))</f>
        <v/>
      </c>
      <c r="E56" s="38">
        <f>IF(OR($B56="",$B56="Land",$C56=""),"",IFERROR($C56*INDEX(Settings!$C$22:$AC$27,MATCH($B56,Settings!$A$22:$A$27,0),2),0))</f>
        <v/>
      </c>
      <c r="F56" s="38">
        <f>IF(OR($B56="",$B56="Land",$C56=""),"",IFERROR($C56*INDEX(Settings!$C$22:$AC$27,MATCH($B56,Settings!$A$22:$A$27,0),3),0))</f>
        <v/>
      </c>
      <c r="G56" s="38">
        <f>IF(OR($B56="",$B56="Land",$C56=""),"",IFERROR($C56*INDEX(Settings!$C$22:$AC$27,MATCH($B56,Settings!$A$22:$A$27,0),4),0))</f>
        <v/>
      </c>
      <c r="H56" s="38">
        <f>IF(OR($B56="",$B56="Land",$C56=""),"",IFERROR($C56*INDEX(Settings!$C$22:$AC$27,MATCH($B56,Settings!$A$22:$A$27,0),5),0))</f>
        <v/>
      </c>
      <c r="I56" s="38">
        <f>IF(OR($B56="",$B56="Land",$C56=""),"",IFERROR($C56*INDEX(Settings!$C$22:$AC$27,MATCH($B56,Settings!$A$22:$A$27,0),6),0))</f>
        <v/>
      </c>
      <c r="J56" s="38">
        <f>IF(OR($B56="",$B56="Land",$C56=""),"",IFERROR($C56*INDEX(Settings!$C$22:$AC$27,MATCH($B56,Settings!$A$22:$A$27,0),7),0))</f>
        <v/>
      </c>
      <c r="K56" s="38">
        <f>IF(OR($B56="",$B56="Land",$C56=""),"",IFERROR($C56*INDEX(Settings!$C$22:$AC$27,MATCH($B56,Settings!$A$22:$A$27,0),8),0))</f>
        <v/>
      </c>
      <c r="L56" s="38">
        <f>IF(OR($B56="",$B56="Land",$C56=""),"",IFERROR($C56*INDEX(Settings!$C$22:$AC$27,MATCH($B56,Settings!$A$22:$A$27,0),9),0))</f>
        <v/>
      </c>
      <c r="M56" s="38">
        <f>IF(OR($B56="",$B56="Land",$C56=""),"",IFERROR($C56*INDEX(Settings!$C$22:$AC$27,MATCH($B56,Settings!$A$22:$A$27,0),10),0))</f>
        <v/>
      </c>
      <c r="N56" s="38">
        <f>IF(OR($B56="",$B56="Land",$C56=""),"",IFERROR($C56*INDEX(Settings!$C$22:$AC$27,MATCH($B56,Settings!$A$22:$A$27,0),11),0))</f>
        <v/>
      </c>
      <c r="O56" s="38">
        <f>IF(OR($B56="",$B56="Land",$C56=""),"",IFERROR($C56*INDEX(Settings!$C$22:$AC$27,MATCH($B56,Settings!$A$22:$A$27,0),12),0))</f>
        <v/>
      </c>
      <c r="P56" s="38">
        <f>IF(OR($B56="",$B56="Land",$C56=""),"",IFERROR($C56*INDEX(Settings!$C$22:$AC$27,MATCH($B56,Settings!$A$22:$A$27,0),13),0))</f>
        <v/>
      </c>
      <c r="Q56" s="38">
        <f>IF(OR($B56="",$B56="Land",$C56=""),"",IFERROR($C56*INDEX(Settings!$C$22:$AC$27,MATCH($B56,Settings!$A$22:$A$27,0),14),0))</f>
        <v/>
      </c>
      <c r="R56" s="38">
        <f>IF(OR($B56="",$B56="Land",$C56=""),"",IFERROR($C56*INDEX(Settings!$C$22:$AC$27,MATCH($B56,Settings!$A$22:$A$27,0),15),0))</f>
        <v/>
      </c>
      <c r="S56" s="38">
        <f>IF(OR($B56="",$B56="Land",$C56=""),"",IFERROR($C56*INDEX(Settings!$C$22:$AC$27,MATCH($B56,Settings!$A$22:$A$27,0),16),0))</f>
        <v/>
      </c>
      <c r="T56" s="38">
        <f>IF(OR($B56="",$B56="Land",$C56=""),"",IFERROR($C56*INDEX(Settings!$C$22:$AC$27,MATCH($B56,Settings!$A$22:$A$27,0),17),0))</f>
        <v/>
      </c>
      <c r="U56" s="38">
        <f>IF(OR($B56="",$B56="Land",$C56=""),"",IFERROR($C56*INDEX(Settings!$C$22:$AC$27,MATCH($B56,Settings!$A$22:$A$27,0),18),0))</f>
        <v/>
      </c>
      <c r="V56" s="38">
        <f>IF(OR($B56="",$B56="Land",$C56=""),"",IFERROR($C56*INDEX(Settings!$C$22:$AC$27,MATCH($B56,Settings!$A$22:$A$27,0),19),0))</f>
        <v/>
      </c>
      <c r="W56" s="38">
        <f>IF(OR($B56="",$B56="Land",$C56=""),"",IFERROR($C56*INDEX(Settings!$C$22:$AC$27,MATCH($B56,Settings!$A$22:$A$27,0),20),0))</f>
        <v/>
      </c>
      <c r="X56" s="38">
        <f>IF(OR($B56="",$B56="Land",$C56=""),"",IFERROR($C56*INDEX(Settings!$C$22:$AC$27,MATCH($B56,Settings!$A$22:$A$27,0),21),0))</f>
        <v/>
      </c>
      <c r="Y56" s="38">
        <f>IF(OR($B56="",$B56="Land",$C56=""),"",IFERROR($C56*INDEX(Settings!$C$22:$AC$27,MATCH($B56,Settings!$A$22:$A$27,0),22),0))</f>
        <v/>
      </c>
      <c r="Z56" s="38">
        <f>IF(OR($B56="",$B56="Land",$C56=""),"",IFERROR($C56*INDEX(Settings!$C$22:$AC$27,MATCH($B56,Settings!$A$22:$A$27,0),23),0))</f>
        <v/>
      </c>
      <c r="AA56" s="38">
        <f>IF(OR($B56="",$B56="Land",$C56=""),"",IFERROR($C56*INDEX(Settings!$C$22:$AC$27,MATCH($B56,Settings!$A$22:$A$27,0),24),0))</f>
        <v/>
      </c>
      <c r="AB56" s="38">
        <f>IF(OR($B56="",$B56="Land",$C56=""),"",IFERROR($C56*INDEX(Settings!$C$22:$AC$27,MATCH($B56,Settings!$A$22:$A$27,0),25),0))</f>
        <v/>
      </c>
      <c r="AC56" s="38">
        <f>IF(OR($B56="",$B56="Land",$C56=""),"",IFERROR($C56*INDEX(Settings!$C$22:$AC$27,MATCH($B56,Settings!$A$22:$A$27,0),26),0))</f>
        <v/>
      </c>
      <c r="AD56" s="38">
        <f>IF(OR($B56="",$B56="Land",$C56=""),"",IFERROR($C56*INDEX(Settings!$C$22:$AC$27,MATCH($B56,Settings!$A$22:$A$27,0),27),0))</f>
        <v/>
      </c>
    </row>
    <row r="57" ht="16" customHeight="1">
      <c r="A57" s="37">
        <f>'Asset Register'!A57</f>
        <v/>
      </c>
      <c r="B57" s="34">
        <f>'Asset Register'!E57</f>
        <v/>
      </c>
      <c r="C57" s="33">
        <f>'Asset Register'!J57</f>
        <v/>
      </c>
      <c r="D57" s="38">
        <f>IF(OR($B57="",$B57="Land",$C57=""),"",IFERROR($C57*INDEX(Settings!$C$22:$AC$27,MATCH($B57,Settings!$A$22:$A$27,0),1),0))</f>
        <v/>
      </c>
      <c r="E57" s="38">
        <f>IF(OR($B57="",$B57="Land",$C57=""),"",IFERROR($C57*INDEX(Settings!$C$22:$AC$27,MATCH($B57,Settings!$A$22:$A$27,0),2),0))</f>
        <v/>
      </c>
      <c r="F57" s="38">
        <f>IF(OR($B57="",$B57="Land",$C57=""),"",IFERROR($C57*INDEX(Settings!$C$22:$AC$27,MATCH($B57,Settings!$A$22:$A$27,0),3),0))</f>
        <v/>
      </c>
      <c r="G57" s="38">
        <f>IF(OR($B57="",$B57="Land",$C57=""),"",IFERROR($C57*INDEX(Settings!$C$22:$AC$27,MATCH($B57,Settings!$A$22:$A$27,0),4),0))</f>
        <v/>
      </c>
      <c r="H57" s="38">
        <f>IF(OR($B57="",$B57="Land",$C57=""),"",IFERROR($C57*INDEX(Settings!$C$22:$AC$27,MATCH($B57,Settings!$A$22:$A$27,0),5),0))</f>
        <v/>
      </c>
      <c r="I57" s="38">
        <f>IF(OR($B57="",$B57="Land",$C57=""),"",IFERROR($C57*INDEX(Settings!$C$22:$AC$27,MATCH($B57,Settings!$A$22:$A$27,0),6),0))</f>
        <v/>
      </c>
      <c r="J57" s="38">
        <f>IF(OR($B57="",$B57="Land",$C57=""),"",IFERROR($C57*INDEX(Settings!$C$22:$AC$27,MATCH($B57,Settings!$A$22:$A$27,0),7),0))</f>
        <v/>
      </c>
      <c r="K57" s="38">
        <f>IF(OR($B57="",$B57="Land",$C57=""),"",IFERROR($C57*INDEX(Settings!$C$22:$AC$27,MATCH($B57,Settings!$A$22:$A$27,0),8),0))</f>
        <v/>
      </c>
      <c r="L57" s="38">
        <f>IF(OR($B57="",$B57="Land",$C57=""),"",IFERROR($C57*INDEX(Settings!$C$22:$AC$27,MATCH($B57,Settings!$A$22:$A$27,0),9),0))</f>
        <v/>
      </c>
      <c r="M57" s="38">
        <f>IF(OR($B57="",$B57="Land",$C57=""),"",IFERROR($C57*INDEX(Settings!$C$22:$AC$27,MATCH($B57,Settings!$A$22:$A$27,0),10),0))</f>
        <v/>
      </c>
      <c r="N57" s="38">
        <f>IF(OR($B57="",$B57="Land",$C57=""),"",IFERROR($C57*INDEX(Settings!$C$22:$AC$27,MATCH($B57,Settings!$A$22:$A$27,0),11),0))</f>
        <v/>
      </c>
      <c r="O57" s="38">
        <f>IF(OR($B57="",$B57="Land",$C57=""),"",IFERROR($C57*INDEX(Settings!$C$22:$AC$27,MATCH($B57,Settings!$A$22:$A$27,0),12),0))</f>
        <v/>
      </c>
      <c r="P57" s="38">
        <f>IF(OR($B57="",$B57="Land",$C57=""),"",IFERROR($C57*INDEX(Settings!$C$22:$AC$27,MATCH($B57,Settings!$A$22:$A$27,0),13),0))</f>
        <v/>
      </c>
      <c r="Q57" s="38">
        <f>IF(OR($B57="",$B57="Land",$C57=""),"",IFERROR($C57*INDEX(Settings!$C$22:$AC$27,MATCH($B57,Settings!$A$22:$A$27,0),14),0))</f>
        <v/>
      </c>
      <c r="R57" s="38">
        <f>IF(OR($B57="",$B57="Land",$C57=""),"",IFERROR($C57*INDEX(Settings!$C$22:$AC$27,MATCH($B57,Settings!$A$22:$A$27,0),15),0))</f>
        <v/>
      </c>
      <c r="S57" s="38">
        <f>IF(OR($B57="",$B57="Land",$C57=""),"",IFERROR($C57*INDEX(Settings!$C$22:$AC$27,MATCH($B57,Settings!$A$22:$A$27,0),16),0))</f>
        <v/>
      </c>
      <c r="T57" s="38">
        <f>IF(OR($B57="",$B57="Land",$C57=""),"",IFERROR($C57*INDEX(Settings!$C$22:$AC$27,MATCH($B57,Settings!$A$22:$A$27,0),17),0))</f>
        <v/>
      </c>
      <c r="U57" s="38">
        <f>IF(OR($B57="",$B57="Land",$C57=""),"",IFERROR($C57*INDEX(Settings!$C$22:$AC$27,MATCH($B57,Settings!$A$22:$A$27,0),18),0))</f>
        <v/>
      </c>
      <c r="V57" s="38">
        <f>IF(OR($B57="",$B57="Land",$C57=""),"",IFERROR($C57*INDEX(Settings!$C$22:$AC$27,MATCH($B57,Settings!$A$22:$A$27,0),19),0))</f>
        <v/>
      </c>
      <c r="W57" s="38">
        <f>IF(OR($B57="",$B57="Land",$C57=""),"",IFERROR($C57*INDEX(Settings!$C$22:$AC$27,MATCH($B57,Settings!$A$22:$A$27,0),20),0))</f>
        <v/>
      </c>
      <c r="X57" s="38">
        <f>IF(OR($B57="",$B57="Land",$C57=""),"",IFERROR($C57*INDEX(Settings!$C$22:$AC$27,MATCH($B57,Settings!$A$22:$A$27,0),21),0))</f>
        <v/>
      </c>
      <c r="Y57" s="38">
        <f>IF(OR($B57="",$B57="Land",$C57=""),"",IFERROR($C57*INDEX(Settings!$C$22:$AC$27,MATCH($B57,Settings!$A$22:$A$27,0),22),0))</f>
        <v/>
      </c>
      <c r="Z57" s="38">
        <f>IF(OR($B57="",$B57="Land",$C57=""),"",IFERROR($C57*INDEX(Settings!$C$22:$AC$27,MATCH($B57,Settings!$A$22:$A$27,0),23),0))</f>
        <v/>
      </c>
      <c r="AA57" s="38">
        <f>IF(OR($B57="",$B57="Land",$C57=""),"",IFERROR($C57*INDEX(Settings!$C$22:$AC$27,MATCH($B57,Settings!$A$22:$A$27,0),24),0))</f>
        <v/>
      </c>
      <c r="AB57" s="38">
        <f>IF(OR($B57="",$B57="Land",$C57=""),"",IFERROR($C57*INDEX(Settings!$C$22:$AC$27,MATCH($B57,Settings!$A$22:$A$27,0),25),0))</f>
        <v/>
      </c>
      <c r="AC57" s="38">
        <f>IF(OR($B57="",$B57="Land",$C57=""),"",IFERROR($C57*INDEX(Settings!$C$22:$AC$27,MATCH($B57,Settings!$A$22:$A$27,0),26),0))</f>
        <v/>
      </c>
      <c r="AD57" s="38">
        <f>IF(OR($B57="",$B57="Land",$C57=""),"",IFERROR($C57*INDEX(Settings!$C$22:$AC$27,MATCH($B57,Settings!$A$22:$A$27,0),27),0))</f>
        <v/>
      </c>
    </row>
    <row r="58" ht="16" customHeight="1">
      <c r="A58" s="37">
        <f>'Asset Register'!A58</f>
        <v/>
      </c>
      <c r="B58" s="34">
        <f>'Asset Register'!E58</f>
        <v/>
      </c>
      <c r="C58" s="33">
        <f>'Asset Register'!J58</f>
        <v/>
      </c>
      <c r="D58" s="38">
        <f>IF(OR($B58="",$B58="Land",$C58=""),"",IFERROR($C58*INDEX(Settings!$C$22:$AC$27,MATCH($B58,Settings!$A$22:$A$27,0),1),0))</f>
        <v/>
      </c>
      <c r="E58" s="38">
        <f>IF(OR($B58="",$B58="Land",$C58=""),"",IFERROR($C58*INDEX(Settings!$C$22:$AC$27,MATCH($B58,Settings!$A$22:$A$27,0),2),0))</f>
        <v/>
      </c>
      <c r="F58" s="38">
        <f>IF(OR($B58="",$B58="Land",$C58=""),"",IFERROR($C58*INDEX(Settings!$C$22:$AC$27,MATCH($B58,Settings!$A$22:$A$27,0),3),0))</f>
        <v/>
      </c>
      <c r="G58" s="38">
        <f>IF(OR($B58="",$B58="Land",$C58=""),"",IFERROR($C58*INDEX(Settings!$C$22:$AC$27,MATCH($B58,Settings!$A$22:$A$27,0),4),0))</f>
        <v/>
      </c>
      <c r="H58" s="38">
        <f>IF(OR($B58="",$B58="Land",$C58=""),"",IFERROR($C58*INDEX(Settings!$C$22:$AC$27,MATCH($B58,Settings!$A$22:$A$27,0),5),0))</f>
        <v/>
      </c>
      <c r="I58" s="38">
        <f>IF(OR($B58="",$B58="Land",$C58=""),"",IFERROR($C58*INDEX(Settings!$C$22:$AC$27,MATCH($B58,Settings!$A$22:$A$27,0),6),0))</f>
        <v/>
      </c>
      <c r="J58" s="38">
        <f>IF(OR($B58="",$B58="Land",$C58=""),"",IFERROR($C58*INDEX(Settings!$C$22:$AC$27,MATCH($B58,Settings!$A$22:$A$27,0),7),0))</f>
        <v/>
      </c>
      <c r="K58" s="38">
        <f>IF(OR($B58="",$B58="Land",$C58=""),"",IFERROR($C58*INDEX(Settings!$C$22:$AC$27,MATCH($B58,Settings!$A$22:$A$27,0),8),0))</f>
        <v/>
      </c>
      <c r="L58" s="38">
        <f>IF(OR($B58="",$B58="Land",$C58=""),"",IFERROR($C58*INDEX(Settings!$C$22:$AC$27,MATCH($B58,Settings!$A$22:$A$27,0),9),0))</f>
        <v/>
      </c>
      <c r="M58" s="38">
        <f>IF(OR($B58="",$B58="Land",$C58=""),"",IFERROR($C58*INDEX(Settings!$C$22:$AC$27,MATCH($B58,Settings!$A$22:$A$27,0),10),0))</f>
        <v/>
      </c>
      <c r="N58" s="38">
        <f>IF(OR($B58="",$B58="Land",$C58=""),"",IFERROR($C58*INDEX(Settings!$C$22:$AC$27,MATCH($B58,Settings!$A$22:$A$27,0),11),0))</f>
        <v/>
      </c>
      <c r="O58" s="38">
        <f>IF(OR($B58="",$B58="Land",$C58=""),"",IFERROR($C58*INDEX(Settings!$C$22:$AC$27,MATCH($B58,Settings!$A$22:$A$27,0),12),0))</f>
        <v/>
      </c>
      <c r="P58" s="38">
        <f>IF(OR($B58="",$B58="Land",$C58=""),"",IFERROR($C58*INDEX(Settings!$C$22:$AC$27,MATCH($B58,Settings!$A$22:$A$27,0),13),0))</f>
        <v/>
      </c>
      <c r="Q58" s="38">
        <f>IF(OR($B58="",$B58="Land",$C58=""),"",IFERROR($C58*INDEX(Settings!$C$22:$AC$27,MATCH($B58,Settings!$A$22:$A$27,0),14),0))</f>
        <v/>
      </c>
      <c r="R58" s="38">
        <f>IF(OR($B58="",$B58="Land",$C58=""),"",IFERROR($C58*INDEX(Settings!$C$22:$AC$27,MATCH($B58,Settings!$A$22:$A$27,0),15),0))</f>
        <v/>
      </c>
      <c r="S58" s="38">
        <f>IF(OR($B58="",$B58="Land",$C58=""),"",IFERROR($C58*INDEX(Settings!$C$22:$AC$27,MATCH($B58,Settings!$A$22:$A$27,0),16),0))</f>
        <v/>
      </c>
      <c r="T58" s="38">
        <f>IF(OR($B58="",$B58="Land",$C58=""),"",IFERROR($C58*INDEX(Settings!$C$22:$AC$27,MATCH($B58,Settings!$A$22:$A$27,0),17),0))</f>
        <v/>
      </c>
      <c r="U58" s="38">
        <f>IF(OR($B58="",$B58="Land",$C58=""),"",IFERROR($C58*INDEX(Settings!$C$22:$AC$27,MATCH($B58,Settings!$A$22:$A$27,0),18),0))</f>
        <v/>
      </c>
      <c r="V58" s="38">
        <f>IF(OR($B58="",$B58="Land",$C58=""),"",IFERROR($C58*INDEX(Settings!$C$22:$AC$27,MATCH($B58,Settings!$A$22:$A$27,0),19),0))</f>
        <v/>
      </c>
      <c r="W58" s="38">
        <f>IF(OR($B58="",$B58="Land",$C58=""),"",IFERROR($C58*INDEX(Settings!$C$22:$AC$27,MATCH($B58,Settings!$A$22:$A$27,0),20),0))</f>
        <v/>
      </c>
      <c r="X58" s="38">
        <f>IF(OR($B58="",$B58="Land",$C58=""),"",IFERROR($C58*INDEX(Settings!$C$22:$AC$27,MATCH($B58,Settings!$A$22:$A$27,0),21),0))</f>
        <v/>
      </c>
      <c r="Y58" s="38">
        <f>IF(OR($B58="",$B58="Land",$C58=""),"",IFERROR($C58*INDEX(Settings!$C$22:$AC$27,MATCH($B58,Settings!$A$22:$A$27,0),22),0))</f>
        <v/>
      </c>
      <c r="Z58" s="38">
        <f>IF(OR($B58="",$B58="Land",$C58=""),"",IFERROR($C58*INDEX(Settings!$C$22:$AC$27,MATCH($B58,Settings!$A$22:$A$27,0),23),0))</f>
        <v/>
      </c>
      <c r="AA58" s="38">
        <f>IF(OR($B58="",$B58="Land",$C58=""),"",IFERROR($C58*INDEX(Settings!$C$22:$AC$27,MATCH($B58,Settings!$A$22:$A$27,0),24),0))</f>
        <v/>
      </c>
      <c r="AB58" s="38">
        <f>IF(OR($B58="",$B58="Land",$C58=""),"",IFERROR($C58*INDEX(Settings!$C$22:$AC$27,MATCH($B58,Settings!$A$22:$A$27,0),25),0))</f>
        <v/>
      </c>
      <c r="AC58" s="38">
        <f>IF(OR($B58="",$B58="Land",$C58=""),"",IFERROR($C58*INDEX(Settings!$C$22:$AC$27,MATCH($B58,Settings!$A$22:$A$27,0),26),0))</f>
        <v/>
      </c>
      <c r="AD58" s="38">
        <f>IF(OR($B58="",$B58="Land",$C58=""),"",IFERROR($C58*INDEX(Settings!$C$22:$AC$27,MATCH($B58,Settings!$A$22:$A$27,0),27),0))</f>
        <v/>
      </c>
    </row>
    <row r="59" ht="16" customHeight="1">
      <c r="A59" s="37">
        <f>'Asset Register'!A59</f>
        <v/>
      </c>
      <c r="B59" s="34">
        <f>'Asset Register'!E59</f>
        <v/>
      </c>
      <c r="C59" s="33">
        <f>'Asset Register'!J59</f>
        <v/>
      </c>
      <c r="D59" s="38">
        <f>IF(OR($B59="",$B59="Land",$C59=""),"",IFERROR($C59*INDEX(Settings!$C$22:$AC$27,MATCH($B59,Settings!$A$22:$A$27,0),1),0))</f>
        <v/>
      </c>
      <c r="E59" s="38">
        <f>IF(OR($B59="",$B59="Land",$C59=""),"",IFERROR($C59*INDEX(Settings!$C$22:$AC$27,MATCH($B59,Settings!$A$22:$A$27,0),2),0))</f>
        <v/>
      </c>
      <c r="F59" s="38">
        <f>IF(OR($B59="",$B59="Land",$C59=""),"",IFERROR($C59*INDEX(Settings!$C$22:$AC$27,MATCH($B59,Settings!$A$22:$A$27,0),3),0))</f>
        <v/>
      </c>
      <c r="G59" s="38">
        <f>IF(OR($B59="",$B59="Land",$C59=""),"",IFERROR($C59*INDEX(Settings!$C$22:$AC$27,MATCH($B59,Settings!$A$22:$A$27,0),4),0))</f>
        <v/>
      </c>
      <c r="H59" s="38">
        <f>IF(OR($B59="",$B59="Land",$C59=""),"",IFERROR($C59*INDEX(Settings!$C$22:$AC$27,MATCH($B59,Settings!$A$22:$A$27,0),5),0))</f>
        <v/>
      </c>
      <c r="I59" s="38">
        <f>IF(OR($B59="",$B59="Land",$C59=""),"",IFERROR($C59*INDEX(Settings!$C$22:$AC$27,MATCH($B59,Settings!$A$22:$A$27,0),6),0))</f>
        <v/>
      </c>
      <c r="J59" s="38">
        <f>IF(OR($B59="",$B59="Land",$C59=""),"",IFERROR($C59*INDEX(Settings!$C$22:$AC$27,MATCH($B59,Settings!$A$22:$A$27,0),7),0))</f>
        <v/>
      </c>
      <c r="K59" s="38">
        <f>IF(OR($B59="",$B59="Land",$C59=""),"",IFERROR($C59*INDEX(Settings!$C$22:$AC$27,MATCH($B59,Settings!$A$22:$A$27,0),8),0))</f>
        <v/>
      </c>
      <c r="L59" s="38">
        <f>IF(OR($B59="",$B59="Land",$C59=""),"",IFERROR($C59*INDEX(Settings!$C$22:$AC$27,MATCH($B59,Settings!$A$22:$A$27,0),9),0))</f>
        <v/>
      </c>
      <c r="M59" s="38">
        <f>IF(OR($B59="",$B59="Land",$C59=""),"",IFERROR($C59*INDEX(Settings!$C$22:$AC$27,MATCH($B59,Settings!$A$22:$A$27,0),10),0))</f>
        <v/>
      </c>
      <c r="N59" s="38">
        <f>IF(OR($B59="",$B59="Land",$C59=""),"",IFERROR($C59*INDEX(Settings!$C$22:$AC$27,MATCH($B59,Settings!$A$22:$A$27,0),11),0))</f>
        <v/>
      </c>
      <c r="O59" s="38">
        <f>IF(OR($B59="",$B59="Land",$C59=""),"",IFERROR($C59*INDEX(Settings!$C$22:$AC$27,MATCH($B59,Settings!$A$22:$A$27,0),12),0))</f>
        <v/>
      </c>
      <c r="P59" s="38">
        <f>IF(OR($B59="",$B59="Land",$C59=""),"",IFERROR($C59*INDEX(Settings!$C$22:$AC$27,MATCH($B59,Settings!$A$22:$A$27,0),13),0))</f>
        <v/>
      </c>
      <c r="Q59" s="38">
        <f>IF(OR($B59="",$B59="Land",$C59=""),"",IFERROR($C59*INDEX(Settings!$C$22:$AC$27,MATCH($B59,Settings!$A$22:$A$27,0),14),0))</f>
        <v/>
      </c>
      <c r="R59" s="38">
        <f>IF(OR($B59="",$B59="Land",$C59=""),"",IFERROR($C59*INDEX(Settings!$C$22:$AC$27,MATCH($B59,Settings!$A$22:$A$27,0),15),0))</f>
        <v/>
      </c>
      <c r="S59" s="38">
        <f>IF(OR($B59="",$B59="Land",$C59=""),"",IFERROR($C59*INDEX(Settings!$C$22:$AC$27,MATCH($B59,Settings!$A$22:$A$27,0),16),0))</f>
        <v/>
      </c>
      <c r="T59" s="38">
        <f>IF(OR($B59="",$B59="Land",$C59=""),"",IFERROR($C59*INDEX(Settings!$C$22:$AC$27,MATCH($B59,Settings!$A$22:$A$27,0),17),0))</f>
        <v/>
      </c>
      <c r="U59" s="38">
        <f>IF(OR($B59="",$B59="Land",$C59=""),"",IFERROR($C59*INDEX(Settings!$C$22:$AC$27,MATCH($B59,Settings!$A$22:$A$27,0),18),0))</f>
        <v/>
      </c>
      <c r="V59" s="38">
        <f>IF(OR($B59="",$B59="Land",$C59=""),"",IFERROR($C59*INDEX(Settings!$C$22:$AC$27,MATCH($B59,Settings!$A$22:$A$27,0),19),0))</f>
        <v/>
      </c>
      <c r="W59" s="38">
        <f>IF(OR($B59="",$B59="Land",$C59=""),"",IFERROR($C59*INDEX(Settings!$C$22:$AC$27,MATCH($B59,Settings!$A$22:$A$27,0),20),0))</f>
        <v/>
      </c>
      <c r="X59" s="38">
        <f>IF(OR($B59="",$B59="Land",$C59=""),"",IFERROR($C59*INDEX(Settings!$C$22:$AC$27,MATCH($B59,Settings!$A$22:$A$27,0),21),0))</f>
        <v/>
      </c>
      <c r="Y59" s="38">
        <f>IF(OR($B59="",$B59="Land",$C59=""),"",IFERROR($C59*INDEX(Settings!$C$22:$AC$27,MATCH($B59,Settings!$A$22:$A$27,0),22),0))</f>
        <v/>
      </c>
      <c r="Z59" s="38">
        <f>IF(OR($B59="",$B59="Land",$C59=""),"",IFERROR($C59*INDEX(Settings!$C$22:$AC$27,MATCH($B59,Settings!$A$22:$A$27,0),23),0))</f>
        <v/>
      </c>
      <c r="AA59" s="38">
        <f>IF(OR($B59="",$B59="Land",$C59=""),"",IFERROR($C59*INDEX(Settings!$C$22:$AC$27,MATCH($B59,Settings!$A$22:$A$27,0),24),0))</f>
        <v/>
      </c>
      <c r="AB59" s="38">
        <f>IF(OR($B59="",$B59="Land",$C59=""),"",IFERROR($C59*INDEX(Settings!$C$22:$AC$27,MATCH($B59,Settings!$A$22:$A$27,0),25),0))</f>
        <v/>
      </c>
      <c r="AC59" s="38">
        <f>IF(OR($B59="",$B59="Land",$C59=""),"",IFERROR($C59*INDEX(Settings!$C$22:$AC$27,MATCH($B59,Settings!$A$22:$A$27,0),26),0))</f>
        <v/>
      </c>
      <c r="AD59" s="38">
        <f>IF(OR($B59="",$B59="Land",$C59=""),"",IFERROR($C59*INDEX(Settings!$C$22:$AC$27,MATCH($B59,Settings!$A$22:$A$27,0),27),0))</f>
        <v/>
      </c>
    </row>
    <row r="60" ht="16" customHeight="1">
      <c r="A60" s="37">
        <f>'Asset Register'!A60</f>
        <v/>
      </c>
      <c r="B60" s="34">
        <f>'Asset Register'!E60</f>
        <v/>
      </c>
      <c r="C60" s="33">
        <f>'Asset Register'!J60</f>
        <v/>
      </c>
      <c r="D60" s="38">
        <f>IF(OR($B60="",$B60="Land",$C60=""),"",IFERROR($C60*INDEX(Settings!$C$22:$AC$27,MATCH($B60,Settings!$A$22:$A$27,0),1),0))</f>
        <v/>
      </c>
      <c r="E60" s="38">
        <f>IF(OR($B60="",$B60="Land",$C60=""),"",IFERROR($C60*INDEX(Settings!$C$22:$AC$27,MATCH($B60,Settings!$A$22:$A$27,0),2),0))</f>
        <v/>
      </c>
      <c r="F60" s="38">
        <f>IF(OR($B60="",$B60="Land",$C60=""),"",IFERROR($C60*INDEX(Settings!$C$22:$AC$27,MATCH($B60,Settings!$A$22:$A$27,0),3),0))</f>
        <v/>
      </c>
      <c r="G60" s="38">
        <f>IF(OR($B60="",$B60="Land",$C60=""),"",IFERROR($C60*INDEX(Settings!$C$22:$AC$27,MATCH($B60,Settings!$A$22:$A$27,0),4),0))</f>
        <v/>
      </c>
      <c r="H60" s="38">
        <f>IF(OR($B60="",$B60="Land",$C60=""),"",IFERROR($C60*INDEX(Settings!$C$22:$AC$27,MATCH($B60,Settings!$A$22:$A$27,0),5),0))</f>
        <v/>
      </c>
      <c r="I60" s="38">
        <f>IF(OR($B60="",$B60="Land",$C60=""),"",IFERROR($C60*INDEX(Settings!$C$22:$AC$27,MATCH($B60,Settings!$A$22:$A$27,0),6),0))</f>
        <v/>
      </c>
      <c r="J60" s="38">
        <f>IF(OR($B60="",$B60="Land",$C60=""),"",IFERROR($C60*INDEX(Settings!$C$22:$AC$27,MATCH($B60,Settings!$A$22:$A$27,0),7),0))</f>
        <v/>
      </c>
      <c r="K60" s="38">
        <f>IF(OR($B60="",$B60="Land",$C60=""),"",IFERROR($C60*INDEX(Settings!$C$22:$AC$27,MATCH($B60,Settings!$A$22:$A$27,0),8),0))</f>
        <v/>
      </c>
      <c r="L60" s="38">
        <f>IF(OR($B60="",$B60="Land",$C60=""),"",IFERROR($C60*INDEX(Settings!$C$22:$AC$27,MATCH($B60,Settings!$A$22:$A$27,0),9),0))</f>
        <v/>
      </c>
      <c r="M60" s="38">
        <f>IF(OR($B60="",$B60="Land",$C60=""),"",IFERROR($C60*INDEX(Settings!$C$22:$AC$27,MATCH($B60,Settings!$A$22:$A$27,0),10),0))</f>
        <v/>
      </c>
      <c r="N60" s="38">
        <f>IF(OR($B60="",$B60="Land",$C60=""),"",IFERROR($C60*INDEX(Settings!$C$22:$AC$27,MATCH($B60,Settings!$A$22:$A$27,0),11),0))</f>
        <v/>
      </c>
      <c r="O60" s="38">
        <f>IF(OR($B60="",$B60="Land",$C60=""),"",IFERROR($C60*INDEX(Settings!$C$22:$AC$27,MATCH($B60,Settings!$A$22:$A$27,0),12),0))</f>
        <v/>
      </c>
      <c r="P60" s="38">
        <f>IF(OR($B60="",$B60="Land",$C60=""),"",IFERROR($C60*INDEX(Settings!$C$22:$AC$27,MATCH($B60,Settings!$A$22:$A$27,0),13),0))</f>
        <v/>
      </c>
      <c r="Q60" s="38">
        <f>IF(OR($B60="",$B60="Land",$C60=""),"",IFERROR($C60*INDEX(Settings!$C$22:$AC$27,MATCH($B60,Settings!$A$22:$A$27,0),14),0))</f>
        <v/>
      </c>
      <c r="R60" s="38">
        <f>IF(OR($B60="",$B60="Land",$C60=""),"",IFERROR($C60*INDEX(Settings!$C$22:$AC$27,MATCH($B60,Settings!$A$22:$A$27,0),15),0))</f>
        <v/>
      </c>
      <c r="S60" s="38">
        <f>IF(OR($B60="",$B60="Land",$C60=""),"",IFERROR($C60*INDEX(Settings!$C$22:$AC$27,MATCH($B60,Settings!$A$22:$A$27,0),16),0))</f>
        <v/>
      </c>
      <c r="T60" s="38">
        <f>IF(OR($B60="",$B60="Land",$C60=""),"",IFERROR($C60*INDEX(Settings!$C$22:$AC$27,MATCH($B60,Settings!$A$22:$A$27,0),17),0))</f>
        <v/>
      </c>
      <c r="U60" s="38">
        <f>IF(OR($B60="",$B60="Land",$C60=""),"",IFERROR($C60*INDEX(Settings!$C$22:$AC$27,MATCH($B60,Settings!$A$22:$A$27,0),18),0))</f>
        <v/>
      </c>
      <c r="V60" s="38">
        <f>IF(OR($B60="",$B60="Land",$C60=""),"",IFERROR($C60*INDEX(Settings!$C$22:$AC$27,MATCH($B60,Settings!$A$22:$A$27,0),19),0))</f>
        <v/>
      </c>
      <c r="W60" s="38">
        <f>IF(OR($B60="",$B60="Land",$C60=""),"",IFERROR($C60*INDEX(Settings!$C$22:$AC$27,MATCH($B60,Settings!$A$22:$A$27,0),20),0))</f>
        <v/>
      </c>
      <c r="X60" s="38">
        <f>IF(OR($B60="",$B60="Land",$C60=""),"",IFERROR($C60*INDEX(Settings!$C$22:$AC$27,MATCH($B60,Settings!$A$22:$A$27,0),21),0))</f>
        <v/>
      </c>
      <c r="Y60" s="38">
        <f>IF(OR($B60="",$B60="Land",$C60=""),"",IFERROR($C60*INDEX(Settings!$C$22:$AC$27,MATCH($B60,Settings!$A$22:$A$27,0),22),0))</f>
        <v/>
      </c>
      <c r="Z60" s="38">
        <f>IF(OR($B60="",$B60="Land",$C60=""),"",IFERROR($C60*INDEX(Settings!$C$22:$AC$27,MATCH($B60,Settings!$A$22:$A$27,0),23),0))</f>
        <v/>
      </c>
      <c r="AA60" s="38">
        <f>IF(OR($B60="",$B60="Land",$C60=""),"",IFERROR($C60*INDEX(Settings!$C$22:$AC$27,MATCH($B60,Settings!$A$22:$A$27,0),24),0))</f>
        <v/>
      </c>
      <c r="AB60" s="38">
        <f>IF(OR($B60="",$B60="Land",$C60=""),"",IFERROR($C60*INDEX(Settings!$C$22:$AC$27,MATCH($B60,Settings!$A$22:$A$27,0),25),0))</f>
        <v/>
      </c>
      <c r="AC60" s="38">
        <f>IF(OR($B60="",$B60="Land",$C60=""),"",IFERROR($C60*INDEX(Settings!$C$22:$AC$27,MATCH($B60,Settings!$A$22:$A$27,0),26),0))</f>
        <v/>
      </c>
      <c r="AD60" s="38">
        <f>IF(OR($B60="",$B60="Land",$C60=""),"",IFERROR($C60*INDEX(Settings!$C$22:$AC$27,MATCH($B60,Settings!$A$22:$A$27,0),27),0))</f>
        <v/>
      </c>
    </row>
    <row r="61" ht="16" customHeight="1">
      <c r="A61" s="37">
        <f>'Asset Register'!A61</f>
        <v/>
      </c>
      <c r="B61" s="34">
        <f>'Asset Register'!E61</f>
        <v/>
      </c>
      <c r="C61" s="33">
        <f>'Asset Register'!J61</f>
        <v/>
      </c>
      <c r="D61" s="38">
        <f>IF(OR($B61="",$B61="Land",$C61=""),"",IFERROR($C61*INDEX(Settings!$C$22:$AC$27,MATCH($B61,Settings!$A$22:$A$27,0),1),0))</f>
        <v/>
      </c>
      <c r="E61" s="38">
        <f>IF(OR($B61="",$B61="Land",$C61=""),"",IFERROR($C61*INDEX(Settings!$C$22:$AC$27,MATCH($B61,Settings!$A$22:$A$27,0),2),0))</f>
        <v/>
      </c>
      <c r="F61" s="38">
        <f>IF(OR($B61="",$B61="Land",$C61=""),"",IFERROR($C61*INDEX(Settings!$C$22:$AC$27,MATCH($B61,Settings!$A$22:$A$27,0),3),0))</f>
        <v/>
      </c>
      <c r="G61" s="38">
        <f>IF(OR($B61="",$B61="Land",$C61=""),"",IFERROR($C61*INDEX(Settings!$C$22:$AC$27,MATCH($B61,Settings!$A$22:$A$27,0),4),0))</f>
        <v/>
      </c>
      <c r="H61" s="38">
        <f>IF(OR($B61="",$B61="Land",$C61=""),"",IFERROR($C61*INDEX(Settings!$C$22:$AC$27,MATCH($B61,Settings!$A$22:$A$27,0),5),0))</f>
        <v/>
      </c>
      <c r="I61" s="38">
        <f>IF(OR($B61="",$B61="Land",$C61=""),"",IFERROR($C61*INDEX(Settings!$C$22:$AC$27,MATCH($B61,Settings!$A$22:$A$27,0),6),0))</f>
        <v/>
      </c>
      <c r="J61" s="38">
        <f>IF(OR($B61="",$B61="Land",$C61=""),"",IFERROR($C61*INDEX(Settings!$C$22:$AC$27,MATCH($B61,Settings!$A$22:$A$27,0),7),0))</f>
        <v/>
      </c>
      <c r="K61" s="38">
        <f>IF(OR($B61="",$B61="Land",$C61=""),"",IFERROR($C61*INDEX(Settings!$C$22:$AC$27,MATCH($B61,Settings!$A$22:$A$27,0),8),0))</f>
        <v/>
      </c>
      <c r="L61" s="38">
        <f>IF(OR($B61="",$B61="Land",$C61=""),"",IFERROR($C61*INDEX(Settings!$C$22:$AC$27,MATCH($B61,Settings!$A$22:$A$27,0),9),0))</f>
        <v/>
      </c>
      <c r="M61" s="38">
        <f>IF(OR($B61="",$B61="Land",$C61=""),"",IFERROR($C61*INDEX(Settings!$C$22:$AC$27,MATCH($B61,Settings!$A$22:$A$27,0),10),0))</f>
        <v/>
      </c>
      <c r="N61" s="38">
        <f>IF(OR($B61="",$B61="Land",$C61=""),"",IFERROR($C61*INDEX(Settings!$C$22:$AC$27,MATCH($B61,Settings!$A$22:$A$27,0),11),0))</f>
        <v/>
      </c>
      <c r="O61" s="38">
        <f>IF(OR($B61="",$B61="Land",$C61=""),"",IFERROR($C61*INDEX(Settings!$C$22:$AC$27,MATCH($B61,Settings!$A$22:$A$27,0),12),0))</f>
        <v/>
      </c>
      <c r="P61" s="38">
        <f>IF(OR($B61="",$B61="Land",$C61=""),"",IFERROR($C61*INDEX(Settings!$C$22:$AC$27,MATCH($B61,Settings!$A$22:$A$27,0),13),0))</f>
        <v/>
      </c>
      <c r="Q61" s="38">
        <f>IF(OR($B61="",$B61="Land",$C61=""),"",IFERROR($C61*INDEX(Settings!$C$22:$AC$27,MATCH($B61,Settings!$A$22:$A$27,0),14),0))</f>
        <v/>
      </c>
      <c r="R61" s="38">
        <f>IF(OR($B61="",$B61="Land",$C61=""),"",IFERROR($C61*INDEX(Settings!$C$22:$AC$27,MATCH($B61,Settings!$A$22:$A$27,0),15),0))</f>
        <v/>
      </c>
      <c r="S61" s="38">
        <f>IF(OR($B61="",$B61="Land",$C61=""),"",IFERROR($C61*INDEX(Settings!$C$22:$AC$27,MATCH($B61,Settings!$A$22:$A$27,0),16),0))</f>
        <v/>
      </c>
      <c r="T61" s="38">
        <f>IF(OR($B61="",$B61="Land",$C61=""),"",IFERROR($C61*INDEX(Settings!$C$22:$AC$27,MATCH($B61,Settings!$A$22:$A$27,0),17),0))</f>
        <v/>
      </c>
      <c r="U61" s="38">
        <f>IF(OR($B61="",$B61="Land",$C61=""),"",IFERROR($C61*INDEX(Settings!$C$22:$AC$27,MATCH($B61,Settings!$A$22:$A$27,0),18),0))</f>
        <v/>
      </c>
      <c r="V61" s="38">
        <f>IF(OR($B61="",$B61="Land",$C61=""),"",IFERROR($C61*INDEX(Settings!$C$22:$AC$27,MATCH($B61,Settings!$A$22:$A$27,0),19),0))</f>
        <v/>
      </c>
      <c r="W61" s="38">
        <f>IF(OR($B61="",$B61="Land",$C61=""),"",IFERROR($C61*INDEX(Settings!$C$22:$AC$27,MATCH($B61,Settings!$A$22:$A$27,0),20),0))</f>
        <v/>
      </c>
      <c r="X61" s="38">
        <f>IF(OR($B61="",$B61="Land",$C61=""),"",IFERROR($C61*INDEX(Settings!$C$22:$AC$27,MATCH($B61,Settings!$A$22:$A$27,0),21),0))</f>
        <v/>
      </c>
      <c r="Y61" s="38">
        <f>IF(OR($B61="",$B61="Land",$C61=""),"",IFERROR($C61*INDEX(Settings!$C$22:$AC$27,MATCH($B61,Settings!$A$22:$A$27,0),22),0))</f>
        <v/>
      </c>
      <c r="Z61" s="38">
        <f>IF(OR($B61="",$B61="Land",$C61=""),"",IFERROR($C61*INDEX(Settings!$C$22:$AC$27,MATCH($B61,Settings!$A$22:$A$27,0),23),0))</f>
        <v/>
      </c>
      <c r="AA61" s="38">
        <f>IF(OR($B61="",$B61="Land",$C61=""),"",IFERROR($C61*INDEX(Settings!$C$22:$AC$27,MATCH($B61,Settings!$A$22:$A$27,0),24),0))</f>
        <v/>
      </c>
      <c r="AB61" s="38">
        <f>IF(OR($B61="",$B61="Land",$C61=""),"",IFERROR($C61*INDEX(Settings!$C$22:$AC$27,MATCH($B61,Settings!$A$22:$A$27,0),25),0))</f>
        <v/>
      </c>
      <c r="AC61" s="38">
        <f>IF(OR($B61="",$B61="Land",$C61=""),"",IFERROR($C61*INDEX(Settings!$C$22:$AC$27,MATCH($B61,Settings!$A$22:$A$27,0),26),0))</f>
        <v/>
      </c>
      <c r="AD61" s="38">
        <f>IF(OR($B61="",$B61="Land",$C61=""),"",IFERROR($C61*INDEX(Settings!$C$22:$AC$27,MATCH($B61,Settings!$A$22:$A$27,0),27),0))</f>
        <v/>
      </c>
    </row>
    <row r="62" ht="16" customHeight="1">
      <c r="A62" s="37">
        <f>'Asset Register'!A62</f>
        <v/>
      </c>
      <c r="B62" s="34">
        <f>'Asset Register'!E62</f>
        <v/>
      </c>
      <c r="C62" s="33">
        <f>'Asset Register'!J62</f>
        <v/>
      </c>
      <c r="D62" s="38">
        <f>IF(OR($B62="",$B62="Land",$C62=""),"",IFERROR($C62*INDEX(Settings!$C$22:$AC$27,MATCH($B62,Settings!$A$22:$A$27,0),1),0))</f>
        <v/>
      </c>
      <c r="E62" s="38">
        <f>IF(OR($B62="",$B62="Land",$C62=""),"",IFERROR($C62*INDEX(Settings!$C$22:$AC$27,MATCH($B62,Settings!$A$22:$A$27,0),2),0))</f>
        <v/>
      </c>
      <c r="F62" s="38">
        <f>IF(OR($B62="",$B62="Land",$C62=""),"",IFERROR($C62*INDEX(Settings!$C$22:$AC$27,MATCH($B62,Settings!$A$22:$A$27,0),3),0))</f>
        <v/>
      </c>
      <c r="G62" s="38">
        <f>IF(OR($B62="",$B62="Land",$C62=""),"",IFERROR($C62*INDEX(Settings!$C$22:$AC$27,MATCH($B62,Settings!$A$22:$A$27,0),4),0))</f>
        <v/>
      </c>
      <c r="H62" s="38">
        <f>IF(OR($B62="",$B62="Land",$C62=""),"",IFERROR($C62*INDEX(Settings!$C$22:$AC$27,MATCH($B62,Settings!$A$22:$A$27,0),5),0))</f>
        <v/>
      </c>
      <c r="I62" s="38">
        <f>IF(OR($B62="",$B62="Land",$C62=""),"",IFERROR($C62*INDEX(Settings!$C$22:$AC$27,MATCH($B62,Settings!$A$22:$A$27,0),6),0))</f>
        <v/>
      </c>
      <c r="J62" s="38">
        <f>IF(OR($B62="",$B62="Land",$C62=""),"",IFERROR($C62*INDEX(Settings!$C$22:$AC$27,MATCH($B62,Settings!$A$22:$A$27,0),7),0))</f>
        <v/>
      </c>
      <c r="K62" s="38">
        <f>IF(OR($B62="",$B62="Land",$C62=""),"",IFERROR($C62*INDEX(Settings!$C$22:$AC$27,MATCH($B62,Settings!$A$22:$A$27,0),8),0))</f>
        <v/>
      </c>
      <c r="L62" s="38">
        <f>IF(OR($B62="",$B62="Land",$C62=""),"",IFERROR($C62*INDEX(Settings!$C$22:$AC$27,MATCH($B62,Settings!$A$22:$A$27,0),9),0))</f>
        <v/>
      </c>
      <c r="M62" s="38">
        <f>IF(OR($B62="",$B62="Land",$C62=""),"",IFERROR($C62*INDEX(Settings!$C$22:$AC$27,MATCH($B62,Settings!$A$22:$A$27,0),10),0))</f>
        <v/>
      </c>
      <c r="N62" s="38">
        <f>IF(OR($B62="",$B62="Land",$C62=""),"",IFERROR($C62*INDEX(Settings!$C$22:$AC$27,MATCH($B62,Settings!$A$22:$A$27,0),11),0))</f>
        <v/>
      </c>
      <c r="O62" s="38">
        <f>IF(OR($B62="",$B62="Land",$C62=""),"",IFERROR($C62*INDEX(Settings!$C$22:$AC$27,MATCH($B62,Settings!$A$22:$A$27,0),12),0))</f>
        <v/>
      </c>
      <c r="P62" s="38">
        <f>IF(OR($B62="",$B62="Land",$C62=""),"",IFERROR($C62*INDEX(Settings!$C$22:$AC$27,MATCH($B62,Settings!$A$22:$A$27,0),13),0))</f>
        <v/>
      </c>
      <c r="Q62" s="38">
        <f>IF(OR($B62="",$B62="Land",$C62=""),"",IFERROR($C62*INDEX(Settings!$C$22:$AC$27,MATCH($B62,Settings!$A$22:$A$27,0),14),0))</f>
        <v/>
      </c>
      <c r="R62" s="38">
        <f>IF(OR($B62="",$B62="Land",$C62=""),"",IFERROR($C62*INDEX(Settings!$C$22:$AC$27,MATCH($B62,Settings!$A$22:$A$27,0),15),0))</f>
        <v/>
      </c>
      <c r="S62" s="38">
        <f>IF(OR($B62="",$B62="Land",$C62=""),"",IFERROR($C62*INDEX(Settings!$C$22:$AC$27,MATCH($B62,Settings!$A$22:$A$27,0),16),0))</f>
        <v/>
      </c>
      <c r="T62" s="38">
        <f>IF(OR($B62="",$B62="Land",$C62=""),"",IFERROR($C62*INDEX(Settings!$C$22:$AC$27,MATCH($B62,Settings!$A$22:$A$27,0),17),0))</f>
        <v/>
      </c>
      <c r="U62" s="38">
        <f>IF(OR($B62="",$B62="Land",$C62=""),"",IFERROR($C62*INDEX(Settings!$C$22:$AC$27,MATCH($B62,Settings!$A$22:$A$27,0),18),0))</f>
        <v/>
      </c>
      <c r="V62" s="38">
        <f>IF(OR($B62="",$B62="Land",$C62=""),"",IFERROR($C62*INDEX(Settings!$C$22:$AC$27,MATCH($B62,Settings!$A$22:$A$27,0),19),0))</f>
        <v/>
      </c>
      <c r="W62" s="38">
        <f>IF(OR($B62="",$B62="Land",$C62=""),"",IFERROR($C62*INDEX(Settings!$C$22:$AC$27,MATCH($B62,Settings!$A$22:$A$27,0),20),0))</f>
        <v/>
      </c>
      <c r="X62" s="38">
        <f>IF(OR($B62="",$B62="Land",$C62=""),"",IFERROR($C62*INDEX(Settings!$C$22:$AC$27,MATCH($B62,Settings!$A$22:$A$27,0),21),0))</f>
        <v/>
      </c>
      <c r="Y62" s="38">
        <f>IF(OR($B62="",$B62="Land",$C62=""),"",IFERROR($C62*INDEX(Settings!$C$22:$AC$27,MATCH($B62,Settings!$A$22:$A$27,0),22),0))</f>
        <v/>
      </c>
      <c r="Z62" s="38">
        <f>IF(OR($B62="",$B62="Land",$C62=""),"",IFERROR($C62*INDEX(Settings!$C$22:$AC$27,MATCH($B62,Settings!$A$22:$A$27,0),23),0))</f>
        <v/>
      </c>
      <c r="AA62" s="38">
        <f>IF(OR($B62="",$B62="Land",$C62=""),"",IFERROR($C62*INDEX(Settings!$C$22:$AC$27,MATCH($B62,Settings!$A$22:$A$27,0),24),0))</f>
        <v/>
      </c>
      <c r="AB62" s="38">
        <f>IF(OR($B62="",$B62="Land",$C62=""),"",IFERROR($C62*INDEX(Settings!$C$22:$AC$27,MATCH($B62,Settings!$A$22:$A$27,0),25),0))</f>
        <v/>
      </c>
      <c r="AC62" s="38">
        <f>IF(OR($B62="",$B62="Land",$C62=""),"",IFERROR($C62*INDEX(Settings!$C$22:$AC$27,MATCH($B62,Settings!$A$22:$A$27,0),26),0))</f>
        <v/>
      </c>
      <c r="AD62" s="38">
        <f>IF(OR($B62="",$B62="Land",$C62=""),"",IFERROR($C62*INDEX(Settings!$C$22:$AC$27,MATCH($B62,Settings!$A$22:$A$27,0),27),0))</f>
        <v/>
      </c>
    </row>
    <row r="63" ht="16" customHeight="1">
      <c r="A63" s="37">
        <f>'Asset Register'!A63</f>
        <v/>
      </c>
      <c r="B63" s="34">
        <f>'Asset Register'!E63</f>
        <v/>
      </c>
      <c r="C63" s="33">
        <f>'Asset Register'!J63</f>
        <v/>
      </c>
      <c r="D63" s="38">
        <f>IF(OR($B63="",$B63="Land",$C63=""),"",IFERROR($C63*INDEX(Settings!$C$22:$AC$27,MATCH($B63,Settings!$A$22:$A$27,0),1),0))</f>
        <v/>
      </c>
      <c r="E63" s="38">
        <f>IF(OR($B63="",$B63="Land",$C63=""),"",IFERROR($C63*INDEX(Settings!$C$22:$AC$27,MATCH($B63,Settings!$A$22:$A$27,0),2),0))</f>
        <v/>
      </c>
      <c r="F63" s="38">
        <f>IF(OR($B63="",$B63="Land",$C63=""),"",IFERROR($C63*INDEX(Settings!$C$22:$AC$27,MATCH($B63,Settings!$A$22:$A$27,0),3),0))</f>
        <v/>
      </c>
      <c r="G63" s="38">
        <f>IF(OR($B63="",$B63="Land",$C63=""),"",IFERROR($C63*INDEX(Settings!$C$22:$AC$27,MATCH($B63,Settings!$A$22:$A$27,0),4),0))</f>
        <v/>
      </c>
      <c r="H63" s="38">
        <f>IF(OR($B63="",$B63="Land",$C63=""),"",IFERROR($C63*INDEX(Settings!$C$22:$AC$27,MATCH($B63,Settings!$A$22:$A$27,0),5),0))</f>
        <v/>
      </c>
      <c r="I63" s="38">
        <f>IF(OR($B63="",$B63="Land",$C63=""),"",IFERROR($C63*INDEX(Settings!$C$22:$AC$27,MATCH($B63,Settings!$A$22:$A$27,0),6),0))</f>
        <v/>
      </c>
      <c r="J63" s="38">
        <f>IF(OR($B63="",$B63="Land",$C63=""),"",IFERROR($C63*INDEX(Settings!$C$22:$AC$27,MATCH($B63,Settings!$A$22:$A$27,0),7),0))</f>
        <v/>
      </c>
      <c r="K63" s="38">
        <f>IF(OR($B63="",$B63="Land",$C63=""),"",IFERROR($C63*INDEX(Settings!$C$22:$AC$27,MATCH($B63,Settings!$A$22:$A$27,0),8),0))</f>
        <v/>
      </c>
      <c r="L63" s="38">
        <f>IF(OR($B63="",$B63="Land",$C63=""),"",IFERROR($C63*INDEX(Settings!$C$22:$AC$27,MATCH($B63,Settings!$A$22:$A$27,0),9),0))</f>
        <v/>
      </c>
      <c r="M63" s="38">
        <f>IF(OR($B63="",$B63="Land",$C63=""),"",IFERROR($C63*INDEX(Settings!$C$22:$AC$27,MATCH($B63,Settings!$A$22:$A$27,0),10),0))</f>
        <v/>
      </c>
      <c r="N63" s="38">
        <f>IF(OR($B63="",$B63="Land",$C63=""),"",IFERROR($C63*INDEX(Settings!$C$22:$AC$27,MATCH($B63,Settings!$A$22:$A$27,0),11),0))</f>
        <v/>
      </c>
      <c r="O63" s="38">
        <f>IF(OR($B63="",$B63="Land",$C63=""),"",IFERROR($C63*INDEX(Settings!$C$22:$AC$27,MATCH($B63,Settings!$A$22:$A$27,0),12),0))</f>
        <v/>
      </c>
      <c r="P63" s="38">
        <f>IF(OR($B63="",$B63="Land",$C63=""),"",IFERROR($C63*INDEX(Settings!$C$22:$AC$27,MATCH($B63,Settings!$A$22:$A$27,0),13),0))</f>
        <v/>
      </c>
      <c r="Q63" s="38">
        <f>IF(OR($B63="",$B63="Land",$C63=""),"",IFERROR($C63*INDEX(Settings!$C$22:$AC$27,MATCH($B63,Settings!$A$22:$A$27,0),14),0))</f>
        <v/>
      </c>
      <c r="R63" s="38">
        <f>IF(OR($B63="",$B63="Land",$C63=""),"",IFERROR($C63*INDEX(Settings!$C$22:$AC$27,MATCH($B63,Settings!$A$22:$A$27,0),15),0))</f>
        <v/>
      </c>
      <c r="S63" s="38">
        <f>IF(OR($B63="",$B63="Land",$C63=""),"",IFERROR($C63*INDEX(Settings!$C$22:$AC$27,MATCH($B63,Settings!$A$22:$A$27,0),16),0))</f>
        <v/>
      </c>
      <c r="T63" s="38">
        <f>IF(OR($B63="",$B63="Land",$C63=""),"",IFERROR($C63*INDEX(Settings!$C$22:$AC$27,MATCH($B63,Settings!$A$22:$A$27,0),17),0))</f>
        <v/>
      </c>
      <c r="U63" s="38">
        <f>IF(OR($B63="",$B63="Land",$C63=""),"",IFERROR($C63*INDEX(Settings!$C$22:$AC$27,MATCH($B63,Settings!$A$22:$A$27,0),18),0))</f>
        <v/>
      </c>
      <c r="V63" s="38">
        <f>IF(OR($B63="",$B63="Land",$C63=""),"",IFERROR($C63*INDEX(Settings!$C$22:$AC$27,MATCH($B63,Settings!$A$22:$A$27,0),19),0))</f>
        <v/>
      </c>
      <c r="W63" s="38">
        <f>IF(OR($B63="",$B63="Land",$C63=""),"",IFERROR($C63*INDEX(Settings!$C$22:$AC$27,MATCH($B63,Settings!$A$22:$A$27,0),20),0))</f>
        <v/>
      </c>
      <c r="X63" s="38">
        <f>IF(OR($B63="",$B63="Land",$C63=""),"",IFERROR($C63*INDEX(Settings!$C$22:$AC$27,MATCH($B63,Settings!$A$22:$A$27,0),21),0))</f>
        <v/>
      </c>
      <c r="Y63" s="38">
        <f>IF(OR($B63="",$B63="Land",$C63=""),"",IFERROR($C63*INDEX(Settings!$C$22:$AC$27,MATCH($B63,Settings!$A$22:$A$27,0),22),0))</f>
        <v/>
      </c>
      <c r="Z63" s="38">
        <f>IF(OR($B63="",$B63="Land",$C63=""),"",IFERROR($C63*INDEX(Settings!$C$22:$AC$27,MATCH($B63,Settings!$A$22:$A$27,0),23),0))</f>
        <v/>
      </c>
      <c r="AA63" s="38">
        <f>IF(OR($B63="",$B63="Land",$C63=""),"",IFERROR($C63*INDEX(Settings!$C$22:$AC$27,MATCH($B63,Settings!$A$22:$A$27,0),24),0))</f>
        <v/>
      </c>
      <c r="AB63" s="38">
        <f>IF(OR($B63="",$B63="Land",$C63=""),"",IFERROR($C63*INDEX(Settings!$C$22:$AC$27,MATCH($B63,Settings!$A$22:$A$27,0),25),0))</f>
        <v/>
      </c>
      <c r="AC63" s="38">
        <f>IF(OR($B63="",$B63="Land",$C63=""),"",IFERROR($C63*INDEX(Settings!$C$22:$AC$27,MATCH($B63,Settings!$A$22:$A$27,0),26),0))</f>
        <v/>
      </c>
      <c r="AD63" s="38">
        <f>IF(OR($B63="",$B63="Land",$C63=""),"",IFERROR($C63*INDEX(Settings!$C$22:$AC$27,MATCH($B63,Settings!$A$22:$A$27,0),27),0))</f>
        <v/>
      </c>
    </row>
    <row r="64" ht="16" customHeight="1">
      <c r="A64" s="37">
        <f>'Asset Register'!A64</f>
        <v/>
      </c>
      <c r="B64" s="34">
        <f>'Asset Register'!E64</f>
        <v/>
      </c>
      <c r="C64" s="33">
        <f>'Asset Register'!J64</f>
        <v/>
      </c>
      <c r="D64" s="38">
        <f>IF(OR($B64="",$B64="Land",$C64=""),"",IFERROR($C64*INDEX(Settings!$C$22:$AC$27,MATCH($B64,Settings!$A$22:$A$27,0),1),0))</f>
        <v/>
      </c>
      <c r="E64" s="38">
        <f>IF(OR($B64="",$B64="Land",$C64=""),"",IFERROR($C64*INDEX(Settings!$C$22:$AC$27,MATCH($B64,Settings!$A$22:$A$27,0),2),0))</f>
        <v/>
      </c>
      <c r="F64" s="38">
        <f>IF(OR($B64="",$B64="Land",$C64=""),"",IFERROR($C64*INDEX(Settings!$C$22:$AC$27,MATCH($B64,Settings!$A$22:$A$27,0),3),0))</f>
        <v/>
      </c>
      <c r="G64" s="38">
        <f>IF(OR($B64="",$B64="Land",$C64=""),"",IFERROR($C64*INDEX(Settings!$C$22:$AC$27,MATCH($B64,Settings!$A$22:$A$27,0),4),0))</f>
        <v/>
      </c>
      <c r="H64" s="38">
        <f>IF(OR($B64="",$B64="Land",$C64=""),"",IFERROR($C64*INDEX(Settings!$C$22:$AC$27,MATCH($B64,Settings!$A$22:$A$27,0),5),0))</f>
        <v/>
      </c>
      <c r="I64" s="38">
        <f>IF(OR($B64="",$B64="Land",$C64=""),"",IFERROR($C64*INDEX(Settings!$C$22:$AC$27,MATCH($B64,Settings!$A$22:$A$27,0),6),0))</f>
        <v/>
      </c>
      <c r="J64" s="38">
        <f>IF(OR($B64="",$B64="Land",$C64=""),"",IFERROR($C64*INDEX(Settings!$C$22:$AC$27,MATCH($B64,Settings!$A$22:$A$27,0),7),0))</f>
        <v/>
      </c>
      <c r="K64" s="38">
        <f>IF(OR($B64="",$B64="Land",$C64=""),"",IFERROR($C64*INDEX(Settings!$C$22:$AC$27,MATCH($B64,Settings!$A$22:$A$27,0),8),0))</f>
        <v/>
      </c>
      <c r="L64" s="38">
        <f>IF(OR($B64="",$B64="Land",$C64=""),"",IFERROR($C64*INDEX(Settings!$C$22:$AC$27,MATCH($B64,Settings!$A$22:$A$27,0),9),0))</f>
        <v/>
      </c>
      <c r="M64" s="38">
        <f>IF(OR($B64="",$B64="Land",$C64=""),"",IFERROR($C64*INDEX(Settings!$C$22:$AC$27,MATCH($B64,Settings!$A$22:$A$27,0),10),0))</f>
        <v/>
      </c>
      <c r="N64" s="38">
        <f>IF(OR($B64="",$B64="Land",$C64=""),"",IFERROR($C64*INDEX(Settings!$C$22:$AC$27,MATCH($B64,Settings!$A$22:$A$27,0),11),0))</f>
        <v/>
      </c>
      <c r="O64" s="38">
        <f>IF(OR($B64="",$B64="Land",$C64=""),"",IFERROR($C64*INDEX(Settings!$C$22:$AC$27,MATCH($B64,Settings!$A$22:$A$27,0),12),0))</f>
        <v/>
      </c>
      <c r="P64" s="38">
        <f>IF(OR($B64="",$B64="Land",$C64=""),"",IFERROR($C64*INDEX(Settings!$C$22:$AC$27,MATCH($B64,Settings!$A$22:$A$27,0),13),0))</f>
        <v/>
      </c>
      <c r="Q64" s="38">
        <f>IF(OR($B64="",$B64="Land",$C64=""),"",IFERROR($C64*INDEX(Settings!$C$22:$AC$27,MATCH($B64,Settings!$A$22:$A$27,0),14),0))</f>
        <v/>
      </c>
      <c r="R64" s="38">
        <f>IF(OR($B64="",$B64="Land",$C64=""),"",IFERROR($C64*INDEX(Settings!$C$22:$AC$27,MATCH($B64,Settings!$A$22:$A$27,0),15),0))</f>
        <v/>
      </c>
      <c r="S64" s="38">
        <f>IF(OR($B64="",$B64="Land",$C64=""),"",IFERROR($C64*INDEX(Settings!$C$22:$AC$27,MATCH($B64,Settings!$A$22:$A$27,0),16),0))</f>
        <v/>
      </c>
      <c r="T64" s="38">
        <f>IF(OR($B64="",$B64="Land",$C64=""),"",IFERROR($C64*INDEX(Settings!$C$22:$AC$27,MATCH($B64,Settings!$A$22:$A$27,0),17),0))</f>
        <v/>
      </c>
      <c r="U64" s="38">
        <f>IF(OR($B64="",$B64="Land",$C64=""),"",IFERROR($C64*INDEX(Settings!$C$22:$AC$27,MATCH($B64,Settings!$A$22:$A$27,0),18),0))</f>
        <v/>
      </c>
      <c r="V64" s="38">
        <f>IF(OR($B64="",$B64="Land",$C64=""),"",IFERROR($C64*INDEX(Settings!$C$22:$AC$27,MATCH($B64,Settings!$A$22:$A$27,0),19),0))</f>
        <v/>
      </c>
      <c r="W64" s="38">
        <f>IF(OR($B64="",$B64="Land",$C64=""),"",IFERROR($C64*INDEX(Settings!$C$22:$AC$27,MATCH($B64,Settings!$A$22:$A$27,0),20),0))</f>
        <v/>
      </c>
      <c r="X64" s="38">
        <f>IF(OR($B64="",$B64="Land",$C64=""),"",IFERROR($C64*INDEX(Settings!$C$22:$AC$27,MATCH($B64,Settings!$A$22:$A$27,0),21),0))</f>
        <v/>
      </c>
      <c r="Y64" s="38">
        <f>IF(OR($B64="",$B64="Land",$C64=""),"",IFERROR($C64*INDEX(Settings!$C$22:$AC$27,MATCH($B64,Settings!$A$22:$A$27,0),22),0))</f>
        <v/>
      </c>
      <c r="Z64" s="38">
        <f>IF(OR($B64="",$B64="Land",$C64=""),"",IFERROR($C64*INDEX(Settings!$C$22:$AC$27,MATCH($B64,Settings!$A$22:$A$27,0),23),0))</f>
        <v/>
      </c>
      <c r="AA64" s="38">
        <f>IF(OR($B64="",$B64="Land",$C64=""),"",IFERROR($C64*INDEX(Settings!$C$22:$AC$27,MATCH($B64,Settings!$A$22:$A$27,0),24),0))</f>
        <v/>
      </c>
      <c r="AB64" s="38">
        <f>IF(OR($B64="",$B64="Land",$C64=""),"",IFERROR($C64*INDEX(Settings!$C$22:$AC$27,MATCH($B64,Settings!$A$22:$A$27,0),25),0))</f>
        <v/>
      </c>
      <c r="AC64" s="38">
        <f>IF(OR($B64="",$B64="Land",$C64=""),"",IFERROR($C64*INDEX(Settings!$C$22:$AC$27,MATCH($B64,Settings!$A$22:$A$27,0),26),0))</f>
        <v/>
      </c>
      <c r="AD64" s="38">
        <f>IF(OR($B64="",$B64="Land",$C64=""),"",IFERROR($C64*INDEX(Settings!$C$22:$AC$27,MATCH($B64,Settings!$A$22:$A$27,0),27),0))</f>
        <v/>
      </c>
    </row>
    <row r="65" ht="16" customHeight="1">
      <c r="A65" s="37">
        <f>'Asset Register'!A65</f>
        <v/>
      </c>
      <c r="B65" s="34">
        <f>'Asset Register'!E65</f>
        <v/>
      </c>
      <c r="C65" s="33">
        <f>'Asset Register'!J65</f>
        <v/>
      </c>
      <c r="D65" s="38">
        <f>IF(OR($B65="",$B65="Land",$C65=""),"",IFERROR($C65*INDEX(Settings!$C$22:$AC$27,MATCH($B65,Settings!$A$22:$A$27,0),1),0))</f>
        <v/>
      </c>
      <c r="E65" s="38">
        <f>IF(OR($B65="",$B65="Land",$C65=""),"",IFERROR($C65*INDEX(Settings!$C$22:$AC$27,MATCH($B65,Settings!$A$22:$A$27,0),2),0))</f>
        <v/>
      </c>
      <c r="F65" s="38">
        <f>IF(OR($B65="",$B65="Land",$C65=""),"",IFERROR($C65*INDEX(Settings!$C$22:$AC$27,MATCH($B65,Settings!$A$22:$A$27,0),3),0))</f>
        <v/>
      </c>
      <c r="G65" s="38">
        <f>IF(OR($B65="",$B65="Land",$C65=""),"",IFERROR($C65*INDEX(Settings!$C$22:$AC$27,MATCH($B65,Settings!$A$22:$A$27,0),4),0))</f>
        <v/>
      </c>
      <c r="H65" s="38">
        <f>IF(OR($B65="",$B65="Land",$C65=""),"",IFERROR($C65*INDEX(Settings!$C$22:$AC$27,MATCH($B65,Settings!$A$22:$A$27,0),5),0))</f>
        <v/>
      </c>
      <c r="I65" s="38">
        <f>IF(OR($B65="",$B65="Land",$C65=""),"",IFERROR($C65*INDEX(Settings!$C$22:$AC$27,MATCH($B65,Settings!$A$22:$A$27,0),6),0))</f>
        <v/>
      </c>
      <c r="J65" s="38">
        <f>IF(OR($B65="",$B65="Land",$C65=""),"",IFERROR($C65*INDEX(Settings!$C$22:$AC$27,MATCH($B65,Settings!$A$22:$A$27,0),7),0))</f>
        <v/>
      </c>
      <c r="K65" s="38">
        <f>IF(OR($B65="",$B65="Land",$C65=""),"",IFERROR($C65*INDEX(Settings!$C$22:$AC$27,MATCH($B65,Settings!$A$22:$A$27,0),8),0))</f>
        <v/>
      </c>
      <c r="L65" s="38">
        <f>IF(OR($B65="",$B65="Land",$C65=""),"",IFERROR($C65*INDEX(Settings!$C$22:$AC$27,MATCH($B65,Settings!$A$22:$A$27,0),9),0))</f>
        <v/>
      </c>
      <c r="M65" s="38">
        <f>IF(OR($B65="",$B65="Land",$C65=""),"",IFERROR($C65*INDEX(Settings!$C$22:$AC$27,MATCH($B65,Settings!$A$22:$A$27,0),10),0))</f>
        <v/>
      </c>
      <c r="N65" s="38">
        <f>IF(OR($B65="",$B65="Land",$C65=""),"",IFERROR($C65*INDEX(Settings!$C$22:$AC$27,MATCH($B65,Settings!$A$22:$A$27,0),11),0))</f>
        <v/>
      </c>
      <c r="O65" s="38">
        <f>IF(OR($B65="",$B65="Land",$C65=""),"",IFERROR($C65*INDEX(Settings!$C$22:$AC$27,MATCH($B65,Settings!$A$22:$A$27,0),12),0))</f>
        <v/>
      </c>
      <c r="P65" s="38">
        <f>IF(OR($B65="",$B65="Land",$C65=""),"",IFERROR($C65*INDEX(Settings!$C$22:$AC$27,MATCH($B65,Settings!$A$22:$A$27,0),13),0))</f>
        <v/>
      </c>
      <c r="Q65" s="38">
        <f>IF(OR($B65="",$B65="Land",$C65=""),"",IFERROR($C65*INDEX(Settings!$C$22:$AC$27,MATCH($B65,Settings!$A$22:$A$27,0),14),0))</f>
        <v/>
      </c>
      <c r="R65" s="38">
        <f>IF(OR($B65="",$B65="Land",$C65=""),"",IFERROR($C65*INDEX(Settings!$C$22:$AC$27,MATCH($B65,Settings!$A$22:$A$27,0),15),0))</f>
        <v/>
      </c>
      <c r="S65" s="38">
        <f>IF(OR($B65="",$B65="Land",$C65=""),"",IFERROR($C65*INDEX(Settings!$C$22:$AC$27,MATCH($B65,Settings!$A$22:$A$27,0),16),0))</f>
        <v/>
      </c>
      <c r="T65" s="38">
        <f>IF(OR($B65="",$B65="Land",$C65=""),"",IFERROR($C65*INDEX(Settings!$C$22:$AC$27,MATCH($B65,Settings!$A$22:$A$27,0),17),0))</f>
        <v/>
      </c>
      <c r="U65" s="38">
        <f>IF(OR($B65="",$B65="Land",$C65=""),"",IFERROR($C65*INDEX(Settings!$C$22:$AC$27,MATCH($B65,Settings!$A$22:$A$27,0),18),0))</f>
        <v/>
      </c>
      <c r="V65" s="38">
        <f>IF(OR($B65="",$B65="Land",$C65=""),"",IFERROR($C65*INDEX(Settings!$C$22:$AC$27,MATCH($B65,Settings!$A$22:$A$27,0),19),0))</f>
        <v/>
      </c>
      <c r="W65" s="38">
        <f>IF(OR($B65="",$B65="Land",$C65=""),"",IFERROR($C65*INDEX(Settings!$C$22:$AC$27,MATCH($B65,Settings!$A$22:$A$27,0),20),0))</f>
        <v/>
      </c>
      <c r="X65" s="38">
        <f>IF(OR($B65="",$B65="Land",$C65=""),"",IFERROR($C65*INDEX(Settings!$C$22:$AC$27,MATCH($B65,Settings!$A$22:$A$27,0),21),0))</f>
        <v/>
      </c>
      <c r="Y65" s="38">
        <f>IF(OR($B65="",$B65="Land",$C65=""),"",IFERROR($C65*INDEX(Settings!$C$22:$AC$27,MATCH($B65,Settings!$A$22:$A$27,0),22),0))</f>
        <v/>
      </c>
      <c r="Z65" s="38">
        <f>IF(OR($B65="",$B65="Land",$C65=""),"",IFERROR($C65*INDEX(Settings!$C$22:$AC$27,MATCH($B65,Settings!$A$22:$A$27,0),23),0))</f>
        <v/>
      </c>
      <c r="AA65" s="38">
        <f>IF(OR($B65="",$B65="Land",$C65=""),"",IFERROR($C65*INDEX(Settings!$C$22:$AC$27,MATCH($B65,Settings!$A$22:$A$27,0),24),0))</f>
        <v/>
      </c>
      <c r="AB65" s="38">
        <f>IF(OR($B65="",$B65="Land",$C65=""),"",IFERROR($C65*INDEX(Settings!$C$22:$AC$27,MATCH($B65,Settings!$A$22:$A$27,0),25),0))</f>
        <v/>
      </c>
      <c r="AC65" s="38">
        <f>IF(OR($B65="",$B65="Land",$C65=""),"",IFERROR($C65*INDEX(Settings!$C$22:$AC$27,MATCH($B65,Settings!$A$22:$A$27,0),26),0))</f>
        <v/>
      </c>
      <c r="AD65" s="38">
        <f>IF(OR($B65="",$B65="Land",$C65=""),"",IFERROR($C65*INDEX(Settings!$C$22:$AC$27,MATCH($B65,Settings!$A$22:$A$27,0),27),0))</f>
        <v/>
      </c>
    </row>
    <row r="66" ht="16" customHeight="1">
      <c r="A66" s="37">
        <f>'Asset Register'!A66</f>
        <v/>
      </c>
      <c r="B66" s="34">
        <f>'Asset Register'!E66</f>
        <v/>
      </c>
      <c r="C66" s="33">
        <f>'Asset Register'!J66</f>
        <v/>
      </c>
      <c r="D66" s="38">
        <f>IF(OR($B66="",$B66="Land",$C66=""),"",IFERROR($C66*INDEX(Settings!$C$22:$AC$27,MATCH($B66,Settings!$A$22:$A$27,0),1),0))</f>
        <v/>
      </c>
      <c r="E66" s="38">
        <f>IF(OR($B66="",$B66="Land",$C66=""),"",IFERROR($C66*INDEX(Settings!$C$22:$AC$27,MATCH($B66,Settings!$A$22:$A$27,0),2),0))</f>
        <v/>
      </c>
      <c r="F66" s="38">
        <f>IF(OR($B66="",$B66="Land",$C66=""),"",IFERROR($C66*INDEX(Settings!$C$22:$AC$27,MATCH($B66,Settings!$A$22:$A$27,0),3),0))</f>
        <v/>
      </c>
      <c r="G66" s="38">
        <f>IF(OR($B66="",$B66="Land",$C66=""),"",IFERROR($C66*INDEX(Settings!$C$22:$AC$27,MATCH($B66,Settings!$A$22:$A$27,0),4),0))</f>
        <v/>
      </c>
      <c r="H66" s="38">
        <f>IF(OR($B66="",$B66="Land",$C66=""),"",IFERROR($C66*INDEX(Settings!$C$22:$AC$27,MATCH($B66,Settings!$A$22:$A$27,0),5),0))</f>
        <v/>
      </c>
      <c r="I66" s="38">
        <f>IF(OR($B66="",$B66="Land",$C66=""),"",IFERROR($C66*INDEX(Settings!$C$22:$AC$27,MATCH($B66,Settings!$A$22:$A$27,0),6),0))</f>
        <v/>
      </c>
      <c r="J66" s="38">
        <f>IF(OR($B66="",$B66="Land",$C66=""),"",IFERROR($C66*INDEX(Settings!$C$22:$AC$27,MATCH($B66,Settings!$A$22:$A$27,0),7),0))</f>
        <v/>
      </c>
      <c r="K66" s="38">
        <f>IF(OR($B66="",$B66="Land",$C66=""),"",IFERROR($C66*INDEX(Settings!$C$22:$AC$27,MATCH($B66,Settings!$A$22:$A$27,0),8),0))</f>
        <v/>
      </c>
      <c r="L66" s="38">
        <f>IF(OR($B66="",$B66="Land",$C66=""),"",IFERROR($C66*INDEX(Settings!$C$22:$AC$27,MATCH($B66,Settings!$A$22:$A$27,0),9),0))</f>
        <v/>
      </c>
      <c r="M66" s="38">
        <f>IF(OR($B66="",$B66="Land",$C66=""),"",IFERROR($C66*INDEX(Settings!$C$22:$AC$27,MATCH($B66,Settings!$A$22:$A$27,0),10),0))</f>
        <v/>
      </c>
      <c r="N66" s="38">
        <f>IF(OR($B66="",$B66="Land",$C66=""),"",IFERROR($C66*INDEX(Settings!$C$22:$AC$27,MATCH($B66,Settings!$A$22:$A$27,0),11),0))</f>
        <v/>
      </c>
      <c r="O66" s="38">
        <f>IF(OR($B66="",$B66="Land",$C66=""),"",IFERROR($C66*INDEX(Settings!$C$22:$AC$27,MATCH($B66,Settings!$A$22:$A$27,0),12),0))</f>
        <v/>
      </c>
      <c r="P66" s="38">
        <f>IF(OR($B66="",$B66="Land",$C66=""),"",IFERROR($C66*INDEX(Settings!$C$22:$AC$27,MATCH($B66,Settings!$A$22:$A$27,0),13),0))</f>
        <v/>
      </c>
      <c r="Q66" s="38">
        <f>IF(OR($B66="",$B66="Land",$C66=""),"",IFERROR($C66*INDEX(Settings!$C$22:$AC$27,MATCH($B66,Settings!$A$22:$A$27,0),14),0))</f>
        <v/>
      </c>
      <c r="R66" s="38">
        <f>IF(OR($B66="",$B66="Land",$C66=""),"",IFERROR($C66*INDEX(Settings!$C$22:$AC$27,MATCH($B66,Settings!$A$22:$A$27,0),15),0))</f>
        <v/>
      </c>
      <c r="S66" s="38">
        <f>IF(OR($B66="",$B66="Land",$C66=""),"",IFERROR($C66*INDEX(Settings!$C$22:$AC$27,MATCH($B66,Settings!$A$22:$A$27,0),16),0))</f>
        <v/>
      </c>
      <c r="T66" s="38">
        <f>IF(OR($B66="",$B66="Land",$C66=""),"",IFERROR($C66*INDEX(Settings!$C$22:$AC$27,MATCH($B66,Settings!$A$22:$A$27,0),17),0))</f>
        <v/>
      </c>
      <c r="U66" s="38">
        <f>IF(OR($B66="",$B66="Land",$C66=""),"",IFERROR($C66*INDEX(Settings!$C$22:$AC$27,MATCH($B66,Settings!$A$22:$A$27,0),18),0))</f>
        <v/>
      </c>
      <c r="V66" s="38">
        <f>IF(OR($B66="",$B66="Land",$C66=""),"",IFERROR($C66*INDEX(Settings!$C$22:$AC$27,MATCH($B66,Settings!$A$22:$A$27,0),19),0))</f>
        <v/>
      </c>
      <c r="W66" s="38">
        <f>IF(OR($B66="",$B66="Land",$C66=""),"",IFERROR($C66*INDEX(Settings!$C$22:$AC$27,MATCH($B66,Settings!$A$22:$A$27,0),20),0))</f>
        <v/>
      </c>
      <c r="X66" s="38">
        <f>IF(OR($B66="",$B66="Land",$C66=""),"",IFERROR($C66*INDEX(Settings!$C$22:$AC$27,MATCH($B66,Settings!$A$22:$A$27,0),21),0))</f>
        <v/>
      </c>
      <c r="Y66" s="38">
        <f>IF(OR($B66="",$B66="Land",$C66=""),"",IFERROR($C66*INDEX(Settings!$C$22:$AC$27,MATCH($B66,Settings!$A$22:$A$27,0),22),0))</f>
        <v/>
      </c>
      <c r="Z66" s="38">
        <f>IF(OR($B66="",$B66="Land",$C66=""),"",IFERROR($C66*INDEX(Settings!$C$22:$AC$27,MATCH($B66,Settings!$A$22:$A$27,0),23),0))</f>
        <v/>
      </c>
      <c r="AA66" s="38">
        <f>IF(OR($B66="",$B66="Land",$C66=""),"",IFERROR($C66*INDEX(Settings!$C$22:$AC$27,MATCH($B66,Settings!$A$22:$A$27,0),24),0))</f>
        <v/>
      </c>
      <c r="AB66" s="38">
        <f>IF(OR($B66="",$B66="Land",$C66=""),"",IFERROR($C66*INDEX(Settings!$C$22:$AC$27,MATCH($B66,Settings!$A$22:$A$27,0),25),0))</f>
        <v/>
      </c>
      <c r="AC66" s="38">
        <f>IF(OR($B66="",$B66="Land",$C66=""),"",IFERROR($C66*INDEX(Settings!$C$22:$AC$27,MATCH($B66,Settings!$A$22:$A$27,0),26),0))</f>
        <v/>
      </c>
      <c r="AD66" s="38">
        <f>IF(OR($B66="",$B66="Land",$C66=""),"",IFERROR($C66*INDEX(Settings!$C$22:$AC$27,MATCH($B66,Settings!$A$22:$A$27,0),27),0))</f>
        <v/>
      </c>
    </row>
    <row r="67" ht="16" customHeight="1">
      <c r="A67" s="37">
        <f>'Asset Register'!A67</f>
        <v/>
      </c>
      <c r="B67" s="34">
        <f>'Asset Register'!E67</f>
        <v/>
      </c>
      <c r="C67" s="33">
        <f>'Asset Register'!J67</f>
        <v/>
      </c>
      <c r="D67" s="38">
        <f>IF(OR($B67="",$B67="Land",$C67=""),"",IFERROR($C67*INDEX(Settings!$C$22:$AC$27,MATCH($B67,Settings!$A$22:$A$27,0),1),0))</f>
        <v/>
      </c>
      <c r="E67" s="38">
        <f>IF(OR($B67="",$B67="Land",$C67=""),"",IFERROR($C67*INDEX(Settings!$C$22:$AC$27,MATCH($B67,Settings!$A$22:$A$27,0),2),0))</f>
        <v/>
      </c>
      <c r="F67" s="38">
        <f>IF(OR($B67="",$B67="Land",$C67=""),"",IFERROR($C67*INDEX(Settings!$C$22:$AC$27,MATCH($B67,Settings!$A$22:$A$27,0),3),0))</f>
        <v/>
      </c>
      <c r="G67" s="38">
        <f>IF(OR($B67="",$B67="Land",$C67=""),"",IFERROR($C67*INDEX(Settings!$C$22:$AC$27,MATCH($B67,Settings!$A$22:$A$27,0),4),0))</f>
        <v/>
      </c>
      <c r="H67" s="38">
        <f>IF(OR($B67="",$B67="Land",$C67=""),"",IFERROR($C67*INDEX(Settings!$C$22:$AC$27,MATCH($B67,Settings!$A$22:$A$27,0),5),0))</f>
        <v/>
      </c>
      <c r="I67" s="38">
        <f>IF(OR($B67="",$B67="Land",$C67=""),"",IFERROR($C67*INDEX(Settings!$C$22:$AC$27,MATCH($B67,Settings!$A$22:$A$27,0),6),0))</f>
        <v/>
      </c>
      <c r="J67" s="38">
        <f>IF(OR($B67="",$B67="Land",$C67=""),"",IFERROR($C67*INDEX(Settings!$C$22:$AC$27,MATCH($B67,Settings!$A$22:$A$27,0),7),0))</f>
        <v/>
      </c>
      <c r="K67" s="38">
        <f>IF(OR($B67="",$B67="Land",$C67=""),"",IFERROR($C67*INDEX(Settings!$C$22:$AC$27,MATCH($B67,Settings!$A$22:$A$27,0),8),0))</f>
        <v/>
      </c>
      <c r="L67" s="38">
        <f>IF(OR($B67="",$B67="Land",$C67=""),"",IFERROR($C67*INDEX(Settings!$C$22:$AC$27,MATCH($B67,Settings!$A$22:$A$27,0),9),0))</f>
        <v/>
      </c>
      <c r="M67" s="38">
        <f>IF(OR($B67="",$B67="Land",$C67=""),"",IFERROR($C67*INDEX(Settings!$C$22:$AC$27,MATCH($B67,Settings!$A$22:$A$27,0),10),0))</f>
        <v/>
      </c>
      <c r="N67" s="38">
        <f>IF(OR($B67="",$B67="Land",$C67=""),"",IFERROR($C67*INDEX(Settings!$C$22:$AC$27,MATCH($B67,Settings!$A$22:$A$27,0),11),0))</f>
        <v/>
      </c>
      <c r="O67" s="38">
        <f>IF(OR($B67="",$B67="Land",$C67=""),"",IFERROR($C67*INDEX(Settings!$C$22:$AC$27,MATCH($B67,Settings!$A$22:$A$27,0),12),0))</f>
        <v/>
      </c>
      <c r="P67" s="38">
        <f>IF(OR($B67="",$B67="Land",$C67=""),"",IFERROR($C67*INDEX(Settings!$C$22:$AC$27,MATCH($B67,Settings!$A$22:$A$27,0),13),0))</f>
        <v/>
      </c>
      <c r="Q67" s="38">
        <f>IF(OR($B67="",$B67="Land",$C67=""),"",IFERROR($C67*INDEX(Settings!$C$22:$AC$27,MATCH($B67,Settings!$A$22:$A$27,0),14),0))</f>
        <v/>
      </c>
      <c r="R67" s="38">
        <f>IF(OR($B67="",$B67="Land",$C67=""),"",IFERROR($C67*INDEX(Settings!$C$22:$AC$27,MATCH($B67,Settings!$A$22:$A$27,0),15),0))</f>
        <v/>
      </c>
      <c r="S67" s="38">
        <f>IF(OR($B67="",$B67="Land",$C67=""),"",IFERROR($C67*INDEX(Settings!$C$22:$AC$27,MATCH($B67,Settings!$A$22:$A$27,0),16),0))</f>
        <v/>
      </c>
      <c r="T67" s="38">
        <f>IF(OR($B67="",$B67="Land",$C67=""),"",IFERROR($C67*INDEX(Settings!$C$22:$AC$27,MATCH($B67,Settings!$A$22:$A$27,0),17),0))</f>
        <v/>
      </c>
      <c r="U67" s="38">
        <f>IF(OR($B67="",$B67="Land",$C67=""),"",IFERROR($C67*INDEX(Settings!$C$22:$AC$27,MATCH($B67,Settings!$A$22:$A$27,0),18),0))</f>
        <v/>
      </c>
      <c r="V67" s="38">
        <f>IF(OR($B67="",$B67="Land",$C67=""),"",IFERROR($C67*INDEX(Settings!$C$22:$AC$27,MATCH($B67,Settings!$A$22:$A$27,0),19),0))</f>
        <v/>
      </c>
      <c r="W67" s="38">
        <f>IF(OR($B67="",$B67="Land",$C67=""),"",IFERROR($C67*INDEX(Settings!$C$22:$AC$27,MATCH($B67,Settings!$A$22:$A$27,0),20),0))</f>
        <v/>
      </c>
      <c r="X67" s="38">
        <f>IF(OR($B67="",$B67="Land",$C67=""),"",IFERROR($C67*INDEX(Settings!$C$22:$AC$27,MATCH($B67,Settings!$A$22:$A$27,0),21),0))</f>
        <v/>
      </c>
      <c r="Y67" s="38">
        <f>IF(OR($B67="",$B67="Land",$C67=""),"",IFERROR($C67*INDEX(Settings!$C$22:$AC$27,MATCH($B67,Settings!$A$22:$A$27,0),22),0))</f>
        <v/>
      </c>
      <c r="Z67" s="38">
        <f>IF(OR($B67="",$B67="Land",$C67=""),"",IFERROR($C67*INDEX(Settings!$C$22:$AC$27,MATCH($B67,Settings!$A$22:$A$27,0),23),0))</f>
        <v/>
      </c>
      <c r="AA67" s="38">
        <f>IF(OR($B67="",$B67="Land",$C67=""),"",IFERROR($C67*INDEX(Settings!$C$22:$AC$27,MATCH($B67,Settings!$A$22:$A$27,0),24),0))</f>
        <v/>
      </c>
      <c r="AB67" s="38">
        <f>IF(OR($B67="",$B67="Land",$C67=""),"",IFERROR($C67*INDEX(Settings!$C$22:$AC$27,MATCH($B67,Settings!$A$22:$A$27,0),25),0))</f>
        <v/>
      </c>
      <c r="AC67" s="38">
        <f>IF(OR($B67="",$B67="Land",$C67=""),"",IFERROR($C67*INDEX(Settings!$C$22:$AC$27,MATCH($B67,Settings!$A$22:$A$27,0),26),0))</f>
        <v/>
      </c>
      <c r="AD67" s="38">
        <f>IF(OR($B67="",$B67="Land",$C67=""),"",IFERROR($C67*INDEX(Settings!$C$22:$AC$27,MATCH($B67,Settings!$A$22:$A$27,0),27),0))</f>
        <v/>
      </c>
    </row>
    <row r="68" ht="16" customHeight="1">
      <c r="A68" s="37">
        <f>'Asset Register'!A68</f>
        <v/>
      </c>
      <c r="B68" s="34">
        <f>'Asset Register'!E68</f>
        <v/>
      </c>
      <c r="C68" s="33">
        <f>'Asset Register'!J68</f>
        <v/>
      </c>
      <c r="D68" s="38">
        <f>IF(OR($B68="",$B68="Land",$C68=""),"",IFERROR($C68*INDEX(Settings!$C$22:$AC$27,MATCH($B68,Settings!$A$22:$A$27,0),1),0))</f>
        <v/>
      </c>
      <c r="E68" s="38">
        <f>IF(OR($B68="",$B68="Land",$C68=""),"",IFERROR($C68*INDEX(Settings!$C$22:$AC$27,MATCH($B68,Settings!$A$22:$A$27,0),2),0))</f>
        <v/>
      </c>
      <c r="F68" s="38">
        <f>IF(OR($B68="",$B68="Land",$C68=""),"",IFERROR($C68*INDEX(Settings!$C$22:$AC$27,MATCH($B68,Settings!$A$22:$A$27,0),3),0))</f>
        <v/>
      </c>
      <c r="G68" s="38">
        <f>IF(OR($B68="",$B68="Land",$C68=""),"",IFERROR($C68*INDEX(Settings!$C$22:$AC$27,MATCH($B68,Settings!$A$22:$A$27,0),4),0))</f>
        <v/>
      </c>
      <c r="H68" s="38">
        <f>IF(OR($B68="",$B68="Land",$C68=""),"",IFERROR($C68*INDEX(Settings!$C$22:$AC$27,MATCH($B68,Settings!$A$22:$A$27,0),5),0))</f>
        <v/>
      </c>
      <c r="I68" s="38">
        <f>IF(OR($B68="",$B68="Land",$C68=""),"",IFERROR($C68*INDEX(Settings!$C$22:$AC$27,MATCH($B68,Settings!$A$22:$A$27,0),6),0))</f>
        <v/>
      </c>
      <c r="J68" s="38">
        <f>IF(OR($B68="",$B68="Land",$C68=""),"",IFERROR($C68*INDEX(Settings!$C$22:$AC$27,MATCH($B68,Settings!$A$22:$A$27,0),7),0))</f>
        <v/>
      </c>
      <c r="K68" s="38">
        <f>IF(OR($B68="",$B68="Land",$C68=""),"",IFERROR($C68*INDEX(Settings!$C$22:$AC$27,MATCH($B68,Settings!$A$22:$A$27,0),8),0))</f>
        <v/>
      </c>
      <c r="L68" s="38">
        <f>IF(OR($B68="",$B68="Land",$C68=""),"",IFERROR($C68*INDEX(Settings!$C$22:$AC$27,MATCH($B68,Settings!$A$22:$A$27,0),9),0))</f>
        <v/>
      </c>
      <c r="M68" s="38">
        <f>IF(OR($B68="",$B68="Land",$C68=""),"",IFERROR($C68*INDEX(Settings!$C$22:$AC$27,MATCH($B68,Settings!$A$22:$A$27,0),10),0))</f>
        <v/>
      </c>
      <c r="N68" s="38">
        <f>IF(OR($B68="",$B68="Land",$C68=""),"",IFERROR($C68*INDEX(Settings!$C$22:$AC$27,MATCH($B68,Settings!$A$22:$A$27,0),11),0))</f>
        <v/>
      </c>
      <c r="O68" s="38">
        <f>IF(OR($B68="",$B68="Land",$C68=""),"",IFERROR($C68*INDEX(Settings!$C$22:$AC$27,MATCH($B68,Settings!$A$22:$A$27,0),12),0))</f>
        <v/>
      </c>
      <c r="P68" s="38">
        <f>IF(OR($B68="",$B68="Land",$C68=""),"",IFERROR($C68*INDEX(Settings!$C$22:$AC$27,MATCH($B68,Settings!$A$22:$A$27,0),13),0))</f>
        <v/>
      </c>
      <c r="Q68" s="38">
        <f>IF(OR($B68="",$B68="Land",$C68=""),"",IFERROR($C68*INDEX(Settings!$C$22:$AC$27,MATCH($B68,Settings!$A$22:$A$27,0),14),0))</f>
        <v/>
      </c>
      <c r="R68" s="38">
        <f>IF(OR($B68="",$B68="Land",$C68=""),"",IFERROR($C68*INDEX(Settings!$C$22:$AC$27,MATCH($B68,Settings!$A$22:$A$27,0),15),0))</f>
        <v/>
      </c>
      <c r="S68" s="38">
        <f>IF(OR($B68="",$B68="Land",$C68=""),"",IFERROR($C68*INDEX(Settings!$C$22:$AC$27,MATCH($B68,Settings!$A$22:$A$27,0),16),0))</f>
        <v/>
      </c>
      <c r="T68" s="38">
        <f>IF(OR($B68="",$B68="Land",$C68=""),"",IFERROR($C68*INDEX(Settings!$C$22:$AC$27,MATCH($B68,Settings!$A$22:$A$27,0),17),0))</f>
        <v/>
      </c>
      <c r="U68" s="38">
        <f>IF(OR($B68="",$B68="Land",$C68=""),"",IFERROR($C68*INDEX(Settings!$C$22:$AC$27,MATCH($B68,Settings!$A$22:$A$27,0),18),0))</f>
        <v/>
      </c>
      <c r="V68" s="38">
        <f>IF(OR($B68="",$B68="Land",$C68=""),"",IFERROR($C68*INDEX(Settings!$C$22:$AC$27,MATCH($B68,Settings!$A$22:$A$27,0),19),0))</f>
        <v/>
      </c>
      <c r="W68" s="38">
        <f>IF(OR($B68="",$B68="Land",$C68=""),"",IFERROR($C68*INDEX(Settings!$C$22:$AC$27,MATCH($B68,Settings!$A$22:$A$27,0),20),0))</f>
        <v/>
      </c>
      <c r="X68" s="38">
        <f>IF(OR($B68="",$B68="Land",$C68=""),"",IFERROR($C68*INDEX(Settings!$C$22:$AC$27,MATCH($B68,Settings!$A$22:$A$27,0),21),0))</f>
        <v/>
      </c>
      <c r="Y68" s="38">
        <f>IF(OR($B68="",$B68="Land",$C68=""),"",IFERROR($C68*INDEX(Settings!$C$22:$AC$27,MATCH($B68,Settings!$A$22:$A$27,0),22),0))</f>
        <v/>
      </c>
      <c r="Z68" s="38">
        <f>IF(OR($B68="",$B68="Land",$C68=""),"",IFERROR($C68*INDEX(Settings!$C$22:$AC$27,MATCH($B68,Settings!$A$22:$A$27,0),23),0))</f>
        <v/>
      </c>
      <c r="AA68" s="38">
        <f>IF(OR($B68="",$B68="Land",$C68=""),"",IFERROR($C68*INDEX(Settings!$C$22:$AC$27,MATCH($B68,Settings!$A$22:$A$27,0),24),0))</f>
        <v/>
      </c>
      <c r="AB68" s="38">
        <f>IF(OR($B68="",$B68="Land",$C68=""),"",IFERROR($C68*INDEX(Settings!$C$22:$AC$27,MATCH($B68,Settings!$A$22:$A$27,0),25),0))</f>
        <v/>
      </c>
      <c r="AC68" s="38">
        <f>IF(OR($B68="",$B68="Land",$C68=""),"",IFERROR($C68*INDEX(Settings!$C$22:$AC$27,MATCH($B68,Settings!$A$22:$A$27,0),26),0))</f>
        <v/>
      </c>
      <c r="AD68" s="38">
        <f>IF(OR($B68="",$B68="Land",$C68=""),"",IFERROR($C68*INDEX(Settings!$C$22:$AC$27,MATCH($B68,Settings!$A$22:$A$27,0),27),0))</f>
        <v/>
      </c>
    </row>
    <row r="69" ht="16" customHeight="1">
      <c r="A69" s="37">
        <f>'Asset Register'!A69</f>
        <v/>
      </c>
      <c r="B69" s="34">
        <f>'Asset Register'!E69</f>
        <v/>
      </c>
      <c r="C69" s="33">
        <f>'Asset Register'!J69</f>
        <v/>
      </c>
      <c r="D69" s="38">
        <f>IF(OR($B69="",$B69="Land",$C69=""),"",IFERROR($C69*INDEX(Settings!$C$22:$AC$27,MATCH($B69,Settings!$A$22:$A$27,0),1),0))</f>
        <v/>
      </c>
      <c r="E69" s="38">
        <f>IF(OR($B69="",$B69="Land",$C69=""),"",IFERROR($C69*INDEX(Settings!$C$22:$AC$27,MATCH($B69,Settings!$A$22:$A$27,0),2),0))</f>
        <v/>
      </c>
      <c r="F69" s="38">
        <f>IF(OR($B69="",$B69="Land",$C69=""),"",IFERROR($C69*INDEX(Settings!$C$22:$AC$27,MATCH($B69,Settings!$A$22:$A$27,0),3),0))</f>
        <v/>
      </c>
      <c r="G69" s="38">
        <f>IF(OR($B69="",$B69="Land",$C69=""),"",IFERROR($C69*INDEX(Settings!$C$22:$AC$27,MATCH($B69,Settings!$A$22:$A$27,0),4),0))</f>
        <v/>
      </c>
      <c r="H69" s="38">
        <f>IF(OR($B69="",$B69="Land",$C69=""),"",IFERROR($C69*INDEX(Settings!$C$22:$AC$27,MATCH($B69,Settings!$A$22:$A$27,0),5),0))</f>
        <v/>
      </c>
      <c r="I69" s="38">
        <f>IF(OR($B69="",$B69="Land",$C69=""),"",IFERROR($C69*INDEX(Settings!$C$22:$AC$27,MATCH($B69,Settings!$A$22:$A$27,0),6),0))</f>
        <v/>
      </c>
      <c r="J69" s="38">
        <f>IF(OR($B69="",$B69="Land",$C69=""),"",IFERROR($C69*INDEX(Settings!$C$22:$AC$27,MATCH($B69,Settings!$A$22:$A$27,0),7),0))</f>
        <v/>
      </c>
      <c r="K69" s="38">
        <f>IF(OR($B69="",$B69="Land",$C69=""),"",IFERROR($C69*INDEX(Settings!$C$22:$AC$27,MATCH($B69,Settings!$A$22:$A$27,0),8),0))</f>
        <v/>
      </c>
      <c r="L69" s="38">
        <f>IF(OR($B69="",$B69="Land",$C69=""),"",IFERROR($C69*INDEX(Settings!$C$22:$AC$27,MATCH($B69,Settings!$A$22:$A$27,0),9),0))</f>
        <v/>
      </c>
      <c r="M69" s="38">
        <f>IF(OR($B69="",$B69="Land",$C69=""),"",IFERROR($C69*INDEX(Settings!$C$22:$AC$27,MATCH($B69,Settings!$A$22:$A$27,0),10),0))</f>
        <v/>
      </c>
      <c r="N69" s="38">
        <f>IF(OR($B69="",$B69="Land",$C69=""),"",IFERROR($C69*INDEX(Settings!$C$22:$AC$27,MATCH($B69,Settings!$A$22:$A$27,0),11),0))</f>
        <v/>
      </c>
      <c r="O69" s="38">
        <f>IF(OR($B69="",$B69="Land",$C69=""),"",IFERROR($C69*INDEX(Settings!$C$22:$AC$27,MATCH($B69,Settings!$A$22:$A$27,0),12),0))</f>
        <v/>
      </c>
      <c r="P69" s="38">
        <f>IF(OR($B69="",$B69="Land",$C69=""),"",IFERROR($C69*INDEX(Settings!$C$22:$AC$27,MATCH($B69,Settings!$A$22:$A$27,0),13),0))</f>
        <v/>
      </c>
      <c r="Q69" s="38">
        <f>IF(OR($B69="",$B69="Land",$C69=""),"",IFERROR($C69*INDEX(Settings!$C$22:$AC$27,MATCH($B69,Settings!$A$22:$A$27,0),14),0))</f>
        <v/>
      </c>
      <c r="R69" s="38">
        <f>IF(OR($B69="",$B69="Land",$C69=""),"",IFERROR($C69*INDEX(Settings!$C$22:$AC$27,MATCH($B69,Settings!$A$22:$A$27,0),15),0))</f>
        <v/>
      </c>
      <c r="S69" s="38">
        <f>IF(OR($B69="",$B69="Land",$C69=""),"",IFERROR($C69*INDEX(Settings!$C$22:$AC$27,MATCH($B69,Settings!$A$22:$A$27,0),16),0))</f>
        <v/>
      </c>
      <c r="T69" s="38">
        <f>IF(OR($B69="",$B69="Land",$C69=""),"",IFERROR($C69*INDEX(Settings!$C$22:$AC$27,MATCH($B69,Settings!$A$22:$A$27,0),17),0))</f>
        <v/>
      </c>
      <c r="U69" s="38">
        <f>IF(OR($B69="",$B69="Land",$C69=""),"",IFERROR($C69*INDEX(Settings!$C$22:$AC$27,MATCH($B69,Settings!$A$22:$A$27,0),18),0))</f>
        <v/>
      </c>
      <c r="V69" s="38">
        <f>IF(OR($B69="",$B69="Land",$C69=""),"",IFERROR($C69*INDEX(Settings!$C$22:$AC$27,MATCH($B69,Settings!$A$22:$A$27,0),19),0))</f>
        <v/>
      </c>
      <c r="W69" s="38">
        <f>IF(OR($B69="",$B69="Land",$C69=""),"",IFERROR($C69*INDEX(Settings!$C$22:$AC$27,MATCH($B69,Settings!$A$22:$A$27,0),20),0))</f>
        <v/>
      </c>
      <c r="X69" s="38">
        <f>IF(OR($B69="",$B69="Land",$C69=""),"",IFERROR($C69*INDEX(Settings!$C$22:$AC$27,MATCH($B69,Settings!$A$22:$A$27,0),21),0))</f>
        <v/>
      </c>
      <c r="Y69" s="38">
        <f>IF(OR($B69="",$B69="Land",$C69=""),"",IFERROR($C69*INDEX(Settings!$C$22:$AC$27,MATCH($B69,Settings!$A$22:$A$27,0),22),0))</f>
        <v/>
      </c>
      <c r="Z69" s="38">
        <f>IF(OR($B69="",$B69="Land",$C69=""),"",IFERROR($C69*INDEX(Settings!$C$22:$AC$27,MATCH($B69,Settings!$A$22:$A$27,0),23),0))</f>
        <v/>
      </c>
      <c r="AA69" s="38">
        <f>IF(OR($B69="",$B69="Land",$C69=""),"",IFERROR($C69*INDEX(Settings!$C$22:$AC$27,MATCH($B69,Settings!$A$22:$A$27,0),24),0))</f>
        <v/>
      </c>
      <c r="AB69" s="38">
        <f>IF(OR($B69="",$B69="Land",$C69=""),"",IFERROR($C69*INDEX(Settings!$C$22:$AC$27,MATCH($B69,Settings!$A$22:$A$27,0),25),0))</f>
        <v/>
      </c>
      <c r="AC69" s="38">
        <f>IF(OR($B69="",$B69="Land",$C69=""),"",IFERROR($C69*INDEX(Settings!$C$22:$AC$27,MATCH($B69,Settings!$A$22:$A$27,0),26),0))</f>
        <v/>
      </c>
      <c r="AD69" s="38">
        <f>IF(OR($B69="",$B69="Land",$C69=""),"",IFERROR($C69*INDEX(Settings!$C$22:$AC$27,MATCH($B69,Settings!$A$22:$A$27,0),27),0))</f>
        <v/>
      </c>
    </row>
    <row r="70" ht="16" customHeight="1">
      <c r="A70" s="37">
        <f>'Asset Register'!A70</f>
        <v/>
      </c>
      <c r="B70" s="34">
        <f>'Asset Register'!E70</f>
        <v/>
      </c>
      <c r="C70" s="33">
        <f>'Asset Register'!J70</f>
        <v/>
      </c>
      <c r="D70" s="38">
        <f>IF(OR($B70="",$B70="Land",$C70=""),"",IFERROR($C70*INDEX(Settings!$C$22:$AC$27,MATCH($B70,Settings!$A$22:$A$27,0),1),0))</f>
        <v/>
      </c>
      <c r="E70" s="38">
        <f>IF(OR($B70="",$B70="Land",$C70=""),"",IFERROR($C70*INDEX(Settings!$C$22:$AC$27,MATCH($B70,Settings!$A$22:$A$27,0),2),0))</f>
        <v/>
      </c>
      <c r="F70" s="38">
        <f>IF(OR($B70="",$B70="Land",$C70=""),"",IFERROR($C70*INDEX(Settings!$C$22:$AC$27,MATCH($B70,Settings!$A$22:$A$27,0),3),0))</f>
        <v/>
      </c>
      <c r="G70" s="38">
        <f>IF(OR($B70="",$B70="Land",$C70=""),"",IFERROR($C70*INDEX(Settings!$C$22:$AC$27,MATCH($B70,Settings!$A$22:$A$27,0),4),0))</f>
        <v/>
      </c>
      <c r="H70" s="38">
        <f>IF(OR($B70="",$B70="Land",$C70=""),"",IFERROR($C70*INDEX(Settings!$C$22:$AC$27,MATCH($B70,Settings!$A$22:$A$27,0),5),0))</f>
        <v/>
      </c>
      <c r="I70" s="38">
        <f>IF(OR($B70="",$B70="Land",$C70=""),"",IFERROR($C70*INDEX(Settings!$C$22:$AC$27,MATCH($B70,Settings!$A$22:$A$27,0),6),0))</f>
        <v/>
      </c>
      <c r="J70" s="38">
        <f>IF(OR($B70="",$B70="Land",$C70=""),"",IFERROR($C70*INDEX(Settings!$C$22:$AC$27,MATCH($B70,Settings!$A$22:$A$27,0),7),0))</f>
        <v/>
      </c>
      <c r="K70" s="38">
        <f>IF(OR($B70="",$B70="Land",$C70=""),"",IFERROR($C70*INDEX(Settings!$C$22:$AC$27,MATCH($B70,Settings!$A$22:$A$27,0),8),0))</f>
        <v/>
      </c>
      <c r="L70" s="38">
        <f>IF(OR($B70="",$B70="Land",$C70=""),"",IFERROR($C70*INDEX(Settings!$C$22:$AC$27,MATCH($B70,Settings!$A$22:$A$27,0),9),0))</f>
        <v/>
      </c>
      <c r="M70" s="38">
        <f>IF(OR($B70="",$B70="Land",$C70=""),"",IFERROR($C70*INDEX(Settings!$C$22:$AC$27,MATCH($B70,Settings!$A$22:$A$27,0),10),0))</f>
        <v/>
      </c>
      <c r="N70" s="38">
        <f>IF(OR($B70="",$B70="Land",$C70=""),"",IFERROR($C70*INDEX(Settings!$C$22:$AC$27,MATCH($B70,Settings!$A$22:$A$27,0),11),0))</f>
        <v/>
      </c>
      <c r="O70" s="38">
        <f>IF(OR($B70="",$B70="Land",$C70=""),"",IFERROR($C70*INDEX(Settings!$C$22:$AC$27,MATCH($B70,Settings!$A$22:$A$27,0),12),0))</f>
        <v/>
      </c>
      <c r="P70" s="38">
        <f>IF(OR($B70="",$B70="Land",$C70=""),"",IFERROR($C70*INDEX(Settings!$C$22:$AC$27,MATCH($B70,Settings!$A$22:$A$27,0),13),0))</f>
        <v/>
      </c>
      <c r="Q70" s="38">
        <f>IF(OR($B70="",$B70="Land",$C70=""),"",IFERROR($C70*INDEX(Settings!$C$22:$AC$27,MATCH($B70,Settings!$A$22:$A$27,0),14),0))</f>
        <v/>
      </c>
      <c r="R70" s="38">
        <f>IF(OR($B70="",$B70="Land",$C70=""),"",IFERROR($C70*INDEX(Settings!$C$22:$AC$27,MATCH($B70,Settings!$A$22:$A$27,0),15),0))</f>
        <v/>
      </c>
      <c r="S70" s="38">
        <f>IF(OR($B70="",$B70="Land",$C70=""),"",IFERROR($C70*INDEX(Settings!$C$22:$AC$27,MATCH($B70,Settings!$A$22:$A$27,0),16),0))</f>
        <v/>
      </c>
      <c r="T70" s="38">
        <f>IF(OR($B70="",$B70="Land",$C70=""),"",IFERROR($C70*INDEX(Settings!$C$22:$AC$27,MATCH($B70,Settings!$A$22:$A$27,0),17),0))</f>
        <v/>
      </c>
      <c r="U70" s="38">
        <f>IF(OR($B70="",$B70="Land",$C70=""),"",IFERROR($C70*INDEX(Settings!$C$22:$AC$27,MATCH($B70,Settings!$A$22:$A$27,0),18),0))</f>
        <v/>
      </c>
      <c r="V70" s="38">
        <f>IF(OR($B70="",$B70="Land",$C70=""),"",IFERROR($C70*INDEX(Settings!$C$22:$AC$27,MATCH($B70,Settings!$A$22:$A$27,0),19),0))</f>
        <v/>
      </c>
      <c r="W70" s="38">
        <f>IF(OR($B70="",$B70="Land",$C70=""),"",IFERROR($C70*INDEX(Settings!$C$22:$AC$27,MATCH($B70,Settings!$A$22:$A$27,0),20),0))</f>
        <v/>
      </c>
      <c r="X70" s="38">
        <f>IF(OR($B70="",$B70="Land",$C70=""),"",IFERROR($C70*INDEX(Settings!$C$22:$AC$27,MATCH($B70,Settings!$A$22:$A$27,0),21),0))</f>
        <v/>
      </c>
      <c r="Y70" s="38">
        <f>IF(OR($B70="",$B70="Land",$C70=""),"",IFERROR($C70*INDEX(Settings!$C$22:$AC$27,MATCH($B70,Settings!$A$22:$A$27,0),22),0))</f>
        <v/>
      </c>
      <c r="Z70" s="38">
        <f>IF(OR($B70="",$B70="Land",$C70=""),"",IFERROR($C70*INDEX(Settings!$C$22:$AC$27,MATCH($B70,Settings!$A$22:$A$27,0),23),0))</f>
        <v/>
      </c>
      <c r="AA70" s="38">
        <f>IF(OR($B70="",$B70="Land",$C70=""),"",IFERROR($C70*INDEX(Settings!$C$22:$AC$27,MATCH($B70,Settings!$A$22:$A$27,0),24),0))</f>
        <v/>
      </c>
      <c r="AB70" s="38">
        <f>IF(OR($B70="",$B70="Land",$C70=""),"",IFERROR($C70*INDEX(Settings!$C$22:$AC$27,MATCH($B70,Settings!$A$22:$A$27,0),25),0))</f>
        <v/>
      </c>
      <c r="AC70" s="38">
        <f>IF(OR($B70="",$B70="Land",$C70=""),"",IFERROR($C70*INDEX(Settings!$C$22:$AC$27,MATCH($B70,Settings!$A$22:$A$27,0),26),0))</f>
        <v/>
      </c>
      <c r="AD70" s="38">
        <f>IF(OR($B70="",$B70="Land",$C70=""),"",IFERROR($C70*INDEX(Settings!$C$22:$AC$27,MATCH($B70,Settings!$A$22:$A$27,0),27),0))</f>
        <v/>
      </c>
    </row>
    <row r="71" ht="16" customHeight="1">
      <c r="A71" s="37">
        <f>'Asset Register'!A71</f>
        <v/>
      </c>
      <c r="B71" s="34">
        <f>'Asset Register'!E71</f>
        <v/>
      </c>
      <c r="C71" s="33">
        <f>'Asset Register'!J71</f>
        <v/>
      </c>
      <c r="D71" s="38">
        <f>IF(OR($B71="",$B71="Land",$C71=""),"",IFERROR($C71*INDEX(Settings!$C$22:$AC$27,MATCH($B71,Settings!$A$22:$A$27,0),1),0))</f>
        <v/>
      </c>
      <c r="E71" s="38">
        <f>IF(OR($B71="",$B71="Land",$C71=""),"",IFERROR($C71*INDEX(Settings!$C$22:$AC$27,MATCH($B71,Settings!$A$22:$A$27,0),2),0))</f>
        <v/>
      </c>
      <c r="F71" s="38">
        <f>IF(OR($B71="",$B71="Land",$C71=""),"",IFERROR($C71*INDEX(Settings!$C$22:$AC$27,MATCH($B71,Settings!$A$22:$A$27,0),3),0))</f>
        <v/>
      </c>
      <c r="G71" s="38">
        <f>IF(OR($B71="",$B71="Land",$C71=""),"",IFERROR($C71*INDEX(Settings!$C$22:$AC$27,MATCH($B71,Settings!$A$22:$A$27,0),4),0))</f>
        <v/>
      </c>
      <c r="H71" s="38">
        <f>IF(OR($B71="",$B71="Land",$C71=""),"",IFERROR($C71*INDEX(Settings!$C$22:$AC$27,MATCH($B71,Settings!$A$22:$A$27,0),5),0))</f>
        <v/>
      </c>
      <c r="I71" s="38">
        <f>IF(OR($B71="",$B71="Land",$C71=""),"",IFERROR($C71*INDEX(Settings!$C$22:$AC$27,MATCH($B71,Settings!$A$22:$A$27,0),6),0))</f>
        <v/>
      </c>
      <c r="J71" s="38">
        <f>IF(OR($B71="",$B71="Land",$C71=""),"",IFERROR($C71*INDEX(Settings!$C$22:$AC$27,MATCH($B71,Settings!$A$22:$A$27,0),7),0))</f>
        <v/>
      </c>
      <c r="K71" s="38">
        <f>IF(OR($B71="",$B71="Land",$C71=""),"",IFERROR($C71*INDEX(Settings!$C$22:$AC$27,MATCH($B71,Settings!$A$22:$A$27,0),8),0))</f>
        <v/>
      </c>
      <c r="L71" s="38">
        <f>IF(OR($B71="",$B71="Land",$C71=""),"",IFERROR($C71*INDEX(Settings!$C$22:$AC$27,MATCH($B71,Settings!$A$22:$A$27,0),9),0))</f>
        <v/>
      </c>
      <c r="M71" s="38">
        <f>IF(OR($B71="",$B71="Land",$C71=""),"",IFERROR($C71*INDEX(Settings!$C$22:$AC$27,MATCH($B71,Settings!$A$22:$A$27,0),10),0))</f>
        <v/>
      </c>
      <c r="N71" s="38">
        <f>IF(OR($B71="",$B71="Land",$C71=""),"",IFERROR($C71*INDEX(Settings!$C$22:$AC$27,MATCH($B71,Settings!$A$22:$A$27,0),11),0))</f>
        <v/>
      </c>
      <c r="O71" s="38">
        <f>IF(OR($B71="",$B71="Land",$C71=""),"",IFERROR($C71*INDEX(Settings!$C$22:$AC$27,MATCH($B71,Settings!$A$22:$A$27,0),12),0))</f>
        <v/>
      </c>
      <c r="P71" s="38">
        <f>IF(OR($B71="",$B71="Land",$C71=""),"",IFERROR($C71*INDEX(Settings!$C$22:$AC$27,MATCH($B71,Settings!$A$22:$A$27,0),13),0))</f>
        <v/>
      </c>
      <c r="Q71" s="38">
        <f>IF(OR($B71="",$B71="Land",$C71=""),"",IFERROR($C71*INDEX(Settings!$C$22:$AC$27,MATCH($B71,Settings!$A$22:$A$27,0),14),0))</f>
        <v/>
      </c>
      <c r="R71" s="38">
        <f>IF(OR($B71="",$B71="Land",$C71=""),"",IFERROR($C71*INDEX(Settings!$C$22:$AC$27,MATCH($B71,Settings!$A$22:$A$27,0),15),0))</f>
        <v/>
      </c>
      <c r="S71" s="38">
        <f>IF(OR($B71="",$B71="Land",$C71=""),"",IFERROR($C71*INDEX(Settings!$C$22:$AC$27,MATCH($B71,Settings!$A$22:$A$27,0),16),0))</f>
        <v/>
      </c>
      <c r="T71" s="38">
        <f>IF(OR($B71="",$B71="Land",$C71=""),"",IFERROR($C71*INDEX(Settings!$C$22:$AC$27,MATCH($B71,Settings!$A$22:$A$27,0),17),0))</f>
        <v/>
      </c>
      <c r="U71" s="38">
        <f>IF(OR($B71="",$B71="Land",$C71=""),"",IFERROR($C71*INDEX(Settings!$C$22:$AC$27,MATCH($B71,Settings!$A$22:$A$27,0),18),0))</f>
        <v/>
      </c>
      <c r="V71" s="38">
        <f>IF(OR($B71="",$B71="Land",$C71=""),"",IFERROR($C71*INDEX(Settings!$C$22:$AC$27,MATCH($B71,Settings!$A$22:$A$27,0),19),0))</f>
        <v/>
      </c>
      <c r="W71" s="38">
        <f>IF(OR($B71="",$B71="Land",$C71=""),"",IFERROR($C71*INDEX(Settings!$C$22:$AC$27,MATCH($B71,Settings!$A$22:$A$27,0),20),0))</f>
        <v/>
      </c>
      <c r="X71" s="38">
        <f>IF(OR($B71="",$B71="Land",$C71=""),"",IFERROR($C71*INDEX(Settings!$C$22:$AC$27,MATCH($B71,Settings!$A$22:$A$27,0),21),0))</f>
        <v/>
      </c>
      <c r="Y71" s="38">
        <f>IF(OR($B71="",$B71="Land",$C71=""),"",IFERROR($C71*INDEX(Settings!$C$22:$AC$27,MATCH($B71,Settings!$A$22:$A$27,0),22),0))</f>
        <v/>
      </c>
      <c r="Z71" s="38">
        <f>IF(OR($B71="",$B71="Land",$C71=""),"",IFERROR($C71*INDEX(Settings!$C$22:$AC$27,MATCH($B71,Settings!$A$22:$A$27,0),23),0))</f>
        <v/>
      </c>
      <c r="AA71" s="38">
        <f>IF(OR($B71="",$B71="Land",$C71=""),"",IFERROR($C71*INDEX(Settings!$C$22:$AC$27,MATCH($B71,Settings!$A$22:$A$27,0),24),0))</f>
        <v/>
      </c>
      <c r="AB71" s="38">
        <f>IF(OR($B71="",$B71="Land",$C71=""),"",IFERROR($C71*INDEX(Settings!$C$22:$AC$27,MATCH($B71,Settings!$A$22:$A$27,0),25),0))</f>
        <v/>
      </c>
      <c r="AC71" s="38">
        <f>IF(OR($B71="",$B71="Land",$C71=""),"",IFERROR($C71*INDEX(Settings!$C$22:$AC$27,MATCH($B71,Settings!$A$22:$A$27,0),26),0))</f>
        <v/>
      </c>
      <c r="AD71" s="38">
        <f>IF(OR($B71="",$B71="Land",$C71=""),"",IFERROR($C71*INDEX(Settings!$C$22:$AC$27,MATCH($B71,Settings!$A$22:$A$27,0),27),0))</f>
        <v/>
      </c>
    </row>
    <row r="72" ht="16" customHeight="1">
      <c r="A72" s="37">
        <f>'Asset Register'!A72</f>
        <v/>
      </c>
      <c r="B72" s="34">
        <f>'Asset Register'!E72</f>
        <v/>
      </c>
      <c r="C72" s="33">
        <f>'Asset Register'!J72</f>
        <v/>
      </c>
      <c r="D72" s="38">
        <f>IF(OR($B72="",$B72="Land",$C72=""),"",IFERROR($C72*INDEX(Settings!$C$22:$AC$27,MATCH($B72,Settings!$A$22:$A$27,0),1),0))</f>
        <v/>
      </c>
      <c r="E72" s="38">
        <f>IF(OR($B72="",$B72="Land",$C72=""),"",IFERROR($C72*INDEX(Settings!$C$22:$AC$27,MATCH($B72,Settings!$A$22:$A$27,0),2),0))</f>
        <v/>
      </c>
      <c r="F72" s="38">
        <f>IF(OR($B72="",$B72="Land",$C72=""),"",IFERROR($C72*INDEX(Settings!$C$22:$AC$27,MATCH($B72,Settings!$A$22:$A$27,0),3),0))</f>
        <v/>
      </c>
      <c r="G72" s="38">
        <f>IF(OR($B72="",$B72="Land",$C72=""),"",IFERROR($C72*INDEX(Settings!$C$22:$AC$27,MATCH($B72,Settings!$A$22:$A$27,0),4),0))</f>
        <v/>
      </c>
      <c r="H72" s="38">
        <f>IF(OR($B72="",$B72="Land",$C72=""),"",IFERROR($C72*INDEX(Settings!$C$22:$AC$27,MATCH($B72,Settings!$A$22:$A$27,0),5),0))</f>
        <v/>
      </c>
      <c r="I72" s="38">
        <f>IF(OR($B72="",$B72="Land",$C72=""),"",IFERROR($C72*INDEX(Settings!$C$22:$AC$27,MATCH($B72,Settings!$A$22:$A$27,0),6),0))</f>
        <v/>
      </c>
      <c r="J72" s="38">
        <f>IF(OR($B72="",$B72="Land",$C72=""),"",IFERROR($C72*INDEX(Settings!$C$22:$AC$27,MATCH($B72,Settings!$A$22:$A$27,0),7),0))</f>
        <v/>
      </c>
      <c r="K72" s="38">
        <f>IF(OR($B72="",$B72="Land",$C72=""),"",IFERROR($C72*INDEX(Settings!$C$22:$AC$27,MATCH($B72,Settings!$A$22:$A$27,0),8),0))</f>
        <v/>
      </c>
      <c r="L72" s="38">
        <f>IF(OR($B72="",$B72="Land",$C72=""),"",IFERROR($C72*INDEX(Settings!$C$22:$AC$27,MATCH($B72,Settings!$A$22:$A$27,0),9),0))</f>
        <v/>
      </c>
      <c r="M72" s="38">
        <f>IF(OR($B72="",$B72="Land",$C72=""),"",IFERROR($C72*INDEX(Settings!$C$22:$AC$27,MATCH($B72,Settings!$A$22:$A$27,0),10),0))</f>
        <v/>
      </c>
      <c r="N72" s="38">
        <f>IF(OR($B72="",$B72="Land",$C72=""),"",IFERROR($C72*INDEX(Settings!$C$22:$AC$27,MATCH($B72,Settings!$A$22:$A$27,0),11),0))</f>
        <v/>
      </c>
      <c r="O72" s="38">
        <f>IF(OR($B72="",$B72="Land",$C72=""),"",IFERROR($C72*INDEX(Settings!$C$22:$AC$27,MATCH($B72,Settings!$A$22:$A$27,0),12),0))</f>
        <v/>
      </c>
      <c r="P72" s="38">
        <f>IF(OR($B72="",$B72="Land",$C72=""),"",IFERROR($C72*INDEX(Settings!$C$22:$AC$27,MATCH($B72,Settings!$A$22:$A$27,0),13),0))</f>
        <v/>
      </c>
      <c r="Q72" s="38">
        <f>IF(OR($B72="",$B72="Land",$C72=""),"",IFERROR($C72*INDEX(Settings!$C$22:$AC$27,MATCH($B72,Settings!$A$22:$A$27,0),14),0))</f>
        <v/>
      </c>
      <c r="R72" s="38">
        <f>IF(OR($B72="",$B72="Land",$C72=""),"",IFERROR($C72*INDEX(Settings!$C$22:$AC$27,MATCH($B72,Settings!$A$22:$A$27,0),15),0))</f>
        <v/>
      </c>
      <c r="S72" s="38">
        <f>IF(OR($B72="",$B72="Land",$C72=""),"",IFERROR($C72*INDEX(Settings!$C$22:$AC$27,MATCH($B72,Settings!$A$22:$A$27,0),16),0))</f>
        <v/>
      </c>
      <c r="T72" s="38">
        <f>IF(OR($B72="",$B72="Land",$C72=""),"",IFERROR($C72*INDEX(Settings!$C$22:$AC$27,MATCH($B72,Settings!$A$22:$A$27,0),17),0))</f>
        <v/>
      </c>
      <c r="U72" s="38">
        <f>IF(OR($B72="",$B72="Land",$C72=""),"",IFERROR($C72*INDEX(Settings!$C$22:$AC$27,MATCH($B72,Settings!$A$22:$A$27,0),18),0))</f>
        <v/>
      </c>
      <c r="V72" s="38">
        <f>IF(OR($B72="",$B72="Land",$C72=""),"",IFERROR($C72*INDEX(Settings!$C$22:$AC$27,MATCH($B72,Settings!$A$22:$A$27,0),19),0))</f>
        <v/>
      </c>
      <c r="W72" s="38">
        <f>IF(OR($B72="",$B72="Land",$C72=""),"",IFERROR($C72*INDEX(Settings!$C$22:$AC$27,MATCH($B72,Settings!$A$22:$A$27,0),20),0))</f>
        <v/>
      </c>
      <c r="X72" s="38">
        <f>IF(OR($B72="",$B72="Land",$C72=""),"",IFERROR($C72*INDEX(Settings!$C$22:$AC$27,MATCH($B72,Settings!$A$22:$A$27,0),21),0))</f>
        <v/>
      </c>
      <c r="Y72" s="38">
        <f>IF(OR($B72="",$B72="Land",$C72=""),"",IFERROR($C72*INDEX(Settings!$C$22:$AC$27,MATCH($B72,Settings!$A$22:$A$27,0),22),0))</f>
        <v/>
      </c>
      <c r="Z72" s="38">
        <f>IF(OR($B72="",$B72="Land",$C72=""),"",IFERROR($C72*INDEX(Settings!$C$22:$AC$27,MATCH($B72,Settings!$A$22:$A$27,0),23),0))</f>
        <v/>
      </c>
      <c r="AA72" s="38">
        <f>IF(OR($B72="",$B72="Land",$C72=""),"",IFERROR($C72*INDEX(Settings!$C$22:$AC$27,MATCH($B72,Settings!$A$22:$A$27,0),24),0))</f>
        <v/>
      </c>
      <c r="AB72" s="38">
        <f>IF(OR($B72="",$B72="Land",$C72=""),"",IFERROR($C72*INDEX(Settings!$C$22:$AC$27,MATCH($B72,Settings!$A$22:$A$27,0),25),0))</f>
        <v/>
      </c>
      <c r="AC72" s="38">
        <f>IF(OR($B72="",$B72="Land",$C72=""),"",IFERROR($C72*INDEX(Settings!$C$22:$AC$27,MATCH($B72,Settings!$A$22:$A$27,0),26),0))</f>
        <v/>
      </c>
      <c r="AD72" s="38">
        <f>IF(OR($B72="",$B72="Land",$C72=""),"",IFERROR($C72*INDEX(Settings!$C$22:$AC$27,MATCH($B72,Settings!$A$22:$A$27,0),27),0))</f>
        <v/>
      </c>
    </row>
    <row r="73" ht="16" customHeight="1">
      <c r="A73" s="37">
        <f>'Asset Register'!A73</f>
        <v/>
      </c>
      <c r="B73" s="34">
        <f>'Asset Register'!E73</f>
        <v/>
      </c>
      <c r="C73" s="33">
        <f>'Asset Register'!J73</f>
        <v/>
      </c>
      <c r="D73" s="38">
        <f>IF(OR($B73="",$B73="Land",$C73=""),"",IFERROR($C73*INDEX(Settings!$C$22:$AC$27,MATCH($B73,Settings!$A$22:$A$27,0),1),0))</f>
        <v/>
      </c>
      <c r="E73" s="38">
        <f>IF(OR($B73="",$B73="Land",$C73=""),"",IFERROR($C73*INDEX(Settings!$C$22:$AC$27,MATCH($B73,Settings!$A$22:$A$27,0),2),0))</f>
        <v/>
      </c>
      <c r="F73" s="38">
        <f>IF(OR($B73="",$B73="Land",$C73=""),"",IFERROR($C73*INDEX(Settings!$C$22:$AC$27,MATCH($B73,Settings!$A$22:$A$27,0),3),0))</f>
        <v/>
      </c>
      <c r="G73" s="38">
        <f>IF(OR($B73="",$B73="Land",$C73=""),"",IFERROR($C73*INDEX(Settings!$C$22:$AC$27,MATCH($B73,Settings!$A$22:$A$27,0),4),0))</f>
        <v/>
      </c>
      <c r="H73" s="38">
        <f>IF(OR($B73="",$B73="Land",$C73=""),"",IFERROR($C73*INDEX(Settings!$C$22:$AC$27,MATCH($B73,Settings!$A$22:$A$27,0),5),0))</f>
        <v/>
      </c>
      <c r="I73" s="38">
        <f>IF(OR($B73="",$B73="Land",$C73=""),"",IFERROR($C73*INDEX(Settings!$C$22:$AC$27,MATCH($B73,Settings!$A$22:$A$27,0),6),0))</f>
        <v/>
      </c>
      <c r="J73" s="38">
        <f>IF(OR($B73="",$B73="Land",$C73=""),"",IFERROR($C73*INDEX(Settings!$C$22:$AC$27,MATCH($B73,Settings!$A$22:$A$27,0),7),0))</f>
        <v/>
      </c>
      <c r="K73" s="38">
        <f>IF(OR($B73="",$B73="Land",$C73=""),"",IFERROR($C73*INDEX(Settings!$C$22:$AC$27,MATCH($B73,Settings!$A$22:$A$27,0),8),0))</f>
        <v/>
      </c>
      <c r="L73" s="38">
        <f>IF(OR($B73="",$B73="Land",$C73=""),"",IFERROR($C73*INDEX(Settings!$C$22:$AC$27,MATCH($B73,Settings!$A$22:$A$27,0),9),0))</f>
        <v/>
      </c>
      <c r="M73" s="38">
        <f>IF(OR($B73="",$B73="Land",$C73=""),"",IFERROR($C73*INDEX(Settings!$C$22:$AC$27,MATCH($B73,Settings!$A$22:$A$27,0),10),0))</f>
        <v/>
      </c>
      <c r="N73" s="38">
        <f>IF(OR($B73="",$B73="Land",$C73=""),"",IFERROR($C73*INDEX(Settings!$C$22:$AC$27,MATCH($B73,Settings!$A$22:$A$27,0),11),0))</f>
        <v/>
      </c>
      <c r="O73" s="38">
        <f>IF(OR($B73="",$B73="Land",$C73=""),"",IFERROR($C73*INDEX(Settings!$C$22:$AC$27,MATCH($B73,Settings!$A$22:$A$27,0),12),0))</f>
        <v/>
      </c>
      <c r="P73" s="38">
        <f>IF(OR($B73="",$B73="Land",$C73=""),"",IFERROR($C73*INDEX(Settings!$C$22:$AC$27,MATCH($B73,Settings!$A$22:$A$27,0),13),0))</f>
        <v/>
      </c>
      <c r="Q73" s="38">
        <f>IF(OR($B73="",$B73="Land",$C73=""),"",IFERROR($C73*INDEX(Settings!$C$22:$AC$27,MATCH($B73,Settings!$A$22:$A$27,0),14),0))</f>
        <v/>
      </c>
      <c r="R73" s="38">
        <f>IF(OR($B73="",$B73="Land",$C73=""),"",IFERROR($C73*INDEX(Settings!$C$22:$AC$27,MATCH($B73,Settings!$A$22:$A$27,0),15),0))</f>
        <v/>
      </c>
      <c r="S73" s="38">
        <f>IF(OR($B73="",$B73="Land",$C73=""),"",IFERROR($C73*INDEX(Settings!$C$22:$AC$27,MATCH($B73,Settings!$A$22:$A$27,0),16),0))</f>
        <v/>
      </c>
      <c r="T73" s="38">
        <f>IF(OR($B73="",$B73="Land",$C73=""),"",IFERROR($C73*INDEX(Settings!$C$22:$AC$27,MATCH($B73,Settings!$A$22:$A$27,0),17),0))</f>
        <v/>
      </c>
      <c r="U73" s="38">
        <f>IF(OR($B73="",$B73="Land",$C73=""),"",IFERROR($C73*INDEX(Settings!$C$22:$AC$27,MATCH($B73,Settings!$A$22:$A$27,0),18),0))</f>
        <v/>
      </c>
      <c r="V73" s="38">
        <f>IF(OR($B73="",$B73="Land",$C73=""),"",IFERROR($C73*INDEX(Settings!$C$22:$AC$27,MATCH($B73,Settings!$A$22:$A$27,0),19),0))</f>
        <v/>
      </c>
      <c r="W73" s="38">
        <f>IF(OR($B73="",$B73="Land",$C73=""),"",IFERROR($C73*INDEX(Settings!$C$22:$AC$27,MATCH($B73,Settings!$A$22:$A$27,0),20),0))</f>
        <v/>
      </c>
      <c r="X73" s="38">
        <f>IF(OR($B73="",$B73="Land",$C73=""),"",IFERROR($C73*INDEX(Settings!$C$22:$AC$27,MATCH($B73,Settings!$A$22:$A$27,0),21),0))</f>
        <v/>
      </c>
      <c r="Y73" s="38">
        <f>IF(OR($B73="",$B73="Land",$C73=""),"",IFERROR($C73*INDEX(Settings!$C$22:$AC$27,MATCH($B73,Settings!$A$22:$A$27,0),22),0))</f>
        <v/>
      </c>
      <c r="Z73" s="38">
        <f>IF(OR($B73="",$B73="Land",$C73=""),"",IFERROR($C73*INDEX(Settings!$C$22:$AC$27,MATCH($B73,Settings!$A$22:$A$27,0),23),0))</f>
        <v/>
      </c>
      <c r="AA73" s="38">
        <f>IF(OR($B73="",$B73="Land",$C73=""),"",IFERROR($C73*INDEX(Settings!$C$22:$AC$27,MATCH($B73,Settings!$A$22:$A$27,0),24),0))</f>
        <v/>
      </c>
      <c r="AB73" s="38">
        <f>IF(OR($B73="",$B73="Land",$C73=""),"",IFERROR($C73*INDEX(Settings!$C$22:$AC$27,MATCH($B73,Settings!$A$22:$A$27,0),25),0))</f>
        <v/>
      </c>
      <c r="AC73" s="38">
        <f>IF(OR($B73="",$B73="Land",$C73=""),"",IFERROR($C73*INDEX(Settings!$C$22:$AC$27,MATCH($B73,Settings!$A$22:$A$27,0),26),0))</f>
        <v/>
      </c>
      <c r="AD73" s="38">
        <f>IF(OR($B73="",$B73="Land",$C73=""),"",IFERROR($C73*INDEX(Settings!$C$22:$AC$27,MATCH($B73,Settings!$A$22:$A$27,0),27),0))</f>
        <v/>
      </c>
    </row>
    <row r="74" ht="16" customHeight="1">
      <c r="A74" s="37">
        <f>'Asset Register'!A74</f>
        <v/>
      </c>
      <c r="B74" s="34">
        <f>'Asset Register'!E74</f>
        <v/>
      </c>
      <c r="C74" s="33">
        <f>'Asset Register'!J74</f>
        <v/>
      </c>
      <c r="D74" s="38">
        <f>IF(OR($B74="",$B74="Land",$C74=""),"",IFERROR($C74*INDEX(Settings!$C$22:$AC$27,MATCH($B74,Settings!$A$22:$A$27,0),1),0))</f>
        <v/>
      </c>
      <c r="E74" s="38">
        <f>IF(OR($B74="",$B74="Land",$C74=""),"",IFERROR($C74*INDEX(Settings!$C$22:$AC$27,MATCH($B74,Settings!$A$22:$A$27,0),2),0))</f>
        <v/>
      </c>
      <c r="F74" s="38">
        <f>IF(OR($B74="",$B74="Land",$C74=""),"",IFERROR($C74*INDEX(Settings!$C$22:$AC$27,MATCH($B74,Settings!$A$22:$A$27,0),3),0))</f>
        <v/>
      </c>
      <c r="G74" s="38">
        <f>IF(OR($B74="",$B74="Land",$C74=""),"",IFERROR($C74*INDEX(Settings!$C$22:$AC$27,MATCH($B74,Settings!$A$22:$A$27,0),4),0))</f>
        <v/>
      </c>
      <c r="H74" s="38">
        <f>IF(OR($B74="",$B74="Land",$C74=""),"",IFERROR($C74*INDEX(Settings!$C$22:$AC$27,MATCH($B74,Settings!$A$22:$A$27,0),5),0))</f>
        <v/>
      </c>
      <c r="I74" s="38">
        <f>IF(OR($B74="",$B74="Land",$C74=""),"",IFERROR($C74*INDEX(Settings!$C$22:$AC$27,MATCH($B74,Settings!$A$22:$A$27,0),6),0))</f>
        <v/>
      </c>
      <c r="J74" s="38">
        <f>IF(OR($B74="",$B74="Land",$C74=""),"",IFERROR($C74*INDEX(Settings!$C$22:$AC$27,MATCH($B74,Settings!$A$22:$A$27,0),7),0))</f>
        <v/>
      </c>
      <c r="K74" s="38">
        <f>IF(OR($B74="",$B74="Land",$C74=""),"",IFERROR($C74*INDEX(Settings!$C$22:$AC$27,MATCH($B74,Settings!$A$22:$A$27,0),8),0))</f>
        <v/>
      </c>
      <c r="L74" s="38">
        <f>IF(OR($B74="",$B74="Land",$C74=""),"",IFERROR($C74*INDEX(Settings!$C$22:$AC$27,MATCH($B74,Settings!$A$22:$A$27,0),9),0))</f>
        <v/>
      </c>
      <c r="M74" s="38">
        <f>IF(OR($B74="",$B74="Land",$C74=""),"",IFERROR($C74*INDEX(Settings!$C$22:$AC$27,MATCH($B74,Settings!$A$22:$A$27,0),10),0))</f>
        <v/>
      </c>
      <c r="N74" s="38">
        <f>IF(OR($B74="",$B74="Land",$C74=""),"",IFERROR($C74*INDEX(Settings!$C$22:$AC$27,MATCH($B74,Settings!$A$22:$A$27,0),11),0))</f>
        <v/>
      </c>
      <c r="O74" s="38">
        <f>IF(OR($B74="",$B74="Land",$C74=""),"",IFERROR($C74*INDEX(Settings!$C$22:$AC$27,MATCH($B74,Settings!$A$22:$A$27,0),12),0))</f>
        <v/>
      </c>
      <c r="P74" s="38">
        <f>IF(OR($B74="",$B74="Land",$C74=""),"",IFERROR($C74*INDEX(Settings!$C$22:$AC$27,MATCH($B74,Settings!$A$22:$A$27,0),13),0))</f>
        <v/>
      </c>
      <c r="Q74" s="38">
        <f>IF(OR($B74="",$B74="Land",$C74=""),"",IFERROR($C74*INDEX(Settings!$C$22:$AC$27,MATCH($B74,Settings!$A$22:$A$27,0),14),0))</f>
        <v/>
      </c>
      <c r="R74" s="38">
        <f>IF(OR($B74="",$B74="Land",$C74=""),"",IFERROR($C74*INDEX(Settings!$C$22:$AC$27,MATCH($B74,Settings!$A$22:$A$27,0),15),0))</f>
        <v/>
      </c>
      <c r="S74" s="38">
        <f>IF(OR($B74="",$B74="Land",$C74=""),"",IFERROR($C74*INDEX(Settings!$C$22:$AC$27,MATCH($B74,Settings!$A$22:$A$27,0),16),0))</f>
        <v/>
      </c>
      <c r="T74" s="38">
        <f>IF(OR($B74="",$B74="Land",$C74=""),"",IFERROR($C74*INDEX(Settings!$C$22:$AC$27,MATCH($B74,Settings!$A$22:$A$27,0),17),0))</f>
        <v/>
      </c>
      <c r="U74" s="38">
        <f>IF(OR($B74="",$B74="Land",$C74=""),"",IFERROR($C74*INDEX(Settings!$C$22:$AC$27,MATCH($B74,Settings!$A$22:$A$27,0),18),0))</f>
        <v/>
      </c>
      <c r="V74" s="38">
        <f>IF(OR($B74="",$B74="Land",$C74=""),"",IFERROR($C74*INDEX(Settings!$C$22:$AC$27,MATCH($B74,Settings!$A$22:$A$27,0),19),0))</f>
        <v/>
      </c>
      <c r="W74" s="38">
        <f>IF(OR($B74="",$B74="Land",$C74=""),"",IFERROR($C74*INDEX(Settings!$C$22:$AC$27,MATCH($B74,Settings!$A$22:$A$27,0),20),0))</f>
        <v/>
      </c>
      <c r="X74" s="38">
        <f>IF(OR($B74="",$B74="Land",$C74=""),"",IFERROR($C74*INDEX(Settings!$C$22:$AC$27,MATCH($B74,Settings!$A$22:$A$27,0),21),0))</f>
        <v/>
      </c>
      <c r="Y74" s="38">
        <f>IF(OR($B74="",$B74="Land",$C74=""),"",IFERROR($C74*INDEX(Settings!$C$22:$AC$27,MATCH($B74,Settings!$A$22:$A$27,0),22),0))</f>
        <v/>
      </c>
      <c r="Z74" s="38">
        <f>IF(OR($B74="",$B74="Land",$C74=""),"",IFERROR($C74*INDEX(Settings!$C$22:$AC$27,MATCH($B74,Settings!$A$22:$A$27,0),23),0))</f>
        <v/>
      </c>
      <c r="AA74" s="38">
        <f>IF(OR($B74="",$B74="Land",$C74=""),"",IFERROR($C74*INDEX(Settings!$C$22:$AC$27,MATCH($B74,Settings!$A$22:$A$27,0),24),0))</f>
        <v/>
      </c>
      <c r="AB74" s="38">
        <f>IF(OR($B74="",$B74="Land",$C74=""),"",IFERROR($C74*INDEX(Settings!$C$22:$AC$27,MATCH($B74,Settings!$A$22:$A$27,0),25),0))</f>
        <v/>
      </c>
      <c r="AC74" s="38">
        <f>IF(OR($B74="",$B74="Land",$C74=""),"",IFERROR($C74*INDEX(Settings!$C$22:$AC$27,MATCH($B74,Settings!$A$22:$A$27,0),26),0))</f>
        <v/>
      </c>
      <c r="AD74" s="38">
        <f>IF(OR($B74="",$B74="Land",$C74=""),"",IFERROR($C74*INDEX(Settings!$C$22:$AC$27,MATCH($B74,Settings!$A$22:$A$27,0),27),0))</f>
        <v/>
      </c>
    </row>
    <row r="75" ht="16" customHeight="1">
      <c r="A75" s="37">
        <f>'Asset Register'!A75</f>
        <v/>
      </c>
      <c r="B75" s="34">
        <f>'Asset Register'!E75</f>
        <v/>
      </c>
      <c r="C75" s="33">
        <f>'Asset Register'!J75</f>
        <v/>
      </c>
      <c r="D75" s="38">
        <f>IF(OR($B75="",$B75="Land",$C75=""),"",IFERROR($C75*INDEX(Settings!$C$22:$AC$27,MATCH($B75,Settings!$A$22:$A$27,0),1),0))</f>
        <v/>
      </c>
      <c r="E75" s="38">
        <f>IF(OR($B75="",$B75="Land",$C75=""),"",IFERROR($C75*INDEX(Settings!$C$22:$AC$27,MATCH($B75,Settings!$A$22:$A$27,0),2),0))</f>
        <v/>
      </c>
      <c r="F75" s="38">
        <f>IF(OR($B75="",$B75="Land",$C75=""),"",IFERROR($C75*INDEX(Settings!$C$22:$AC$27,MATCH($B75,Settings!$A$22:$A$27,0),3),0))</f>
        <v/>
      </c>
      <c r="G75" s="38">
        <f>IF(OR($B75="",$B75="Land",$C75=""),"",IFERROR($C75*INDEX(Settings!$C$22:$AC$27,MATCH($B75,Settings!$A$22:$A$27,0),4),0))</f>
        <v/>
      </c>
      <c r="H75" s="38">
        <f>IF(OR($B75="",$B75="Land",$C75=""),"",IFERROR($C75*INDEX(Settings!$C$22:$AC$27,MATCH($B75,Settings!$A$22:$A$27,0),5),0))</f>
        <v/>
      </c>
      <c r="I75" s="38">
        <f>IF(OR($B75="",$B75="Land",$C75=""),"",IFERROR($C75*INDEX(Settings!$C$22:$AC$27,MATCH($B75,Settings!$A$22:$A$27,0),6),0))</f>
        <v/>
      </c>
      <c r="J75" s="38">
        <f>IF(OR($B75="",$B75="Land",$C75=""),"",IFERROR($C75*INDEX(Settings!$C$22:$AC$27,MATCH($B75,Settings!$A$22:$A$27,0),7),0))</f>
        <v/>
      </c>
      <c r="K75" s="38">
        <f>IF(OR($B75="",$B75="Land",$C75=""),"",IFERROR($C75*INDEX(Settings!$C$22:$AC$27,MATCH($B75,Settings!$A$22:$A$27,0),8),0))</f>
        <v/>
      </c>
      <c r="L75" s="38">
        <f>IF(OR($B75="",$B75="Land",$C75=""),"",IFERROR($C75*INDEX(Settings!$C$22:$AC$27,MATCH($B75,Settings!$A$22:$A$27,0),9),0))</f>
        <v/>
      </c>
      <c r="M75" s="38">
        <f>IF(OR($B75="",$B75="Land",$C75=""),"",IFERROR($C75*INDEX(Settings!$C$22:$AC$27,MATCH($B75,Settings!$A$22:$A$27,0),10),0))</f>
        <v/>
      </c>
      <c r="N75" s="38">
        <f>IF(OR($B75="",$B75="Land",$C75=""),"",IFERROR($C75*INDEX(Settings!$C$22:$AC$27,MATCH($B75,Settings!$A$22:$A$27,0),11),0))</f>
        <v/>
      </c>
      <c r="O75" s="38">
        <f>IF(OR($B75="",$B75="Land",$C75=""),"",IFERROR($C75*INDEX(Settings!$C$22:$AC$27,MATCH($B75,Settings!$A$22:$A$27,0),12),0))</f>
        <v/>
      </c>
      <c r="P75" s="38">
        <f>IF(OR($B75="",$B75="Land",$C75=""),"",IFERROR($C75*INDEX(Settings!$C$22:$AC$27,MATCH($B75,Settings!$A$22:$A$27,0),13),0))</f>
        <v/>
      </c>
      <c r="Q75" s="38">
        <f>IF(OR($B75="",$B75="Land",$C75=""),"",IFERROR($C75*INDEX(Settings!$C$22:$AC$27,MATCH($B75,Settings!$A$22:$A$27,0),14),0))</f>
        <v/>
      </c>
      <c r="R75" s="38">
        <f>IF(OR($B75="",$B75="Land",$C75=""),"",IFERROR($C75*INDEX(Settings!$C$22:$AC$27,MATCH($B75,Settings!$A$22:$A$27,0),15),0))</f>
        <v/>
      </c>
      <c r="S75" s="38">
        <f>IF(OR($B75="",$B75="Land",$C75=""),"",IFERROR($C75*INDEX(Settings!$C$22:$AC$27,MATCH($B75,Settings!$A$22:$A$27,0),16),0))</f>
        <v/>
      </c>
      <c r="T75" s="38">
        <f>IF(OR($B75="",$B75="Land",$C75=""),"",IFERROR($C75*INDEX(Settings!$C$22:$AC$27,MATCH($B75,Settings!$A$22:$A$27,0),17),0))</f>
        <v/>
      </c>
      <c r="U75" s="38">
        <f>IF(OR($B75="",$B75="Land",$C75=""),"",IFERROR($C75*INDEX(Settings!$C$22:$AC$27,MATCH($B75,Settings!$A$22:$A$27,0),18),0))</f>
        <v/>
      </c>
      <c r="V75" s="38">
        <f>IF(OR($B75="",$B75="Land",$C75=""),"",IFERROR($C75*INDEX(Settings!$C$22:$AC$27,MATCH($B75,Settings!$A$22:$A$27,0),19),0))</f>
        <v/>
      </c>
      <c r="W75" s="38">
        <f>IF(OR($B75="",$B75="Land",$C75=""),"",IFERROR($C75*INDEX(Settings!$C$22:$AC$27,MATCH($B75,Settings!$A$22:$A$27,0),20),0))</f>
        <v/>
      </c>
      <c r="X75" s="38">
        <f>IF(OR($B75="",$B75="Land",$C75=""),"",IFERROR($C75*INDEX(Settings!$C$22:$AC$27,MATCH($B75,Settings!$A$22:$A$27,0),21),0))</f>
        <v/>
      </c>
      <c r="Y75" s="38">
        <f>IF(OR($B75="",$B75="Land",$C75=""),"",IFERROR($C75*INDEX(Settings!$C$22:$AC$27,MATCH($B75,Settings!$A$22:$A$27,0),22),0))</f>
        <v/>
      </c>
      <c r="Z75" s="38">
        <f>IF(OR($B75="",$B75="Land",$C75=""),"",IFERROR($C75*INDEX(Settings!$C$22:$AC$27,MATCH($B75,Settings!$A$22:$A$27,0),23),0))</f>
        <v/>
      </c>
      <c r="AA75" s="38">
        <f>IF(OR($B75="",$B75="Land",$C75=""),"",IFERROR($C75*INDEX(Settings!$C$22:$AC$27,MATCH($B75,Settings!$A$22:$A$27,0),24),0))</f>
        <v/>
      </c>
      <c r="AB75" s="38">
        <f>IF(OR($B75="",$B75="Land",$C75=""),"",IFERROR($C75*INDEX(Settings!$C$22:$AC$27,MATCH($B75,Settings!$A$22:$A$27,0),25),0))</f>
        <v/>
      </c>
      <c r="AC75" s="38">
        <f>IF(OR($B75="",$B75="Land",$C75=""),"",IFERROR($C75*INDEX(Settings!$C$22:$AC$27,MATCH($B75,Settings!$A$22:$A$27,0),26),0))</f>
        <v/>
      </c>
      <c r="AD75" s="38">
        <f>IF(OR($B75="",$B75="Land",$C75=""),"",IFERROR($C75*INDEX(Settings!$C$22:$AC$27,MATCH($B75,Settings!$A$22:$A$27,0),27),0))</f>
        <v/>
      </c>
    </row>
    <row r="76" ht="16" customHeight="1">
      <c r="A76" s="37">
        <f>'Asset Register'!A76</f>
        <v/>
      </c>
      <c r="B76" s="34">
        <f>'Asset Register'!E76</f>
        <v/>
      </c>
      <c r="C76" s="33">
        <f>'Asset Register'!J76</f>
        <v/>
      </c>
      <c r="D76" s="38">
        <f>IF(OR($B76="",$B76="Land",$C76=""),"",IFERROR($C76*INDEX(Settings!$C$22:$AC$27,MATCH($B76,Settings!$A$22:$A$27,0),1),0))</f>
        <v/>
      </c>
      <c r="E76" s="38">
        <f>IF(OR($B76="",$B76="Land",$C76=""),"",IFERROR($C76*INDEX(Settings!$C$22:$AC$27,MATCH($B76,Settings!$A$22:$A$27,0),2),0))</f>
        <v/>
      </c>
      <c r="F76" s="38">
        <f>IF(OR($B76="",$B76="Land",$C76=""),"",IFERROR($C76*INDEX(Settings!$C$22:$AC$27,MATCH($B76,Settings!$A$22:$A$27,0),3),0))</f>
        <v/>
      </c>
      <c r="G76" s="38">
        <f>IF(OR($B76="",$B76="Land",$C76=""),"",IFERROR($C76*INDEX(Settings!$C$22:$AC$27,MATCH($B76,Settings!$A$22:$A$27,0),4),0))</f>
        <v/>
      </c>
      <c r="H76" s="38">
        <f>IF(OR($B76="",$B76="Land",$C76=""),"",IFERROR($C76*INDEX(Settings!$C$22:$AC$27,MATCH($B76,Settings!$A$22:$A$27,0),5),0))</f>
        <v/>
      </c>
      <c r="I76" s="38">
        <f>IF(OR($B76="",$B76="Land",$C76=""),"",IFERROR($C76*INDEX(Settings!$C$22:$AC$27,MATCH($B76,Settings!$A$22:$A$27,0),6),0))</f>
        <v/>
      </c>
      <c r="J76" s="38">
        <f>IF(OR($B76="",$B76="Land",$C76=""),"",IFERROR($C76*INDEX(Settings!$C$22:$AC$27,MATCH($B76,Settings!$A$22:$A$27,0),7),0))</f>
        <v/>
      </c>
      <c r="K76" s="38">
        <f>IF(OR($B76="",$B76="Land",$C76=""),"",IFERROR($C76*INDEX(Settings!$C$22:$AC$27,MATCH($B76,Settings!$A$22:$A$27,0),8),0))</f>
        <v/>
      </c>
      <c r="L76" s="38">
        <f>IF(OR($B76="",$B76="Land",$C76=""),"",IFERROR($C76*INDEX(Settings!$C$22:$AC$27,MATCH($B76,Settings!$A$22:$A$27,0),9),0))</f>
        <v/>
      </c>
      <c r="M76" s="38">
        <f>IF(OR($B76="",$B76="Land",$C76=""),"",IFERROR($C76*INDEX(Settings!$C$22:$AC$27,MATCH($B76,Settings!$A$22:$A$27,0),10),0))</f>
        <v/>
      </c>
      <c r="N76" s="38">
        <f>IF(OR($B76="",$B76="Land",$C76=""),"",IFERROR($C76*INDEX(Settings!$C$22:$AC$27,MATCH($B76,Settings!$A$22:$A$27,0),11),0))</f>
        <v/>
      </c>
      <c r="O76" s="38">
        <f>IF(OR($B76="",$B76="Land",$C76=""),"",IFERROR($C76*INDEX(Settings!$C$22:$AC$27,MATCH($B76,Settings!$A$22:$A$27,0),12),0))</f>
        <v/>
      </c>
      <c r="P76" s="38">
        <f>IF(OR($B76="",$B76="Land",$C76=""),"",IFERROR($C76*INDEX(Settings!$C$22:$AC$27,MATCH($B76,Settings!$A$22:$A$27,0),13),0))</f>
        <v/>
      </c>
      <c r="Q76" s="38">
        <f>IF(OR($B76="",$B76="Land",$C76=""),"",IFERROR($C76*INDEX(Settings!$C$22:$AC$27,MATCH($B76,Settings!$A$22:$A$27,0),14),0))</f>
        <v/>
      </c>
      <c r="R76" s="38">
        <f>IF(OR($B76="",$B76="Land",$C76=""),"",IFERROR($C76*INDEX(Settings!$C$22:$AC$27,MATCH($B76,Settings!$A$22:$A$27,0),15),0))</f>
        <v/>
      </c>
      <c r="S76" s="38">
        <f>IF(OR($B76="",$B76="Land",$C76=""),"",IFERROR($C76*INDEX(Settings!$C$22:$AC$27,MATCH($B76,Settings!$A$22:$A$27,0),16),0))</f>
        <v/>
      </c>
      <c r="T76" s="38">
        <f>IF(OR($B76="",$B76="Land",$C76=""),"",IFERROR($C76*INDEX(Settings!$C$22:$AC$27,MATCH($B76,Settings!$A$22:$A$27,0),17),0))</f>
        <v/>
      </c>
      <c r="U76" s="38">
        <f>IF(OR($B76="",$B76="Land",$C76=""),"",IFERROR($C76*INDEX(Settings!$C$22:$AC$27,MATCH($B76,Settings!$A$22:$A$27,0),18),0))</f>
        <v/>
      </c>
      <c r="V76" s="38">
        <f>IF(OR($B76="",$B76="Land",$C76=""),"",IFERROR($C76*INDEX(Settings!$C$22:$AC$27,MATCH($B76,Settings!$A$22:$A$27,0),19),0))</f>
        <v/>
      </c>
      <c r="W76" s="38">
        <f>IF(OR($B76="",$B76="Land",$C76=""),"",IFERROR($C76*INDEX(Settings!$C$22:$AC$27,MATCH($B76,Settings!$A$22:$A$27,0),20),0))</f>
        <v/>
      </c>
      <c r="X76" s="38">
        <f>IF(OR($B76="",$B76="Land",$C76=""),"",IFERROR($C76*INDEX(Settings!$C$22:$AC$27,MATCH($B76,Settings!$A$22:$A$27,0),21),0))</f>
        <v/>
      </c>
      <c r="Y76" s="38">
        <f>IF(OR($B76="",$B76="Land",$C76=""),"",IFERROR($C76*INDEX(Settings!$C$22:$AC$27,MATCH($B76,Settings!$A$22:$A$27,0),22),0))</f>
        <v/>
      </c>
      <c r="Z76" s="38">
        <f>IF(OR($B76="",$B76="Land",$C76=""),"",IFERROR($C76*INDEX(Settings!$C$22:$AC$27,MATCH($B76,Settings!$A$22:$A$27,0),23),0))</f>
        <v/>
      </c>
      <c r="AA76" s="38">
        <f>IF(OR($B76="",$B76="Land",$C76=""),"",IFERROR($C76*INDEX(Settings!$C$22:$AC$27,MATCH($B76,Settings!$A$22:$A$27,0),24),0))</f>
        <v/>
      </c>
      <c r="AB76" s="38">
        <f>IF(OR($B76="",$B76="Land",$C76=""),"",IFERROR($C76*INDEX(Settings!$C$22:$AC$27,MATCH($B76,Settings!$A$22:$A$27,0),25),0))</f>
        <v/>
      </c>
      <c r="AC76" s="38">
        <f>IF(OR($B76="",$B76="Land",$C76=""),"",IFERROR($C76*INDEX(Settings!$C$22:$AC$27,MATCH($B76,Settings!$A$22:$A$27,0),26),0))</f>
        <v/>
      </c>
      <c r="AD76" s="38">
        <f>IF(OR($B76="",$B76="Land",$C76=""),"",IFERROR($C76*INDEX(Settings!$C$22:$AC$27,MATCH($B76,Settings!$A$22:$A$27,0),27),0))</f>
        <v/>
      </c>
    </row>
    <row r="77" ht="16" customHeight="1">
      <c r="A77" s="37">
        <f>'Asset Register'!A77</f>
        <v/>
      </c>
      <c r="B77" s="34">
        <f>'Asset Register'!E77</f>
        <v/>
      </c>
      <c r="C77" s="33">
        <f>'Asset Register'!J77</f>
        <v/>
      </c>
      <c r="D77" s="38">
        <f>IF(OR($B77="",$B77="Land",$C77=""),"",IFERROR($C77*INDEX(Settings!$C$22:$AC$27,MATCH($B77,Settings!$A$22:$A$27,0),1),0))</f>
        <v/>
      </c>
      <c r="E77" s="38">
        <f>IF(OR($B77="",$B77="Land",$C77=""),"",IFERROR($C77*INDEX(Settings!$C$22:$AC$27,MATCH($B77,Settings!$A$22:$A$27,0),2),0))</f>
        <v/>
      </c>
      <c r="F77" s="38">
        <f>IF(OR($B77="",$B77="Land",$C77=""),"",IFERROR($C77*INDEX(Settings!$C$22:$AC$27,MATCH($B77,Settings!$A$22:$A$27,0),3),0))</f>
        <v/>
      </c>
      <c r="G77" s="38">
        <f>IF(OR($B77="",$B77="Land",$C77=""),"",IFERROR($C77*INDEX(Settings!$C$22:$AC$27,MATCH($B77,Settings!$A$22:$A$27,0),4),0))</f>
        <v/>
      </c>
      <c r="H77" s="38">
        <f>IF(OR($B77="",$B77="Land",$C77=""),"",IFERROR($C77*INDEX(Settings!$C$22:$AC$27,MATCH($B77,Settings!$A$22:$A$27,0),5),0))</f>
        <v/>
      </c>
      <c r="I77" s="38">
        <f>IF(OR($B77="",$B77="Land",$C77=""),"",IFERROR($C77*INDEX(Settings!$C$22:$AC$27,MATCH($B77,Settings!$A$22:$A$27,0),6),0))</f>
        <v/>
      </c>
      <c r="J77" s="38">
        <f>IF(OR($B77="",$B77="Land",$C77=""),"",IFERROR($C77*INDEX(Settings!$C$22:$AC$27,MATCH($B77,Settings!$A$22:$A$27,0),7),0))</f>
        <v/>
      </c>
      <c r="K77" s="38">
        <f>IF(OR($B77="",$B77="Land",$C77=""),"",IFERROR($C77*INDEX(Settings!$C$22:$AC$27,MATCH($B77,Settings!$A$22:$A$27,0),8),0))</f>
        <v/>
      </c>
      <c r="L77" s="38">
        <f>IF(OR($B77="",$B77="Land",$C77=""),"",IFERROR($C77*INDEX(Settings!$C$22:$AC$27,MATCH($B77,Settings!$A$22:$A$27,0),9),0))</f>
        <v/>
      </c>
      <c r="M77" s="38">
        <f>IF(OR($B77="",$B77="Land",$C77=""),"",IFERROR($C77*INDEX(Settings!$C$22:$AC$27,MATCH($B77,Settings!$A$22:$A$27,0),10),0))</f>
        <v/>
      </c>
      <c r="N77" s="38">
        <f>IF(OR($B77="",$B77="Land",$C77=""),"",IFERROR($C77*INDEX(Settings!$C$22:$AC$27,MATCH($B77,Settings!$A$22:$A$27,0),11),0))</f>
        <v/>
      </c>
      <c r="O77" s="38">
        <f>IF(OR($B77="",$B77="Land",$C77=""),"",IFERROR($C77*INDEX(Settings!$C$22:$AC$27,MATCH($B77,Settings!$A$22:$A$27,0),12),0))</f>
        <v/>
      </c>
      <c r="P77" s="38">
        <f>IF(OR($B77="",$B77="Land",$C77=""),"",IFERROR($C77*INDEX(Settings!$C$22:$AC$27,MATCH($B77,Settings!$A$22:$A$27,0),13),0))</f>
        <v/>
      </c>
      <c r="Q77" s="38">
        <f>IF(OR($B77="",$B77="Land",$C77=""),"",IFERROR($C77*INDEX(Settings!$C$22:$AC$27,MATCH($B77,Settings!$A$22:$A$27,0),14),0))</f>
        <v/>
      </c>
      <c r="R77" s="38">
        <f>IF(OR($B77="",$B77="Land",$C77=""),"",IFERROR($C77*INDEX(Settings!$C$22:$AC$27,MATCH($B77,Settings!$A$22:$A$27,0),15),0))</f>
        <v/>
      </c>
      <c r="S77" s="38">
        <f>IF(OR($B77="",$B77="Land",$C77=""),"",IFERROR($C77*INDEX(Settings!$C$22:$AC$27,MATCH($B77,Settings!$A$22:$A$27,0),16),0))</f>
        <v/>
      </c>
      <c r="T77" s="38">
        <f>IF(OR($B77="",$B77="Land",$C77=""),"",IFERROR($C77*INDEX(Settings!$C$22:$AC$27,MATCH($B77,Settings!$A$22:$A$27,0),17),0))</f>
        <v/>
      </c>
      <c r="U77" s="38">
        <f>IF(OR($B77="",$B77="Land",$C77=""),"",IFERROR($C77*INDEX(Settings!$C$22:$AC$27,MATCH($B77,Settings!$A$22:$A$27,0),18),0))</f>
        <v/>
      </c>
      <c r="V77" s="38">
        <f>IF(OR($B77="",$B77="Land",$C77=""),"",IFERROR($C77*INDEX(Settings!$C$22:$AC$27,MATCH($B77,Settings!$A$22:$A$27,0),19),0))</f>
        <v/>
      </c>
      <c r="W77" s="38">
        <f>IF(OR($B77="",$B77="Land",$C77=""),"",IFERROR($C77*INDEX(Settings!$C$22:$AC$27,MATCH($B77,Settings!$A$22:$A$27,0),20),0))</f>
        <v/>
      </c>
      <c r="X77" s="38">
        <f>IF(OR($B77="",$B77="Land",$C77=""),"",IFERROR($C77*INDEX(Settings!$C$22:$AC$27,MATCH($B77,Settings!$A$22:$A$27,0),21),0))</f>
        <v/>
      </c>
      <c r="Y77" s="38">
        <f>IF(OR($B77="",$B77="Land",$C77=""),"",IFERROR($C77*INDEX(Settings!$C$22:$AC$27,MATCH($B77,Settings!$A$22:$A$27,0),22),0))</f>
        <v/>
      </c>
      <c r="Z77" s="38">
        <f>IF(OR($B77="",$B77="Land",$C77=""),"",IFERROR($C77*INDEX(Settings!$C$22:$AC$27,MATCH($B77,Settings!$A$22:$A$27,0),23),0))</f>
        <v/>
      </c>
      <c r="AA77" s="38">
        <f>IF(OR($B77="",$B77="Land",$C77=""),"",IFERROR($C77*INDEX(Settings!$C$22:$AC$27,MATCH($B77,Settings!$A$22:$A$27,0),24),0))</f>
        <v/>
      </c>
      <c r="AB77" s="38">
        <f>IF(OR($B77="",$B77="Land",$C77=""),"",IFERROR($C77*INDEX(Settings!$C$22:$AC$27,MATCH($B77,Settings!$A$22:$A$27,0),25),0))</f>
        <v/>
      </c>
      <c r="AC77" s="38">
        <f>IF(OR($B77="",$B77="Land",$C77=""),"",IFERROR($C77*INDEX(Settings!$C$22:$AC$27,MATCH($B77,Settings!$A$22:$A$27,0),26),0))</f>
        <v/>
      </c>
      <c r="AD77" s="38">
        <f>IF(OR($B77="",$B77="Land",$C77=""),"",IFERROR($C77*INDEX(Settings!$C$22:$AC$27,MATCH($B77,Settings!$A$22:$A$27,0),27),0))</f>
        <v/>
      </c>
    </row>
    <row r="78" ht="16" customHeight="1">
      <c r="A78" s="37">
        <f>'Asset Register'!A78</f>
        <v/>
      </c>
      <c r="B78" s="34">
        <f>'Asset Register'!E78</f>
        <v/>
      </c>
      <c r="C78" s="33">
        <f>'Asset Register'!J78</f>
        <v/>
      </c>
      <c r="D78" s="38">
        <f>IF(OR($B78="",$B78="Land",$C78=""),"",IFERROR($C78*INDEX(Settings!$C$22:$AC$27,MATCH($B78,Settings!$A$22:$A$27,0),1),0))</f>
        <v/>
      </c>
      <c r="E78" s="38">
        <f>IF(OR($B78="",$B78="Land",$C78=""),"",IFERROR($C78*INDEX(Settings!$C$22:$AC$27,MATCH($B78,Settings!$A$22:$A$27,0),2),0))</f>
        <v/>
      </c>
      <c r="F78" s="38">
        <f>IF(OR($B78="",$B78="Land",$C78=""),"",IFERROR($C78*INDEX(Settings!$C$22:$AC$27,MATCH($B78,Settings!$A$22:$A$27,0),3),0))</f>
        <v/>
      </c>
      <c r="G78" s="38">
        <f>IF(OR($B78="",$B78="Land",$C78=""),"",IFERROR($C78*INDEX(Settings!$C$22:$AC$27,MATCH($B78,Settings!$A$22:$A$27,0),4),0))</f>
        <v/>
      </c>
      <c r="H78" s="38">
        <f>IF(OR($B78="",$B78="Land",$C78=""),"",IFERROR($C78*INDEX(Settings!$C$22:$AC$27,MATCH($B78,Settings!$A$22:$A$27,0),5),0))</f>
        <v/>
      </c>
      <c r="I78" s="38">
        <f>IF(OR($B78="",$B78="Land",$C78=""),"",IFERROR($C78*INDEX(Settings!$C$22:$AC$27,MATCH($B78,Settings!$A$22:$A$27,0),6),0))</f>
        <v/>
      </c>
      <c r="J78" s="38">
        <f>IF(OR($B78="",$B78="Land",$C78=""),"",IFERROR($C78*INDEX(Settings!$C$22:$AC$27,MATCH($B78,Settings!$A$22:$A$27,0),7),0))</f>
        <v/>
      </c>
      <c r="K78" s="38">
        <f>IF(OR($B78="",$B78="Land",$C78=""),"",IFERROR($C78*INDEX(Settings!$C$22:$AC$27,MATCH($B78,Settings!$A$22:$A$27,0),8),0))</f>
        <v/>
      </c>
      <c r="L78" s="38">
        <f>IF(OR($B78="",$B78="Land",$C78=""),"",IFERROR($C78*INDEX(Settings!$C$22:$AC$27,MATCH($B78,Settings!$A$22:$A$27,0),9),0))</f>
        <v/>
      </c>
      <c r="M78" s="38">
        <f>IF(OR($B78="",$B78="Land",$C78=""),"",IFERROR($C78*INDEX(Settings!$C$22:$AC$27,MATCH($B78,Settings!$A$22:$A$27,0),10),0))</f>
        <v/>
      </c>
      <c r="N78" s="38">
        <f>IF(OR($B78="",$B78="Land",$C78=""),"",IFERROR($C78*INDEX(Settings!$C$22:$AC$27,MATCH($B78,Settings!$A$22:$A$27,0),11),0))</f>
        <v/>
      </c>
      <c r="O78" s="38">
        <f>IF(OR($B78="",$B78="Land",$C78=""),"",IFERROR($C78*INDEX(Settings!$C$22:$AC$27,MATCH($B78,Settings!$A$22:$A$27,0),12),0))</f>
        <v/>
      </c>
      <c r="P78" s="38">
        <f>IF(OR($B78="",$B78="Land",$C78=""),"",IFERROR($C78*INDEX(Settings!$C$22:$AC$27,MATCH($B78,Settings!$A$22:$A$27,0),13),0))</f>
        <v/>
      </c>
      <c r="Q78" s="38">
        <f>IF(OR($B78="",$B78="Land",$C78=""),"",IFERROR($C78*INDEX(Settings!$C$22:$AC$27,MATCH($B78,Settings!$A$22:$A$27,0),14),0))</f>
        <v/>
      </c>
      <c r="R78" s="38">
        <f>IF(OR($B78="",$B78="Land",$C78=""),"",IFERROR($C78*INDEX(Settings!$C$22:$AC$27,MATCH($B78,Settings!$A$22:$A$27,0),15),0))</f>
        <v/>
      </c>
      <c r="S78" s="38">
        <f>IF(OR($B78="",$B78="Land",$C78=""),"",IFERROR($C78*INDEX(Settings!$C$22:$AC$27,MATCH($B78,Settings!$A$22:$A$27,0),16),0))</f>
        <v/>
      </c>
      <c r="T78" s="38">
        <f>IF(OR($B78="",$B78="Land",$C78=""),"",IFERROR($C78*INDEX(Settings!$C$22:$AC$27,MATCH($B78,Settings!$A$22:$A$27,0),17),0))</f>
        <v/>
      </c>
      <c r="U78" s="38">
        <f>IF(OR($B78="",$B78="Land",$C78=""),"",IFERROR($C78*INDEX(Settings!$C$22:$AC$27,MATCH($B78,Settings!$A$22:$A$27,0),18),0))</f>
        <v/>
      </c>
      <c r="V78" s="38">
        <f>IF(OR($B78="",$B78="Land",$C78=""),"",IFERROR($C78*INDEX(Settings!$C$22:$AC$27,MATCH($B78,Settings!$A$22:$A$27,0),19),0))</f>
        <v/>
      </c>
      <c r="W78" s="38">
        <f>IF(OR($B78="",$B78="Land",$C78=""),"",IFERROR($C78*INDEX(Settings!$C$22:$AC$27,MATCH($B78,Settings!$A$22:$A$27,0),20),0))</f>
        <v/>
      </c>
      <c r="X78" s="38">
        <f>IF(OR($B78="",$B78="Land",$C78=""),"",IFERROR($C78*INDEX(Settings!$C$22:$AC$27,MATCH($B78,Settings!$A$22:$A$27,0),21),0))</f>
        <v/>
      </c>
      <c r="Y78" s="38">
        <f>IF(OR($B78="",$B78="Land",$C78=""),"",IFERROR($C78*INDEX(Settings!$C$22:$AC$27,MATCH($B78,Settings!$A$22:$A$27,0),22),0))</f>
        <v/>
      </c>
      <c r="Z78" s="38">
        <f>IF(OR($B78="",$B78="Land",$C78=""),"",IFERROR($C78*INDEX(Settings!$C$22:$AC$27,MATCH($B78,Settings!$A$22:$A$27,0),23),0))</f>
        <v/>
      </c>
      <c r="AA78" s="38">
        <f>IF(OR($B78="",$B78="Land",$C78=""),"",IFERROR($C78*INDEX(Settings!$C$22:$AC$27,MATCH($B78,Settings!$A$22:$A$27,0),24),0))</f>
        <v/>
      </c>
      <c r="AB78" s="38">
        <f>IF(OR($B78="",$B78="Land",$C78=""),"",IFERROR($C78*INDEX(Settings!$C$22:$AC$27,MATCH($B78,Settings!$A$22:$A$27,0),25),0))</f>
        <v/>
      </c>
      <c r="AC78" s="38">
        <f>IF(OR($B78="",$B78="Land",$C78=""),"",IFERROR($C78*INDEX(Settings!$C$22:$AC$27,MATCH($B78,Settings!$A$22:$A$27,0),26),0))</f>
        <v/>
      </c>
      <c r="AD78" s="38">
        <f>IF(OR($B78="",$B78="Land",$C78=""),"",IFERROR($C78*INDEX(Settings!$C$22:$AC$27,MATCH($B78,Settings!$A$22:$A$27,0),27),0))</f>
        <v/>
      </c>
    </row>
    <row r="79" ht="16" customHeight="1">
      <c r="A79" s="37">
        <f>'Asset Register'!A79</f>
        <v/>
      </c>
      <c r="B79" s="34">
        <f>'Asset Register'!E79</f>
        <v/>
      </c>
      <c r="C79" s="33">
        <f>'Asset Register'!J79</f>
        <v/>
      </c>
      <c r="D79" s="38">
        <f>IF(OR($B79="",$B79="Land",$C79=""),"",IFERROR($C79*INDEX(Settings!$C$22:$AC$27,MATCH($B79,Settings!$A$22:$A$27,0),1),0))</f>
        <v/>
      </c>
      <c r="E79" s="38">
        <f>IF(OR($B79="",$B79="Land",$C79=""),"",IFERROR($C79*INDEX(Settings!$C$22:$AC$27,MATCH($B79,Settings!$A$22:$A$27,0),2),0))</f>
        <v/>
      </c>
      <c r="F79" s="38">
        <f>IF(OR($B79="",$B79="Land",$C79=""),"",IFERROR($C79*INDEX(Settings!$C$22:$AC$27,MATCH($B79,Settings!$A$22:$A$27,0),3),0))</f>
        <v/>
      </c>
      <c r="G79" s="38">
        <f>IF(OR($B79="",$B79="Land",$C79=""),"",IFERROR($C79*INDEX(Settings!$C$22:$AC$27,MATCH($B79,Settings!$A$22:$A$27,0),4),0))</f>
        <v/>
      </c>
      <c r="H79" s="38">
        <f>IF(OR($B79="",$B79="Land",$C79=""),"",IFERROR($C79*INDEX(Settings!$C$22:$AC$27,MATCH($B79,Settings!$A$22:$A$27,0),5),0))</f>
        <v/>
      </c>
      <c r="I79" s="38">
        <f>IF(OR($B79="",$B79="Land",$C79=""),"",IFERROR($C79*INDEX(Settings!$C$22:$AC$27,MATCH($B79,Settings!$A$22:$A$27,0),6),0))</f>
        <v/>
      </c>
      <c r="J79" s="38">
        <f>IF(OR($B79="",$B79="Land",$C79=""),"",IFERROR($C79*INDEX(Settings!$C$22:$AC$27,MATCH($B79,Settings!$A$22:$A$27,0),7),0))</f>
        <v/>
      </c>
      <c r="K79" s="38">
        <f>IF(OR($B79="",$B79="Land",$C79=""),"",IFERROR($C79*INDEX(Settings!$C$22:$AC$27,MATCH($B79,Settings!$A$22:$A$27,0),8),0))</f>
        <v/>
      </c>
      <c r="L79" s="38">
        <f>IF(OR($B79="",$B79="Land",$C79=""),"",IFERROR($C79*INDEX(Settings!$C$22:$AC$27,MATCH($B79,Settings!$A$22:$A$27,0),9),0))</f>
        <v/>
      </c>
      <c r="M79" s="38">
        <f>IF(OR($B79="",$B79="Land",$C79=""),"",IFERROR($C79*INDEX(Settings!$C$22:$AC$27,MATCH($B79,Settings!$A$22:$A$27,0),10),0))</f>
        <v/>
      </c>
      <c r="N79" s="38">
        <f>IF(OR($B79="",$B79="Land",$C79=""),"",IFERROR($C79*INDEX(Settings!$C$22:$AC$27,MATCH($B79,Settings!$A$22:$A$27,0),11),0))</f>
        <v/>
      </c>
      <c r="O79" s="38">
        <f>IF(OR($B79="",$B79="Land",$C79=""),"",IFERROR($C79*INDEX(Settings!$C$22:$AC$27,MATCH($B79,Settings!$A$22:$A$27,0),12),0))</f>
        <v/>
      </c>
      <c r="P79" s="38">
        <f>IF(OR($B79="",$B79="Land",$C79=""),"",IFERROR($C79*INDEX(Settings!$C$22:$AC$27,MATCH($B79,Settings!$A$22:$A$27,0),13),0))</f>
        <v/>
      </c>
      <c r="Q79" s="38">
        <f>IF(OR($B79="",$B79="Land",$C79=""),"",IFERROR($C79*INDEX(Settings!$C$22:$AC$27,MATCH($B79,Settings!$A$22:$A$27,0),14),0))</f>
        <v/>
      </c>
      <c r="R79" s="38">
        <f>IF(OR($B79="",$B79="Land",$C79=""),"",IFERROR($C79*INDEX(Settings!$C$22:$AC$27,MATCH($B79,Settings!$A$22:$A$27,0),15),0))</f>
        <v/>
      </c>
      <c r="S79" s="38">
        <f>IF(OR($B79="",$B79="Land",$C79=""),"",IFERROR($C79*INDEX(Settings!$C$22:$AC$27,MATCH($B79,Settings!$A$22:$A$27,0),16),0))</f>
        <v/>
      </c>
      <c r="T79" s="38">
        <f>IF(OR($B79="",$B79="Land",$C79=""),"",IFERROR($C79*INDEX(Settings!$C$22:$AC$27,MATCH($B79,Settings!$A$22:$A$27,0),17),0))</f>
        <v/>
      </c>
      <c r="U79" s="38">
        <f>IF(OR($B79="",$B79="Land",$C79=""),"",IFERROR($C79*INDEX(Settings!$C$22:$AC$27,MATCH($B79,Settings!$A$22:$A$27,0),18),0))</f>
        <v/>
      </c>
      <c r="V79" s="38">
        <f>IF(OR($B79="",$B79="Land",$C79=""),"",IFERROR($C79*INDEX(Settings!$C$22:$AC$27,MATCH($B79,Settings!$A$22:$A$27,0),19),0))</f>
        <v/>
      </c>
      <c r="W79" s="38">
        <f>IF(OR($B79="",$B79="Land",$C79=""),"",IFERROR($C79*INDEX(Settings!$C$22:$AC$27,MATCH($B79,Settings!$A$22:$A$27,0),20),0))</f>
        <v/>
      </c>
      <c r="X79" s="38">
        <f>IF(OR($B79="",$B79="Land",$C79=""),"",IFERROR($C79*INDEX(Settings!$C$22:$AC$27,MATCH($B79,Settings!$A$22:$A$27,0),21),0))</f>
        <v/>
      </c>
      <c r="Y79" s="38">
        <f>IF(OR($B79="",$B79="Land",$C79=""),"",IFERROR($C79*INDEX(Settings!$C$22:$AC$27,MATCH($B79,Settings!$A$22:$A$27,0),22),0))</f>
        <v/>
      </c>
      <c r="Z79" s="38">
        <f>IF(OR($B79="",$B79="Land",$C79=""),"",IFERROR($C79*INDEX(Settings!$C$22:$AC$27,MATCH($B79,Settings!$A$22:$A$27,0),23),0))</f>
        <v/>
      </c>
      <c r="AA79" s="38">
        <f>IF(OR($B79="",$B79="Land",$C79=""),"",IFERROR($C79*INDEX(Settings!$C$22:$AC$27,MATCH($B79,Settings!$A$22:$A$27,0),24),0))</f>
        <v/>
      </c>
      <c r="AB79" s="38">
        <f>IF(OR($B79="",$B79="Land",$C79=""),"",IFERROR($C79*INDEX(Settings!$C$22:$AC$27,MATCH($B79,Settings!$A$22:$A$27,0),25),0))</f>
        <v/>
      </c>
      <c r="AC79" s="38">
        <f>IF(OR($B79="",$B79="Land",$C79=""),"",IFERROR($C79*INDEX(Settings!$C$22:$AC$27,MATCH($B79,Settings!$A$22:$A$27,0),26),0))</f>
        <v/>
      </c>
      <c r="AD79" s="38">
        <f>IF(OR($B79="",$B79="Land",$C79=""),"",IFERROR($C79*INDEX(Settings!$C$22:$AC$27,MATCH($B79,Settings!$A$22:$A$27,0),27),0))</f>
        <v/>
      </c>
    </row>
    <row r="80" ht="16" customHeight="1">
      <c r="A80" s="37">
        <f>'Asset Register'!A80</f>
        <v/>
      </c>
      <c r="B80" s="34">
        <f>'Asset Register'!E80</f>
        <v/>
      </c>
      <c r="C80" s="33">
        <f>'Asset Register'!J80</f>
        <v/>
      </c>
      <c r="D80" s="38">
        <f>IF(OR($B80="",$B80="Land",$C80=""),"",IFERROR($C80*INDEX(Settings!$C$22:$AC$27,MATCH($B80,Settings!$A$22:$A$27,0),1),0))</f>
        <v/>
      </c>
      <c r="E80" s="38">
        <f>IF(OR($B80="",$B80="Land",$C80=""),"",IFERROR($C80*INDEX(Settings!$C$22:$AC$27,MATCH($B80,Settings!$A$22:$A$27,0),2),0))</f>
        <v/>
      </c>
      <c r="F80" s="38">
        <f>IF(OR($B80="",$B80="Land",$C80=""),"",IFERROR($C80*INDEX(Settings!$C$22:$AC$27,MATCH($B80,Settings!$A$22:$A$27,0),3),0))</f>
        <v/>
      </c>
      <c r="G80" s="38">
        <f>IF(OR($B80="",$B80="Land",$C80=""),"",IFERROR($C80*INDEX(Settings!$C$22:$AC$27,MATCH($B80,Settings!$A$22:$A$27,0),4),0))</f>
        <v/>
      </c>
      <c r="H80" s="38">
        <f>IF(OR($B80="",$B80="Land",$C80=""),"",IFERROR($C80*INDEX(Settings!$C$22:$AC$27,MATCH($B80,Settings!$A$22:$A$27,0),5),0))</f>
        <v/>
      </c>
      <c r="I80" s="38">
        <f>IF(OR($B80="",$B80="Land",$C80=""),"",IFERROR($C80*INDEX(Settings!$C$22:$AC$27,MATCH($B80,Settings!$A$22:$A$27,0),6),0))</f>
        <v/>
      </c>
      <c r="J80" s="38">
        <f>IF(OR($B80="",$B80="Land",$C80=""),"",IFERROR($C80*INDEX(Settings!$C$22:$AC$27,MATCH($B80,Settings!$A$22:$A$27,0),7),0))</f>
        <v/>
      </c>
      <c r="K80" s="38">
        <f>IF(OR($B80="",$B80="Land",$C80=""),"",IFERROR($C80*INDEX(Settings!$C$22:$AC$27,MATCH($B80,Settings!$A$22:$A$27,0),8),0))</f>
        <v/>
      </c>
      <c r="L80" s="38">
        <f>IF(OR($B80="",$B80="Land",$C80=""),"",IFERROR($C80*INDEX(Settings!$C$22:$AC$27,MATCH($B80,Settings!$A$22:$A$27,0),9),0))</f>
        <v/>
      </c>
      <c r="M80" s="38">
        <f>IF(OR($B80="",$B80="Land",$C80=""),"",IFERROR($C80*INDEX(Settings!$C$22:$AC$27,MATCH($B80,Settings!$A$22:$A$27,0),10),0))</f>
        <v/>
      </c>
      <c r="N80" s="38">
        <f>IF(OR($B80="",$B80="Land",$C80=""),"",IFERROR($C80*INDEX(Settings!$C$22:$AC$27,MATCH($B80,Settings!$A$22:$A$27,0),11),0))</f>
        <v/>
      </c>
      <c r="O80" s="38">
        <f>IF(OR($B80="",$B80="Land",$C80=""),"",IFERROR($C80*INDEX(Settings!$C$22:$AC$27,MATCH($B80,Settings!$A$22:$A$27,0),12),0))</f>
        <v/>
      </c>
      <c r="P80" s="38">
        <f>IF(OR($B80="",$B80="Land",$C80=""),"",IFERROR($C80*INDEX(Settings!$C$22:$AC$27,MATCH($B80,Settings!$A$22:$A$27,0),13),0))</f>
        <v/>
      </c>
      <c r="Q80" s="38">
        <f>IF(OR($B80="",$B80="Land",$C80=""),"",IFERROR($C80*INDEX(Settings!$C$22:$AC$27,MATCH($B80,Settings!$A$22:$A$27,0),14),0))</f>
        <v/>
      </c>
      <c r="R80" s="38">
        <f>IF(OR($B80="",$B80="Land",$C80=""),"",IFERROR($C80*INDEX(Settings!$C$22:$AC$27,MATCH($B80,Settings!$A$22:$A$27,0),15),0))</f>
        <v/>
      </c>
      <c r="S80" s="38">
        <f>IF(OR($B80="",$B80="Land",$C80=""),"",IFERROR($C80*INDEX(Settings!$C$22:$AC$27,MATCH($B80,Settings!$A$22:$A$27,0),16),0))</f>
        <v/>
      </c>
      <c r="T80" s="38">
        <f>IF(OR($B80="",$B80="Land",$C80=""),"",IFERROR($C80*INDEX(Settings!$C$22:$AC$27,MATCH($B80,Settings!$A$22:$A$27,0),17),0))</f>
        <v/>
      </c>
      <c r="U80" s="38">
        <f>IF(OR($B80="",$B80="Land",$C80=""),"",IFERROR($C80*INDEX(Settings!$C$22:$AC$27,MATCH($B80,Settings!$A$22:$A$27,0),18),0))</f>
        <v/>
      </c>
      <c r="V80" s="38">
        <f>IF(OR($B80="",$B80="Land",$C80=""),"",IFERROR($C80*INDEX(Settings!$C$22:$AC$27,MATCH($B80,Settings!$A$22:$A$27,0),19),0))</f>
        <v/>
      </c>
      <c r="W80" s="38">
        <f>IF(OR($B80="",$B80="Land",$C80=""),"",IFERROR($C80*INDEX(Settings!$C$22:$AC$27,MATCH($B80,Settings!$A$22:$A$27,0),20),0))</f>
        <v/>
      </c>
      <c r="X80" s="38">
        <f>IF(OR($B80="",$B80="Land",$C80=""),"",IFERROR($C80*INDEX(Settings!$C$22:$AC$27,MATCH($B80,Settings!$A$22:$A$27,0),21),0))</f>
        <v/>
      </c>
      <c r="Y80" s="38">
        <f>IF(OR($B80="",$B80="Land",$C80=""),"",IFERROR($C80*INDEX(Settings!$C$22:$AC$27,MATCH($B80,Settings!$A$22:$A$27,0),22),0))</f>
        <v/>
      </c>
      <c r="Z80" s="38">
        <f>IF(OR($B80="",$B80="Land",$C80=""),"",IFERROR($C80*INDEX(Settings!$C$22:$AC$27,MATCH($B80,Settings!$A$22:$A$27,0),23),0))</f>
        <v/>
      </c>
      <c r="AA80" s="38">
        <f>IF(OR($B80="",$B80="Land",$C80=""),"",IFERROR($C80*INDEX(Settings!$C$22:$AC$27,MATCH($B80,Settings!$A$22:$A$27,0),24),0))</f>
        <v/>
      </c>
      <c r="AB80" s="38">
        <f>IF(OR($B80="",$B80="Land",$C80=""),"",IFERROR($C80*INDEX(Settings!$C$22:$AC$27,MATCH($B80,Settings!$A$22:$A$27,0),25),0))</f>
        <v/>
      </c>
      <c r="AC80" s="38">
        <f>IF(OR($B80="",$B80="Land",$C80=""),"",IFERROR($C80*INDEX(Settings!$C$22:$AC$27,MATCH($B80,Settings!$A$22:$A$27,0),26),0))</f>
        <v/>
      </c>
      <c r="AD80" s="38">
        <f>IF(OR($B80="",$B80="Land",$C80=""),"",IFERROR($C80*INDEX(Settings!$C$22:$AC$27,MATCH($B80,Settings!$A$22:$A$27,0),27),0))</f>
        <v/>
      </c>
    </row>
    <row r="81" ht="16" customHeight="1">
      <c r="A81" s="37">
        <f>'Asset Register'!A81</f>
        <v/>
      </c>
      <c r="B81" s="34">
        <f>'Asset Register'!E81</f>
        <v/>
      </c>
      <c r="C81" s="33">
        <f>'Asset Register'!J81</f>
        <v/>
      </c>
      <c r="D81" s="38">
        <f>IF(OR($B81="",$B81="Land",$C81=""),"",IFERROR($C81*INDEX(Settings!$C$22:$AC$27,MATCH($B81,Settings!$A$22:$A$27,0),1),0))</f>
        <v/>
      </c>
      <c r="E81" s="38">
        <f>IF(OR($B81="",$B81="Land",$C81=""),"",IFERROR($C81*INDEX(Settings!$C$22:$AC$27,MATCH($B81,Settings!$A$22:$A$27,0),2),0))</f>
        <v/>
      </c>
      <c r="F81" s="38">
        <f>IF(OR($B81="",$B81="Land",$C81=""),"",IFERROR($C81*INDEX(Settings!$C$22:$AC$27,MATCH($B81,Settings!$A$22:$A$27,0),3),0))</f>
        <v/>
      </c>
      <c r="G81" s="38">
        <f>IF(OR($B81="",$B81="Land",$C81=""),"",IFERROR($C81*INDEX(Settings!$C$22:$AC$27,MATCH($B81,Settings!$A$22:$A$27,0),4),0))</f>
        <v/>
      </c>
      <c r="H81" s="38">
        <f>IF(OR($B81="",$B81="Land",$C81=""),"",IFERROR($C81*INDEX(Settings!$C$22:$AC$27,MATCH($B81,Settings!$A$22:$A$27,0),5),0))</f>
        <v/>
      </c>
      <c r="I81" s="38">
        <f>IF(OR($B81="",$B81="Land",$C81=""),"",IFERROR($C81*INDEX(Settings!$C$22:$AC$27,MATCH($B81,Settings!$A$22:$A$27,0),6),0))</f>
        <v/>
      </c>
      <c r="J81" s="38">
        <f>IF(OR($B81="",$B81="Land",$C81=""),"",IFERROR($C81*INDEX(Settings!$C$22:$AC$27,MATCH($B81,Settings!$A$22:$A$27,0),7),0))</f>
        <v/>
      </c>
      <c r="K81" s="38">
        <f>IF(OR($B81="",$B81="Land",$C81=""),"",IFERROR($C81*INDEX(Settings!$C$22:$AC$27,MATCH($B81,Settings!$A$22:$A$27,0),8),0))</f>
        <v/>
      </c>
      <c r="L81" s="38">
        <f>IF(OR($B81="",$B81="Land",$C81=""),"",IFERROR($C81*INDEX(Settings!$C$22:$AC$27,MATCH($B81,Settings!$A$22:$A$27,0),9),0))</f>
        <v/>
      </c>
      <c r="M81" s="38">
        <f>IF(OR($B81="",$B81="Land",$C81=""),"",IFERROR($C81*INDEX(Settings!$C$22:$AC$27,MATCH($B81,Settings!$A$22:$A$27,0),10),0))</f>
        <v/>
      </c>
      <c r="N81" s="38">
        <f>IF(OR($B81="",$B81="Land",$C81=""),"",IFERROR($C81*INDEX(Settings!$C$22:$AC$27,MATCH($B81,Settings!$A$22:$A$27,0),11),0))</f>
        <v/>
      </c>
      <c r="O81" s="38">
        <f>IF(OR($B81="",$B81="Land",$C81=""),"",IFERROR($C81*INDEX(Settings!$C$22:$AC$27,MATCH($B81,Settings!$A$22:$A$27,0),12),0))</f>
        <v/>
      </c>
      <c r="P81" s="38">
        <f>IF(OR($B81="",$B81="Land",$C81=""),"",IFERROR($C81*INDEX(Settings!$C$22:$AC$27,MATCH($B81,Settings!$A$22:$A$27,0),13),0))</f>
        <v/>
      </c>
      <c r="Q81" s="38">
        <f>IF(OR($B81="",$B81="Land",$C81=""),"",IFERROR($C81*INDEX(Settings!$C$22:$AC$27,MATCH($B81,Settings!$A$22:$A$27,0),14),0))</f>
        <v/>
      </c>
      <c r="R81" s="38">
        <f>IF(OR($B81="",$B81="Land",$C81=""),"",IFERROR($C81*INDEX(Settings!$C$22:$AC$27,MATCH($B81,Settings!$A$22:$A$27,0),15),0))</f>
        <v/>
      </c>
      <c r="S81" s="38">
        <f>IF(OR($B81="",$B81="Land",$C81=""),"",IFERROR($C81*INDEX(Settings!$C$22:$AC$27,MATCH($B81,Settings!$A$22:$A$27,0),16),0))</f>
        <v/>
      </c>
      <c r="T81" s="38">
        <f>IF(OR($B81="",$B81="Land",$C81=""),"",IFERROR($C81*INDEX(Settings!$C$22:$AC$27,MATCH($B81,Settings!$A$22:$A$27,0),17),0))</f>
        <v/>
      </c>
      <c r="U81" s="38">
        <f>IF(OR($B81="",$B81="Land",$C81=""),"",IFERROR($C81*INDEX(Settings!$C$22:$AC$27,MATCH($B81,Settings!$A$22:$A$27,0),18),0))</f>
        <v/>
      </c>
      <c r="V81" s="38">
        <f>IF(OR($B81="",$B81="Land",$C81=""),"",IFERROR($C81*INDEX(Settings!$C$22:$AC$27,MATCH($B81,Settings!$A$22:$A$27,0),19),0))</f>
        <v/>
      </c>
      <c r="W81" s="38">
        <f>IF(OR($B81="",$B81="Land",$C81=""),"",IFERROR($C81*INDEX(Settings!$C$22:$AC$27,MATCH($B81,Settings!$A$22:$A$27,0),20),0))</f>
        <v/>
      </c>
      <c r="X81" s="38">
        <f>IF(OR($B81="",$B81="Land",$C81=""),"",IFERROR($C81*INDEX(Settings!$C$22:$AC$27,MATCH($B81,Settings!$A$22:$A$27,0),21),0))</f>
        <v/>
      </c>
      <c r="Y81" s="38">
        <f>IF(OR($B81="",$B81="Land",$C81=""),"",IFERROR($C81*INDEX(Settings!$C$22:$AC$27,MATCH($B81,Settings!$A$22:$A$27,0),22),0))</f>
        <v/>
      </c>
      <c r="Z81" s="38">
        <f>IF(OR($B81="",$B81="Land",$C81=""),"",IFERROR($C81*INDEX(Settings!$C$22:$AC$27,MATCH($B81,Settings!$A$22:$A$27,0),23),0))</f>
        <v/>
      </c>
      <c r="AA81" s="38">
        <f>IF(OR($B81="",$B81="Land",$C81=""),"",IFERROR($C81*INDEX(Settings!$C$22:$AC$27,MATCH($B81,Settings!$A$22:$A$27,0),24),0))</f>
        <v/>
      </c>
      <c r="AB81" s="38">
        <f>IF(OR($B81="",$B81="Land",$C81=""),"",IFERROR($C81*INDEX(Settings!$C$22:$AC$27,MATCH($B81,Settings!$A$22:$A$27,0),25),0))</f>
        <v/>
      </c>
      <c r="AC81" s="38">
        <f>IF(OR($B81="",$B81="Land",$C81=""),"",IFERROR($C81*INDEX(Settings!$C$22:$AC$27,MATCH($B81,Settings!$A$22:$A$27,0),26),0))</f>
        <v/>
      </c>
      <c r="AD81" s="38">
        <f>IF(OR($B81="",$B81="Land",$C81=""),"",IFERROR($C81*INDEX(Settings!$C$22:$AC$27,MATCH($B81,Settings!$A$22:$A$27,0),27),0))</f>
        <v/>
      </c>
    </row>
    <row r="82" ht="16" customHeight="1">
      <c r="A82" s="37">
        <f>'Asset Register'!A82</f>
        <v/>
      </c>
      <c r="B82" s="34">
        <f>'Asset Register'!E82</f>
        <v/>
      </c>
      <c r="C82" s="33">
        <f>'Asset Register'!J82</f>
        <v/>
      </c>
      <c r="D82" s="38">
        <f>IF(OR($B82="",$B82="Land",$C82=""),"",IFERROR($C82*INDEX(Settings!$C$22:$AC$27,MATCH($B82,Settings!$A$22:$A$27,0),1),0))</f>
        <v/>
      </c>
      <c r="E82" s="38">
        <f>IF(OR($B82="",$B82="Land",$C82=""),"",IFERROR($C82*INDEX(Settings!$C$22:$AC$27,MATCH($B82,Settings!$A$22:$A$27,0),2),0))</f>
        <v/>
      </c>
      <c r="F82" s="38">
        <f>IF(OR($B82="",$B82="Land",$C82=""),"",IFERROR($C82*INDEX(Settings!$C$22:$AC$27,MATCH($B82,Settings!$A$22:$A$27,0),3),0))</f>
        <v/>
      </c>
      <c r="G82" s="38">
        <f>IF(OR($B82="",$B82="Land",$C82=""),"",IFERROR($C82*INDEX(Settings!$C$22:$AC$27,MATCH($B82,Settings!$A$22:$A$27,0),4),0))</f>
        <v/>
      </c>
      <c r="H82" s="38">
        <f>IF(OR($B82="",$B82="Land",$C82=""),"",IFERROR($C82*INDEX(Settings!$C$22:$AC$27,MATCH($B82,Settings!$A$22:$A$27,0),5),0))</f>
        <v/>
      </c>
      <c r="I82" s="38">
        <f>IF(OR($B82="",$B82="Land",$C82=""),"",IFERROR($C82*INDEX(Settings!$C$22:$AC$27,MATCH($B82,Settings!$A$22:$A$27,0),6),0))</f>
        <v/>
      </c>
      <c r="J82" s="38">
        <f>IF(OR($B82="",$B82="Land",$C82=""),"",IFERROR($C82*INDEX(Settings!$C$22:$AC$27,MATCH($B82,Settings!$A$22:$A$27,0),7),0))</f>
        <v/>
      </c>
      <c r="K82" s="38">
        <f>IF(OR($B82="",$B82="Land",$C82=""),"",IFERROR($C82*INDEX(Settings!$C$22:$AC$27,MATCH($B82,Settings!$A$22:$A$27,0),8),0))</f>
        <v/>
      </c>
      <c r="L82" s="38">
        <f>IF(OR($B82="",$B82="Land",$C82=""),"",IFERROR($C82*INDEX(Settings!$C$22:$AC$27,MATCH($B82,Settings!$A$22:$A$27,0),9),0))</f>
        <v/>
      </c>
      <c r="M82" s="38">
        <f>IF(OR($B82="",$B82="Land",$C82=""),"",IFERROR($C82*INDEX(Settings!$C$22:$AC$27,MATCH($B82,Settings!$A$22:$A$27,0),10),0))</f>
        <v/>
      </c>
      <c r="N82" s="38">
        <f>IF(OR($B82="",$B82="Land",$C82=""),"",IFERROR($C82*INDEX(Settings!$C$22:$AC$27,MATCH($B82,Settings!$A$22:$A$27,0),11),0))</f>
        <v/>
      </c>
      <c r="O82" s="38">
        <f>IF(OR($B82="",$B82="Land",$C82=""),"",IFERROR($C82*INDEX(Settings!$C$22:$AC$27,MATCH($B82,Settings!$A$22:$A$27,0),12),0))</f>
        <v/>
      </c>
      <c r="P82" s="38">
        <f>IF(OR($B82="",$B82="Land",$C82=""),"",IFERROR($C82*INDEX(Settings!$C$22:$AC$27,MATCH($B82,Settings!$A$22:$A$27,0),13),0))</f>
        <v/>
      </c>
      <c r="Q82" s="38">
        <f>IF(OR($B82="",$B82="Land",$C82=""),"",IFERROR($C82*INDEX(Settings!$C$22:$AC$27,MATCH($B82,Settings!$A$22:$A$27,0),14),0))</f>
        <v/>
      </c>
      <c r="R82" s="38">
        <f>IF(OR($B82="",$B82="Land",$C82=""),"",IFERROR($C82*INDEX(Settings!$C$22:$AC$27,MATCH($B82,Settings!$A$22:$A$27,0),15),0))</f>
        <v/>
      </c>
      <c r="S82" s="38">
        <f>IF(OR($B82="",$B82="Land",$C82=""),"",IFERROR($C82*INDEX(Settings!$C$22:$AC$27,MATCH($B82,Settings!$A$22:$A$27,0),16),0))</f>
        <v/>
      </c>
      <c r="T82" s="38">
        <f>IF(OR($B82="",$B82="Land",$C82=""),"",IFERROR($C82*INDEX(Settings!$C$22:$AC$27,MATCH($B82,Settings!$A$22:$A$27,0),17),0))</f>
        <v/>
      </c>
      <c r="U82" s="38">
        <f>IF(OR($B82="",$B82="Land",$C82=""),"",IFERROR($C82*INDEX(Settings!$C$22:$AC$27,MATCH($B82,Settings!$A$22:$A$27,0),18),0))</f>
        <v/>
      </c>
      <c r="V82" s="38">
        <f>IF(OR($B82="",$B82="Land",$C82=""),"",IFERROR($C82*INDEX(Settings!$C$22:$AC$27,MATCH($B82,Settings!$A$22:$A$27,0),19),0))</f>
        <v/>
      </c>
      <c r="W82" s="38">
        <f>IF(OR($B82="",$B82="Land",$C82=""),"",IFERROR($C82*INDEX(Settings!$C$22:$AC$27,MATCH($B82,Settings!$A$22:$A$27,0),20),0))</f>
        <v/>
      </c>
      <c r="X82" s="38">
        <f>IF(OR($B82="",$B82="Land",$C82=""),"",IFERROR($C82*INDEX(Settings!$C$22:$AC$27,MATCH($B82,Settings!$A$22:$A$27,0),21),0))</f>
        <v/>
      </c>
      <c r="Y82" s="38">
        <f>IF(OR($B82="",$B82="Land",$C82=""),"",IFERROR($C82*INDEX(Settings!$C$22:$AC$27,MATCH($B82,Settings!$A$22:$A$27,0),22),0))</f>
        <v/>
      </c>
      <c r="Z82" s="38">
        <f>IF(OR($B82="",$B82="Land",$C82=""),"",IFERROR($C82*INDEX(Settings!$C$22:$AC$27,MATCH($B82,Settings!$A$22:$A$27,0),23),0))</f>
        <v/>
      </c>
      <c r="AA82" s="38">
        <f>IF(OR($B82="",$B82="Land",$C82=""),"",IFERROR($C82*INDEX(Settings!$C$22:$AC$27,MATCH($B82,Settings!$A$22:$A$27,0),24),0))</f>
        <v/>
      </c>
      <c r="AB82" s="38">
        <f>IF(OR($B82="",$B82="Land",$C82=""),"",IFERROR($C82*INDEX(Settings!$C$22:$AC$27,MATCH($B82,Settings!$A$22:$A$27,0),25),0))</f>
        <v/>
      </c>
      <c r="AC82" s="38">
        <f>IF(OR($B82="",$B82="Land",$C82=""),"",IFERROR($C82*INDEX(Settings!$C$22:$AC$27,MATCH($B82,Settings!$A$22:$A$27,0),26),0))</f>
        <v/>
      </c>
      <c r="AD82" s="38">
        <f>IF(OR($B82="",$B82="Land",$C82=""),"",IFERROR($C82*INDEX(Settings!$C$22:$AC$27,MATCH($B82,Settings!$A$22:$A$27,0),27),0))</f>
        <v/>
      </c>
    </row>
    <row r="83" ht="16" customHeight="1">
      <c r="A83" s="37">
        <f>'Asset Register'!A83</f>
        <v/>
      </c>
      <c r="B83" s="34">
        <f>'Asset Register'!E83</f>
        <v/>
      </c>
      <c r="C83" s="33">
        <f>'Asset Register'!J83</f>
        <v/>
      </c>
      <c r="D83" s="38">
        <f>IF(OR($B83="",$B83="Land",$C83=""),"",IFERROR($C83*INDEX(Settings!$C$22:$AC$27,MATCH($B83,Settings!$A$22:$A$27,0),1),0))</f>
        <v/>
      </c>
      <c r="E83" s="38">
        <f>IF(OR($B83="",$B83="Land",$C83=""),"",IFERROR($C83*INDEX(Settings!$C$22:$AC$27,MATCH($B83,Settings!$A$22:$A$27,0),2),0))</f>
        <v/>
      </c>
      <c r="F83" s="38">
        <f>IF(OR($B83="",$B83="Land",$C83=""),"",IFERROR($C83*INDEX(Settings!$C$22:$AC$27,MATCH($B83,Settings!$A$22:$A$27,0),3),0))</f>
        <v/>
      </c>
      <c r="G83" s="38">
        <f>IF(OR($B83="",$B83="Land",$C83=""),"",IFERROR($C83*INDEX(Settings!$C$22:$AC$27,MATCH($B83,Settings!$A$22:$A$27,0),4),0))</f>
        <v/>
      </c>
      <c r="H83" s="38">
        <f>IF(OR($B83="",$B83="Land",$C83=""),"",IFERROR($C83*INDEX(Settings!$C$22:$AC$27,MATCH($B83,Settings!$A$22:$A$27,0),5),0))</f>
        <v/>
      </c>
      <c r="I83" s="38">
        <f>IF(OR($B83="",$B83="Land",$C83=""),"",IFERROR($C83*INDEX(Settings!$C$22:$AC$27,MATCH($B83,Settings!$A$22:$A$27,0),6),0))</f>
        <v/>
      </c>
      <c r="J83" s="38">
        <f>IF(OR($B83="",$B83="Land",$C83=""),"",IFERROR($C83*INDEX(Settings!$C$22:$AC$27,MATCH($B83,Settings!$A$22:$A$27,0),7),0))</f>
        <v/>
      </c>
      <c r="K83" s="38">
        <f>IF(OR($B83="",$B83="Land",$C83=""),"",IFERROR($C83*INDEX(Settings!$C$22:$AC$27,MATCH($B83,Settings!$A$22:$A$27,0),8),0))</f>
        <v/>
      </c>
      <c r="L83" s="38">
        <f>IF(OR($B83="",$B83="Land",$C83=""),"",IFERROR($C83*INDEX(Settings!$C$22:$AC$27,MATCH($B83,Settings!$A$22:$A$27,0),9),0))</f>
        <v/>
      </c>
      <c r="M83" s="38">
        <f>IF(OR($B83="",$B83="Land",$C83=""),"",IFERROR($C83*INDEX(Settings!$C$22:$AC$27,MATCH($B83,Settings!$A$22:$A$27,0),10),0))</f>
        <v/>
      </c>
      <c r="N83" s="38">
        <f>IF(OR($B83="",$B83="Land",$C83=""),"",IFERROR($C83*INDEX(Settings!$C$22:$AC$27,MATCH($B83,Settings!$A$22:$A$27,0),11),0))</f>
        <v/>
      </c>
      <c r="O83" s="38">
        <f>IF(OR($B83="",$B83="Land",$C83=""),"",IFERROR($C83*INDEX(Settings!$C$22:$AC$27,MATCH($B83,Settings!$A$22:$A$27,0),12),0))</f>
        <v/>
      </c>
      <c r="P83" s="38">
        <f>IF(OR($B83="",$B83="Land",$C83=""),"",IFERROR($C83*INDEX(Settings!$C$22:$AC$27,MATCH($B83,Settings!$A$22:$A$27,0),13),0))</f>
        <v/>
      </c>
      <c r="Q83" s="38">
        <f>IF(OR($B83="",$B83="Land",$C83=""),"",IFERROR($C83*INDEX(Settings!$C$22:$AC$27,MATCH($B83,Settings!$A$22:$A$27,0),14),0))</f>
        <v/>
      </c>
      <c r="R83" s="38">
        <f>IF(OR($B83="",$B83="Land",$C83=""),"",IFERROR($C83*INDEX(Settings!$C$22:$AC$27,MATCH($B83,Settings!$A$22:$A$27,0),15),0))</f>
        <v/>
      </c>
      <c r="S83" s="38">
        <f>IF(OR($B83="",$B83="Land",$C83=""),"",IFERROR($C83*INDEX(Settings!$C$22:$AC$27,MATCH($B83,Settings!$A$22:$A$27,0),16),0))</f>
        <v/>
      </c>
      <c r="T83" s="38">
        <f>IF(OR($B83="",$B83="Land",$C83=""),"",IFERROR($C83*INDEX(Settings!$C$22:$AC$27,MATCH($B83,Settings!$A$22:$A$27,0),17),0))</f>
        <v/>
      </c>
      <c r="U83" s="38">
        <f>IF(OR($B83="",$B83="Land",$C83=""),"",IFERROR($C83*INDEX(Settings!$C$22:$AC$27,MATCH($B83,Settings!$A$22:$A$27,0),18),0))</f>
        <v/>
      </c>
      <c r="V83" s="38">
        <f>IF(OR($B83="",$B83="Land",$C83=""),"",IFERROR($C83*INDEX(Settings!$C$22:$AC$27,MATCH($B83,Settings!$A$22:$A$27,0),19),0))</f>
        <v/>
      </c>
      <c r="W83" s="38">
        <f>IF(OR($B83="",$B83="Land",$C83=""),"",IFERROR($C83*INDEX(Settings!$C$22:$AC$27,MATCH($B83,Settings!$A$22:$A$27,0),20),0))</f>
        <v/>
      </c>
      <c r="X83" s="38">
        <f>IF(OR($B83="",$B83="Land",$C83=""),"",IFERROR($C83*INDEX(Settings!$C$22:$AC$27,MATCH($B83,Settings!$A$22:$A$27,0),21),0))</f>
        <v/>
      </c>
      <c r="Y83" s="38">
        <f>IF(OR($B83="",$B83="Land",$C83=""),"",IFERROR($C83*INDEX(Settings!$C$22:$AC$27,MATCH($B83,Settings!$A$22:$A$27,0),22),0))</f>
        <v/>
      </c>
      <c r="Z83" s="38">
        <f>IF(OR($B83="",$B83="Land",$C83=""),"",IFERROR($C83*INDEX(Settings!$C$22:$AC$27,MATCH($B83,Settings!$A$22:$A$27,0),23),0))</f>
        <v/>
      </c>
      <c r="AA83" s="38">
        <f>IF(OR($B83="",$B83="Land",$C83=""),"",IFERROR($C83*INDEX(Settings!$C$22:$AC$27,MATCH($B83,Settings!$A$22:$A$27,0),24),0))</f>
        <v/>
      </c>
      <c r="AB83" s="38">
        <f>IF(OR($B83="",$B83="Land",$C83=""),"",IFERROR($C83*INDEX(Settings!$C$22:$AC$27,MATCH($B83,Settings!$A$22:$A$27,0),25),0))</f>
        <v/>
      </c>
      <c r="AC83" s="38">
        <f>IF(OR($B83="",$B83="Land",$C83=""),"",IFERROR($C83*INDEX(Settings!$C$22:$AC$27,MATCH($B83,Settings!$A$22:$A$27,0),26),0))</f>
        <v/>
      </c>
      <c r="AD83" s="38">
        <f>IF(OR($B83="",$B83="Land",$C83=""),"",IFERROR($C83*INDEX(Settings!$C$22:$AC$27,MATCH($B83,Settings!$A$22:$A$27,0),27),0))</f>
        <v/>
      </c>
    </row>
    <row r="84" ht="16" customHeight="1">
      <c r="A84" s="37">
        <f>'Asset Register'!A84</f>
        <v/>
      </c>
      <c r="B84" s="34">
        <f>'Asset Register'!E84</f>
        <v/>
      </c>
      <c r="C84" s="33">
        <f>'Asset Register'!J84</f>
        <v/>
      </c>
      <c r="D84" s="38">
        <f>IF(OR($B84="",$B84="Land",$C84=""),"",IFERROR($C84*INDEX(Settings!$C$22:$AC$27,MATCH($B84,Settings!$A$22:$A$27,0),1),0))</f>
        <v/>
      </c>
      <c r="E84" s="38">
        <f>IF(OR($B84="",$B84="Land",$C84=""),"",IFERROR($C84*INDEX(Settings!$C$22:$AC$27,MATCH($B84,Settings!$A$22:$A$27,0),2),0))</f>
        <v/>
      </c>
      <c r="F84" s="38">
        <f>IF(OR($B84="",$B84="Land",$C84=""),"",IFERROR($C84*INDEX(Settings!$C$22:$AC$27,MATCH($B84,Settings!$A$22:$A$27,0),3),0))</f>
        <v/>
      </c>
      <c r="G84" s="38">
        <f>IF(OR($B84="",$B84="Land",$C84=""),"",IFERROR($C84*INDEX(Settings!$C$22:$AC$27,MATCH($B84,Settings!$A$22:$A$27,0),4),0))</f>
        <v/>
      </c>
      <c r="H84" s="38">
        <f>IF(OR($B84="",$B84="Land",$C84=""),"",IFERROR($C84*INDEX(Settings!$C$22:$AC$27,MATCH($B84,Settings!$A$22:$A$27,0),5),0))</f>
        <v/>
      </c>
      <c r="I84" s="38">
        <f>IF(OR($B84="",$B84="Land",$C84=""),"",IFERROR($C84*INDEX(Settings!$C$22:$AC$27,MATCH($B84,Settings!$A$22:$A$27,0),6),0))</f>
        <v/>
      </c>
      <c r="J84" s="38">
        <f>IF(OR($B84="",$B84="Land",$C84=""),"",IFERROR($C84*INDEX(Settings!$C$22:$AC$27,MATCH($B84,Settings!$A$22:$A$27,0),7),0))</f>
        <v/>
      </c>
      <c r="K84" s="38">
        <f>IF(OR($B84="",$B84="Land",$C84=""),"",IFERROR($C84*INDEX(Settings!$C$22:$AC$27,MATCH($B84,Settings!$A$22:$A$27,0),8),0))</f>
        <v/>
      </c>
      <c r="L84" s="38">
        <f>IF(OR($B84="",$B84="Land",$C84=""),"",IFERROR($C84*INDEX(Settings!$C$22:$AC$27,MATCH($B84,Settings!$A$22:$A$27,0),9),0))</f>
        <v/>
      </c>
      <c r="M84" s="38">
        <f>IF(OR($B84="",$B84="Land",$C84=""),"",IFERROR($C84*INDEX(Settings!$C$22:$AC$27,MATCH($B84,Settings!$A$22:$A$27,0),10),0))</f>
        <v/>
      </c>
      <c r="N84" s="38">
        <f>IF(OR($B84="",$B84="Land",$C84=""),"",IFERROR($C84*INDEX(Settings!$C$22:$AC$27,MATCH($B84,Settings!$A$22:$A$27,0),11),0))</f>
        <v/>
      </c>
      <c r="O84" s="38">
        <f>IF(OR($B84="",$B84="Land",$C84=""),"",IFERROR($C84*INDEX(Settings!$C$22:$AC$27,MATCH($B84,Settings!$A$22:$A$27,0),12),0))</f>
        <v/>
      </c>
      <c r="P84" s="38">
        <f>IF(OR($B84="",$B84="Land",$C84=""),"",IFERROR($C84*INDEX(Settings!$C$22:$AC$27,MATCH($B84,Settings!$A$22:$A$27,0),13),0))</f>
        <v/>
      </c>
      <c r="Q84" s="38">
        <f>IF(OR($B84="",$B84="Land",$C84=""),"",IFERROR($C84*INDEX(Settings!$C$22:$AC$27,MATCH($B84,Settings!$A$22:$A$27,0),14),0))</f>
        <v/>
      </c>
      <c r="R84" s="38">
        <f>IF(OR($B84="",$B84="Land",$C84=""),"",IFERROR($C84*INDEX(Settings!$C$22:$AC$27,MATCH($B84,Settings!$A$22:$A$27,0),15),0))</f>
        <v/>
      </c>
      <c r="S84" s="38">
        <f>IF(OR($B84="",$B84="Land",$C84=""),"",IFERROR($C84*INDEX(Settings!$C$22:$AC$27,MATCH($B84,Settings!$A$22:$A$27,0),16),0))</f>
        <v/>
      </c>
      <c r="T84" s="38">
        <f>IF(OR($B84="",$B84="Land",$C84=""),"",IFERROR($C84*INDEX(Settings!$C$22:$AC$27,MATCH($B84,Settings!$A$22:$A$27,0),17),0))</f>
        <v/>
      </c>
      <c r="U84" s="38">
        <f>IF(OR($B84="",$B84="Land",$C84=""),"",IFERROR($C84*INDEX(Settings!$C$22:$AC$27,MATCH($B84,Settings!$A$22:$A$27,0),18),0))</f>
        <v/>
      </c>
      <c r="V84" s="38">
        <f>IF(OR($B84="",$B84="Land",$C84=""),"",IFERROR($C84*INDEX(Settings!$C$22:$AC$27,MATCH($B84,Settings!$A$22:$A$27,0),19),0))</f>
        <v/>
      </c>
      <c r="W84" s="38">
        <f>IF(OR($B84="",$B84="Land",$C84=""),"",IFERROR($C84*INDEX(Settings!$C$22:$AC$27,MATCH($B84,Settings!$A$22:$A$27,0),20),0))</f>
        <v/>
      </c>
      <c r="X84" s="38">
        <f>IF(OR($B84="",$B84="Land",$C84=""),"",IFERROR($C84*INDEX(Settings!$C$22:$AC$27,MATCH($B84,Settings!$A$22:$A$27,0),21),0))</f>
        <v/>
      </c>
      <c r="Y84" s="38">
        <f>IF(OR($B84="",$B84="Land",$C84=""),"",IFERROR($C84*INDEX(Settings!$C$22:$AC$27,MATCH($B84,Settings!$A$22:$A$27,0),22),0))</f>
        <v/>
      </c>
      <c r="Z84" s="38">
        <f>IF(OR($B84="",$B84="Land",$C84=""),"",IFERROR($C84*INDEX(Settings!$C$22:$AC$27,MATCH($B84,Settings!$A$22:$A$27,0),23),0))</f>
        <v/>
      </c>
      <c r="AA84" s="38">
        <f>IF(OR($B84="",$B84="Land",$C84=""),"",IFERROR($C84*INDEX(Settings!$C$22:$AC$27,MATCH($B84,Settings!$A$22:$A$27,0),24),0))</f>
        <v/>
      </c>
      <c r="AB84" s="38">
        <f>IF(OR($B84="",$B84="Land",$C84=""),"",IFERROR($C84*INDEX(Settings!$C$22:$AC$27,MATCH($B84,Settings!$A$22:$A$27,0),25),0))</f>
        <v/>
      </c>
      <c r="AC84" s="38">
        <f>IF(OR($B84="",$B84="Land",$C84=""),"",IFERROR($C84*INDEX(Settings!$C$22:$AC$27,MATCH($B84,Settings!$A$22:$A$27,0),26),0))</f>
        <v/>
      </c>
      <c r="AD84" s="38">
        <f>IF(OR($B84="",$B84="Land",$C84=""),"",IFERROR($C84*INDEX(Settings!$C$22:$AC$27,MATCH($B84,Settings!$A$22:$A$27,0),27),0))</f>
        <v/>
      </c>
    </row>
    <row r="85" ht="16" customHeight="1">
      <c r="A85" s="37">
        <f>'Asset Register'!A85</f>
        <v/>
      </c>
      <c r="B85" s="34">
        <f>'Asset Register'!E85</f>
        <v/>
      </c>
      <c r="C85" s="33">
        <f>'Asset Register'!J85</f>
        <v/>
      </c>
      <c r="D85" s="38">
        <f>IF(OR($B85="",$B85="Land",$C85=""),"",IFERROR($C85*INDEX(Settings!$C$22:$AC$27,MATCH($B85,Settings!$A$22:$A$27,0),1),0))</f>
        <v/>
      </c>
      <c r="E85" s="38">
        <f>IF(OR($B85="",$B85="Land",$C85=""),"",IFERROR($C85*INDEX(Settings!$C$22:$AC$27,MATCH($B85,Settings!$A$22:$A$27,0),2),0))</f>
        <v/>
      </c>
      <c r="F85" s="38">
        <f>IF(OR($B85="",$B85="Land",$C85=""),"",IFERROR($C85*INDEX(Settings!$C$22:$AC$27,MATCH($B85,Settings!$A$22:$A$27,0),3),0))</f>
        <v/>
      </c>
      <c r="G85" s="38">
        <f>IF(OR($B85="",$B85="Land",$C85=""),"",IFERROR($C85*INDEX(Settings!$C$22:$AC$27,MATCH($B85,Settings!$A$22:$A$27,0),4),0))</f>
        <v/>
      </c>
      <c r="H85" s="38">
        <f>IF(OR($B85="",$B85="Land",$C85=""),"",IFERROR($C85*INDEX(Settings!$C$22:$AC$27,MATCH($B85,Settings!$A$22:$A$27,0),5),0))</f>
        <v/>
      </c>
      <c r="I85" s="38">
        <f>IF(OR($B85="",$B85="Land",$C85=""),"",IFERROR($C85*INDEX(Settings!$C$22:$AC$27,MATCH($B85,Settings!$A$22:$A$27,0),6),0))</f>
        <v/>
      </c>
      <c r="J85" s="38">
        <f>IF(OR($B85="",$B85="Land",$C85=""),"",IFERROR($C85*INDEX(Settings!$C$22:$AC$27,MATCH($B85,Settings!$A$22:$A$27,0),7),0))</f>
        <v/>
      </c>
      <c r="K85" s="38">
        <f>IF(OR($B85="",$B85="Land",$C85=""),"",IFERROR($C85*INDEX(Settings!$C$22:$AC$27,MATCH($B85,Settings!$A$22:$A$27,0),8),0))</f>
        <v/>
      </c>
      <c r="L85" s="38">
        <f>IF(OR($B85="",$B85="Land",$C85=""),"",IFERROR($C85*INDEX(Settings!$C$22:$AC$27,MATCH($B85,Settings!$A$22:$A$27,0),9),0))</f>
        <v/>
      </c>
      <c r="M85" s="38">
        <f>IF(OR($B85="",$B85="Land",$C85=""),"",IFERROR($C85*INDEX(Settings!$C$22:$AC$27,MATCH($B85,Settings!$A$22:$A$27,0),10),0))</f>
        <v/>
      </c>
      <c r="N85" s="38">
        <f>IF(OR($B85="",$B85="Land",$C85=""),"",IFERROR($C85*INDEX(Settings!$C$22:$AC$27,MATCH($B85,Settings!$A$22:$A$27,0),11),0))</f>
        <v/>
      </c>
      <c r="O85" s="38">
        <f>IF(OR($B85="",$B85="Land",$C85=""),"",IFERROR($C85*INDEX(Settings!$C$22:$AC$27,MATCH($B85,Settings!$A$22:$A$27,0),12),0))</f>
        <v/>
      </c>
      <c r="P85" s="38">
        <f>IF(OR($B85="",$B85="Land",$C85=""),"",IFERROR($C85*INDEX(Settings!$C$22:$AC$27,MATCH($B85,Settings!$A$22:$A$27,0),13),0))</f>
        <v/>
      </c>
      <c r="Q85" s="38">
        <f>IF(OR($B85="",$B85="Land",$C85=""),"",IFERROR($C85*INDEX(Settings!$C$22:$AC$27,MATCH($B85,Settings!$A$22:$A$27,0),14),0))</f>
        <v/>
      </c>
      <c r="R85" s="38">
        <f>IF(OR($B85="",$B85="Land",$C85=""),"",IFERROR($C85*INDEX(Settings!$C$22:$AC$27,MATCH($B85,Settings!$A$22:$A$27,0),15),0))</f>
        <v/>
      </c>
      <c r="S85" s="38">
        <f>IF(OR($B85="",$B85="Land",$C85=""),"",IFERROR($C85*INDEX(Settings!$C$22:$AC$27,MATCH($B85,Settings!$A$22:$A$27,0),16),0))</f>
        <v/>
      </c>
      <c r="T85" s="38">
        <f>IF(OR($B85="",$B85="Land",$C85=""),"",IFERROR($C85*INDEX(Settings!$C$22:$AC$27,MATCH($B85,Settings!$A$22:$A$27,0),17),0))</f>
        <v/>
      </c>
      <c r="U85" s="38">
        <f>IF(OR($B85="",$B85="Land",$C85=""),"",IFERROR($C85*INDEX(Settings!$C$22:$AC$27,MATCH($B85,Settings!$A$22:$A$27,0),18),0))</f>
        <v/>
      </c>
      <c r="V85" s="38">
        <f>IF(OR($B85="",$B85="Land",$C85=""),"",IFERROR($C85*INDEX(Settings!$C$22:$AC$27,MATCH($B85,Settings!$A$22:$A$27,0),19),0))</f>
        <v/>
      </c>
      <c r="W85" s="38">
        <f>IF(OR($B85="",$B85="Land",$C85=""),"",IFERROR($C85*INDEX(Settings!$C$22:$AC$27,MATCH($B85,Settings!$A$22:$A$27,0),20),0))</f>
        <v/>
      </c>
      <c r="X85" s="38">
        <f>IF(OR($B85="",$B85="Land",$C85=""),"",IFERROR($C85*INDEX(Settings!$C$22:$AC$27,MATCH($B85,Settings!$A$22:$A$27,0),21),0))</f>
        <v/>
      </c>
      <c r="Y85" s="38">
        <f>IF(OR($B85="",$B85="Land",$C85=""),"",IFERROR($C85*INDEX(Settings!$C$22:$AC$27,MATCH($B85,Settings!$A$22:$A$27,0),22),0))</f>
        <v/>
      </c>
      <c r="Z85" s="38">
        <f>IF(OR($B85="",$B85="Land",$C85=""),"",IFERROR($C85*INDEX(Settings!$C$22:$AC$27,MATCH($B85,Settings!$A$22:$A$27,0),23),0))</f>
        <v/>
      </c>
      <c r="AA85" s="38">
        <f>IF(OR($B85="",$B85="Land",$C85=""),"",IFERROR($C85*INDEX(Settings!$C$22:$AC$27,MATCH($B85,Settings!$A$22:$A$27,0),24),0))</f>
        <v/>
      </c>
      <c r="AB85" s="38">
        <f>IF(OR($B85="",$B85="Land",$C85=""),"",IFERROR($C85*INDEX(Settings!$C$22:$AC$27,MATCH($B85,Settings!$A$22:$A$27,0),25),0))</f>
        <v/>
      </c>
      <c r="AC85" s="38">
        <f>IF(OR($B85="",$B85="Land",$C85=""),"",IFERROR($C85*INDEX(Settings!$C$22:$AC$27,MATCH($B85,Settings!$A$22:$A$27,0),26),0))</f>
        <v/>
      </c>
      <c r="AD85" s="38">
        <f>IF(OR($B85="",$B85="Land",$C85=""),"",IFERROR($C85*INDEX(Settings!$C$22:$AC$27,MATCH($B85,Settings!$A$22:$A$27,0),27),0))</f>
        <v/>
      </c>
    </row>
    <row r="86" ht="16" customHeight="1">
      <c r="A86" s="37">
        <f>'Asset Register'!A86</f>
        <v/>
      </c>
      <c r="B86" s="34">
        <f>'Asset Register'!E86</f>
        <v/>
      </c>
      <c r="C86" s="33">
        <f>'Asset Register'!J86</f>
        <v/>
      </c>
      <c r="D86" s="38">
        <f>IF(OR($B86="",$B86="Land",$C86=""),"",IFERROR($C86*INDEX(Settings!$C$22:$AC$27,MATCH($B86,Settings!$A$22:$A$27,0),1),0))</f>
        <v/>
      </c>
      <c r="E86" s="38">
        <f>IF(OR($B86="",$B86="Land",$C86=""),"",IFERROR($C86*INDEX(Settings!$C$22:$AC$27,MATCH($B86,Settings!$A$22:$A$27,0),2),0))</f>
        <v/>
      </c>
      <c r="F86" s="38">
        <f>IF(OR($B86="",$B86="Land",$C86=""),"",IFERROR($C86*INDEX(Settings!$C$22:$AC$27,MATCH($B86,Settings!$A$22:$A$27,0),3),0))</f>
        <v/>
      </c>
      <c r="G86" s="38">
        <f>IF(OR($B86="",$B86="Land",$C86=""),"",IFERROR($C86*INDEX(Settings!$C$22:$AC$27,MATCH($B86,Settings!$A$22:$A$27,0),4),0))</f>
        <v/>
      </c>
      <c r="H86" s="38">
        <f>IF(OR($B86="",$B86="Land",$C86=""),"",IFERROR($C86*INDEX(Settings!$C$22:$AC$27,MATCH($B86,Settings!$A$22:$A$27,0),5),0))</f>
        <v/>
      </c>
      <c r="I86" s="38">
        <f>IF(OR($B86="",$B86="Land",$C86=""),"",IFERROR($C86*INDEX(Settings!$C$22:$AC$27,MATCH($B86,Settings!$A$22:$A$27,0),6),0))</f>
        <v/>
      </c>
      <c r="J86" s="38">
        <f>IF(OR($B86="",$B86="Land",$C86=""),"",IFERROR($C86*INDEX(Settings!$C$22:$AC$27,MATCH($B86,Settings!$A$22:$A$27,0),7),0))</f>
        <v/>
      </c>
      <c r="K86" s="38">
        <f>IF(OR($B86="",$B86="Land",$C86=""),"",IFERROR($C86*INDEX(Settings!$C$22:$AC$27,MATCH($B86,Settings!$A$22:$A$27,0),8),0))</f>
        <v/>
      </c>
      <c r="L86" s="38">
        <f>IF(OR($B86="",$B86="Land",$C86=""),"",IFERROR($C86*INDEX(Settings!$C$22:$AC$27,MATCH($B86,Settings!$A$22:$A$27,0),9),0))</f>
        <v/>
      </c>
      <c r="M86" s="38">
        <f>IF(OR($B86="",$B86="Land",$C86=""),"",IFERROR($C86*INDEX(Settings!$C$22:$AC$27,MATCH($B86,Settings!$A$22:$A$27,0),10),0))</f>
        <v/>
      </c>
      <c r="N86" s="38">
        <f>IF(OR($B86="",$B86="Land",$C86=""),"",IFERROR($C86*INDEX(Settings!$C$22:$AC$27,MATCH($B86,Settings!$A$22:$A$27,0),11),0))</f>
        <v/>
      </c>
      <c r="O86" s="38">
        <f>IF(OR($B86="",$B86="Land",$C86=""),"",IFERROR($C86*INDEX(Settings!$C$22:$AC$27,MATCH($B86,Settings!$A$22:$A$27,0),12),0))</f>
        <v/>
      </c>
      <c r="P86" s="38">
        <f>IF(OR($B86="",$B86="Land",$C86=""),"",IFERROR($C86*INDEX(Settings!$C$22:$AC$27,MATCH($B86,Settings!$A$22:$A$27,0),13),0))</f>
        <v/>
      </c>
      <c r="Q86" s="38">
        <f>IF(OR($B86="",$B86="Land",$C86=""),"",IFERROR($C86*INDEX(Settings!$C$22:$AC$27,MATCH($B86,Settings!$A$22:$A$27,0),14),0))</f>
        <v/>
      </c>
      <c r="R86" s="38">
        <f>IF(OR($B86="",$B86="Land",$C86=""),"",IFERROR($C86*INDEX(Settings!$C$22:$AC$27,MATCH($B86,Settings!$A$22:$A$27,0),15),0))</f>
        <v/>
      </c>
      <c r="S86" s="38">
        <f>IF(OR($B86="",$B86="Land",$C86=""),"",IFERROR($C86*INDEX(Settings!$C$22:$AC$27,MATCH($B86,Settings!$A$22:$A$27,0),16),0))</f>
        <v/>
      </c>
      <c r="T86" s="38">
        <f>IF(OR($B86="",$B86="Land",$C86=""),"",IFERROR($C86*INDEX(Settings!$C$22:$AC$27,MATCH($B86,Settings!$A$22:$A$27,0),17),0))</f>
        <v/>
      </c>
      <c r="U86" s="38">
        <f>IF(OR($B86="",$B86="Land",$C86=""),"",IFERROR($C86*INDEX(Settings!$C$22:$AC$27,MATCH($B86,Settings!$A$22:$A$27,0),18),0))</f>
        <v/>
      </c>
      <c r="V86" s="38">
        <f>IF(OR($B86="",$B86="Land",$C86=""),"",IFERROR($C86*INDEX(Settings!$C$22:$AC$27,MATCH($B86,Settings!$A$22:$A$27,0),19),0))</f>
        <v/>
      </c>
      <c r="W86" s="38">
        <f>IF(OR($B86="",$B86="Land",$C86=""),"",IFERROR($C86*INDEX(Settings!$C$22:$AC$27,MATCH($B86,Settings!$A$22:$A$27,0),20),0))</f>
        <v/>
      </c>
      <c r="X86" s="38">
        <f>IF(OR($B86="",$B86="Land",$C86=""),"",IFERROR($C86*INDEX(Settings!$C$22:$AC$27,MATCH($B86,Settings!$A$22:$A$27,0),21),0))</f>
        <v/>
      </c>
      <c r="Y86" s="38">
        <f>IF(OR($B86="",$B86="Land",$C86=""),"",IFERROR($C86*INDEX(Settings!$C$22:$AC$27,MATCH($B86,Settings!$A$22:$A$27,0),22),0))</f>
        <v/>
      </c>
      <c r="Z86" s="38">
        <f>IF(OR($B86="",$B86="Land",$C86=""),"",IFERROR($C86*INDEX(Settings!$C$22:$AC$27,MATCH($B86,Settings!$A$22:$A$27,0),23),0))</f>
        <v/>
      </c>
      <c r="AA86" s="38">
        <f>IF(OR($B86="",$B86="Land",$C86=""),"",IFERROR($C86*INDEX(Settings!$C$22:$AC$27,MATCH($B86,Settings!$A$22:$A$27,0),24),0))</f>
        <v/>
      </c>
      <c r="AB86" s="38">
        <f>IF(OR($B86="",$B86="Land",$C86=""),"",IFERROR($C86*INDEX(Settings!$C$22:$AC$27,MATCH($B86,Settings!$A$22:$A$27,0),25),0))</f>
        <v/>
      </c>
      <c r="AC86" s="38">
        <f>IF(OR($B86="",$B86="Land",$C86=""),"",IFERROR($C86*INDEX(Settings!$C$22:$AC$27,MATCH($B86,Settings!$A$22:$A$27,0),26),0))</f>
        <v/>
      </c>
      <c r="AD86" s="38">
        <f>IF(OR($B86="",$B86="Land",$C86=""),"",IFERROR($C86*INDEX(Settings!$C$22:$AC$27,MATCH($B86,Settings!$A$22:$A$27,0),27),0))</f>
        <v/>
      </c>
    </row>
    <row r="87" ht="16" customHeight="1">
      <c r="A87" s="37">
        <f>'Asset Register'!A87</f>
        <v/>
      </c>
      <c r="B87" s="34">
        <f>'Asset Register'!E87</f>
        <v/>
      </c>
      <c r="C87" s="33">
        <f>'Asset Register'!J87</f>
        <v/>
      </c>
      <c r="D87" s="38">
        <f>IF(OR($B87="",$B87="Land",$C87=""),"",IFERROR($C87*INDEX(Settings!$C$22:$AC$27,MATCH($B87,Settings!$A$22:$A$27,0),1),0))</f>
        <v/>
      </c>
      <c r="E87" s="38">
        <f>IF(OR($B87="",$B87="Land",$C87=""),"",IFERROR($C87*INDEX(Settings!$C$22:$AC$27,MATCH($B87,Settings!$A$22:$A$27,0),2),0))</f>
        <v/>
      </c>
      <c r="F87" s="38">
        <f>IF(OR($B87="",$B87="Land",$C87=""),"",IFERROR($C87*INDEX(Settings!$C$22:$AC$27,MATCH($B87,Settings!$A$22:$A$27,0),3),0))</f>
        <v/>
      </c>
      <c r="G87" s="38">
        <f>IF(OR($B87="",$B87="Land",$C87=""),"",IFERROR($C87*INDEX(Settings!$C$22:$AC$27,MATCH($B87,Settings!$A$22:$A$27,0),4),0))</f>
        <v/>
      </c>
      <c r="H87" s="38">
        <f>IF(OR($B87="",$B87="Land",$C87=""),"",IFERROR($C87*INDEX(Settings!$C$22:$AC$27,MATCH($B87,Settings!$A$22:$A$27,0),5),0))</f>
        <v/>
      </c>
      <c r="I87" s="38">
        <f>IF(OR($B87="",$B87="Land",$C87=""),"",IFERROR($C87*INDEX(Settings!$C$22:$AC$27,MATCH($B87,Settings!$A$22:$A$27,0),6),0))</f>
        <v/>
      </c>
      <c r="J87" s="38">
        <f>IF(OR($B87="",$B87="Land",$C87=""),"",IFERROR($C87*INDEX(Settings!$C$22:$AC$27,MATCH($B87,Settings!$A$22:$A$27,0),7),0))</f>
        <v/>
      </c>
      <c r="K87" s="38">
        <f>IF(OR($B87="",$B87="Land",$C87=""),"",IFERROR($C87*INDEX(Settings!$C$22:$AC$27,MATCH($B87,Settings!$A$22:$A$27,0),8),0))</f>
        <v/>
      </c>
      <c r="L87" s="38">
        <f>IF(OR($B87="",$B87="Land",$C87=""),"",IFERROR($C87*INDEX(Settings!$C$22:$AC$27,MATCH($B87,Settings!$A$22:$A$27,0),9),0))</f>
        <v/>
      </c>
      <c r="M87" s="38">
        <f>IF(OR($B87="",$B87="Land",$C87=""),"",IFERROR($C87*INDEX(Settings!$C$22:$AC$27,MATCH($B87,Settings!$A$22:$A$27,0),10),0))</f>
        <v/>
      </c>
      <c r="N87" s="38">
        <f>IF(OR($B87="",$B87="Land",$C87=""),"",IFERROR($C87*INDEX(Settings!$C$22:$AC$27,MATCH($B87,Settings!$A$22:$A$27,0),11),0))</f>
        <v/>
      </c>
      <c r="O87" s="38">
        <f>IF(OR($B87="",$B87="Land",$C87=""),"",IFERROR($C87*INDEX(Settings!$C$22:$AC$27,MATCH($B87,Settings!$A$22:$A$27,0),12),0))</f>
        <v/>
      </c>
      <c r="P87" s="38">
        <f>IF(OR($B87="",$B87="Land",$C87=""),"",IFERROR($C87*INDEX(Settings!$C$22:$AC$27,MATCH($B87,Settings!$A$22:$A$27,0),13),0))</f>
        <v/>
      </c>
      <c r="Q87" s="38">
        <f>IF(OR($B87="",$B87="Land",$C87=""),"",IFERROR($C87*INDEX(Settings!$C$22:$AC$27,MATCH($B87,Settings!$A$22:$A$27,0),14),0))</f>
        <v/>
      </c>
      <c r="R87" s="38">
        <f>IF(OR($B87="",$B87="Land",$C87=""),"",IFERROR($C87*INDEX(Settings!$C$22:$AC$27,MATCH($B87,Settings!$A$22:$A$27,0),15),0))</f>
        <v/>
      </c>
      <c r="S87" s="38">
        <f>IF(OR($B87="",$B87="Land",$C87=""),"",IFERROR($C87*INDEX(Settings!$C$22:$AC$27,MATCH($B87,Settings!$A$22:$A$27,0),16),0))</f>
        <v/>
      </c>
      <c r="T87" s="38">
        <f>IF(OR($B87="",$B87="Land",$C87=""),"",IFERROR($C87*INDEX(Settings!$C$22:$AC$27,MATCH($B87,Settings!$A$22:$A$27,0),17),0))</f>
        <v/>
      </c>
      <c r="U87" s="38">
        <f>IF(OR($B87="",$B87="Land",$C87=""),"",IFERROR($C87*INDEX(Settings!$C$22:$AC$27,MATCH($B87,Settings!$A$22:$A$27,0),18),0))</f>
        <v/>
      </c>
      <c r="V87" s="38">
        <f>IF(OR($B87="",$B87="Land",$C87=""),"",IFERROR($C87*INDEX(Settings!$C$22:$AC$27,MATCH($B87,Settings!$A$22:$A$27,0),19),0))</f>
        <v/>
      </c>
      <c r="W87" s="38">
        <f>IF(OR($B87="",$B87="Land",$C87=""),"",IFERROR($C87*INDEX(Settings!$C$22:$AC$27,MATCH($B87,Settings!$A$22:$A$27,0),20),0))</f>
        <v/>
      </c>
      <c r="X87" s="38">
        <f>IF(OR($B87="",$B87="Land",$C87=""),"",IFERROR($C87*INDEX(Settings!$C$22:$AC$27,MATCH($B87,Settings!$A$22:$A$27,0),21),0))</f>
        <v/>
      </c>
      <c r="Y87" s="38">
        <f>IF(OR($B87="",$B87="Land",$C87=""),"",IFERROR($C87*INDEX(Settings!$C$22:$AC$27,MATCH($B87,Settings!$A$22:$A$27,0),22),0))</f>
        <v/>
      </c>
      <c r="Z87" s="38">
        <f>IF(OR($B87="",$B87="Land",$C87=""),"",IFERROR($C87*INDEX(Settings!$C$22:$AC$27,MATCH($B87,Settings!$A$22:$A$27,0),23),0))</f>
        <v/>
      </c>
      <c r="AA87" s="38">
        <f>IF(OR($B87="",$B87="Land",$C87=""),"",IFERROR($C87*INDEX(Settings!$C$22:$AC$27,MATCH($B87,Settings!$A$22:$A$27,0),24),0))</f>
        <v/>
      </c>
      <c r="AB87" s="38">
        <f>IF(OR($B87="",$B87="Land",$C87=""),"",IFERROR($C87*INDEX(Settings!$C$22:$AC$27,MATCH($B87,Settings!$A$22:$A$27,0),25),0))</f>
        <v/>
      </c>
      <c r="AC87" s="38">
        <f>IF(OR($B87="",$B87="Land",$C87=""),"",IFERROR($C87*INDEX(Settings!$C$22:$AC$27,MATCH($B87,Settings!$A$22:$A$27,0),26),0))</f>
        <v/>
      </c>
      <c r="AD87" s="38">
        <f>IF(OR($B87="",$B87="Land",$C87=""),"",IFERROR($C87*INDEX(Settings!$C$22:$AC$27,MATCH($B87,Settings!$A$22:$A$27,0),27),0))</f>
        <v/>
      </c>
    </row>
    <row r="88" ht="16" customHeight="1">
      <c r="A88" s="37">
        <f>'Asset Register'!A88</f>
        <v/>
      </c>
      <c r="B88" s="34">
        <f>'Asset Register'!E88</f>
        <v/>
      </c>
      <c r="C88" s="33">
        <f>'Asset Register'!J88</f>
        <v/>
      </c>
      <c r="D88" s="38">
        <f>IF(OR($B88="",$B88="Land",$C88=""),"",IFERROR($C88*INDEX(Settings!$C$22:$AC$27,MATCH($B88,Settings!$A$22:$A$27,0),1),0))</f>
        <v/>
      </c>
      <c r="E88" s="38">
        <f>IF(OR($B88="",$B88="Land",$C88=""),"",IFERROR($C88*INDEX(Settings!$C$22:$AC$27,MATCH($B88,Settings!$A$22:$A$27,0),2),0))</f>
        <v/>
      </c>
      <c r="F88" s="38">
        <f>IF(OR($B88="",$B88="Land",$C88=""),"",IFERROR($C88*INDEX(Settings!$C$22:$AC$27,MATCH($B88,Settings!$A$22:$A$27,0),3),0))</f>
        <v/>
      </c>
      <c r="G88" s="38">
        <f>IF(OR($B88="",$B88="Land",$C88=""),"",IFERROR($C88*INDEX(Settings!$C$22:$AC$27,MATCH($B88,Settings!$A$22:$A$27,0),4),0))</f>
        <v/>
      </c>
      <c r="H88" s="38">
        <f>IF(OR($B88="",$B88="Land",$C88=""),"",IFERROR($C88*INDEX(Settings!$C$22:$AC$27,MATCH($B88,Settings!$A$22:$A$27,0),5),0))</f>
        <v/>
      </c>
      <c r="I88" s="38">
        <f>IF(OR($B88="",$B88="Land",$C88=""),"",IFERROR($C88*INDEX(Settings!$C$22:$AC$27,MATCH($B88,Settings!$A$22:$A$27,0),6),0))</f>
        <v/>
      </c>
      <c r="J88" s="38">
        <f>IF(OR($B88="",$B88="Land",$C88=""),"",IFERROR($C88*INDEX(Settings!$C$22:$AC$27,MATCH($B88,Settings!$A$22:$A$27,0),7),0))</f>
        <v/>
      </c>
      <c r="K88" s="38">
        <f>IF(OR($B88="",$B88="Land",$C88=""),"",IFERROR($C88*INDEX(Settings!$C$22:$AC$27,MATCH($B88,Settings!$A$22:$A$27,0),8),0))</f>
        <v/>
      </c>
      <c r="L88" s="38">
        <f>IF(OR($B88="",$B88="Land",$C88=""),"",IFERROR($C88*INDEX(Settings!$C$22:$AC$27,MATCH($B88,Settings!$A$22:$A$27,0),9),0))</f>
        <v/>
      </c>
      <c r="M88" s="38">
        <f>IF(OR($B88="",$B88="Land",$C88=""),"",IFERROR($C88*INDEX(Settings!$C$22:$AC$27,MATCH($B88,Settings!$A$22:$A$27,0),10),0))</f>
        <v/>
      </c>
      <c r="N88" s="38">
        <f>IF(OR($B88="",$B88="Land",$C88=""),"",IFERROR($C88*INDEX(Settings!$C$22:$AC$27,MATCH($B88,Settings!$A$22:$A$27,0),11),0))</f>
        <v/>
      </c>
      <c r="O88" s="38">
        <f>IF(OR($B88="",$B88="Land",$C88=""),"",IFERROR($C88*INDEX(Settings!$C$22:$AC$27,MATCH($B88,Settings!$A$22:$A$27,0),12),0))</f>
        <v/>
      </c>
      <c r="P88" s="38">
        <f>IF(OR($B88="",$B88="Land",$C88=""),"",IFERROR($C88*INDEX(Settings!$C$22:$AC$27,MATCH($B88,Settings!$A$22:$A$27,0),13),0))</f>
        <v/>
      </c>
      <c r="Q88" s="38">
        <f>IF(OR($B88="",$B88="Land",$C88=""),"",IFERROR($C88*INDEX(Settings!$C$22:$AC$27,MATCH($B88,Settings!$A$22:$A$27,0),14),0))</f>
        <v/>
      </c>
      <c r="R88" s="38">
        <f>IF(OR($B88="",$B88="Land",$C88=""),"",IFERROR($C88*INDEX(Settings!$C$22:$AC$27,MATCH($B88,Settings!$A$22:$A$27,0),15),0))</f>
        <v/>
      </c>
      <c r="S88" s="38">
        <f>IF(OR($B88="",$B88="Land",$C88=""),"",IFERROR($C88*INDEX(Settings!$C$22:$AC$27,MATCH($B88,Settings!$A$22:$A$27,0),16),0))</f>
        <v/>
      </c>
      <c r="T88" s="38">
        <f>IF(OR($B88="",$B88="Land",$C88=""),"",IFERROR($C88*INDEX(Settings!$C$22:$AC$27,MATCH($B88,Settings!$A$22:$A$27,0),17),0))</f>
        <v/>
      </c>
      <c r="U88" s="38">
        <f>IF(OR($B88="",$B88="Land",$C88=""),"",IFERROR($C88*INDEX(Settings!$C$22:$AC$27,MATCH($B88,Settings!$A$22:$A$27,0),18),0))</f>
        <v/>
      </c>
      <c r="V88" s="38">
        <f>IF(OR($B88="",$B88="Land",$C88=""),"",IFERROR($C88*INDEX(Settings!$C$22:$AC$27,MATCH($B88,Settings!$A$22:$A$27,0),19),0))</f>
        <v/>
      </c>
      <c r="W88" s="38">
        <f>IF(OR($B88="",$B88="Land",$C88=""),"",IFERROR($C88*INDEX(Settings!$C$22:$AC$27,MATCH($B88,Settings!$A$22:$A$27,0),20),0))</f>
        <v/>
      </c>
      <c r="X88" s="38">
        <f>IF(OR($B88="",$B88="Land",$C88=""),"",IFERROR($C88*INDEX(Settings!$C$22:$AC$27,MATCH($B88,Settings!$A$22:$A$27,0),21),0))</f>
        <v/>
      </c>
      <c r="Y88" s="38">
        <f>IF(OR($B88="",$B88="Land",$C88=""),"",IFERROR($C88*INDEX(Settings!$C$22:$AC$27,MATCH($B88,Settings!$A$22:$A$27,0),22),0))</f>
        <v/>
      </c>
      <c r="Z88" s="38">
        <f>IF(OR($B88="",$B88="Land",$C88=""),"",IFERROR($C88*INDEX(Settings!$C$22:$AC$27,MATCH($B88,Settings!$A$22:$A$27,0),23),0))</f>
        <v/>
      </c>
      <c r="AA88" s="38">
        <f>IF(OR($B88="",$B88="Land",$C88=""),"",IFERROR($C88*INDEX(Settings!$C$22:$AC$27,MATCH($B88,Settings!$A$22:$A$27,0),24),0))</f>
        <v/>
      </c>
      <c r="AB88" s="38">
        <f>IF(OR($B88="",$B88="Land",$C88=""),"",IFERROR($C88*INDEX(Settings!$C$22:$AC$27,MATCH($B88,Settings!$A$22:$A$27,0),25),0))</f>
        <v/>
      </c>
      <c r="AC88" s="38">
        <f>IF(OR($B88="",$B88="Land",$C88=""),"",IFERROR($C88*INDEX(Settings!$C$22:$AC$27,MATCH($B88,Settings!$A$22:$A$27,0),26),0))</f>
        <v/>
      </c>
      <c r="AD88" s="38">
        <f>IF(OR($B88="",$B88="Land",$C88=""),"",IFERROR($C88*INDEX(Settings!$C$22:$AC$27,MATCH($B88,Settings!$A$22:$A$27,0),27),0))</f>
        <v/>
      </c>
    </row>
    <row r="89" ht="16" customHeight="1">
      <c r="A89" s="37">
        <f>'Asset Register'!A89</f>
        <v/>
      </c>
      <c r="B89" s="34">
        <f>'Asset Register'!E89</f>
        <v/>
      </c>
      <c r="C89" s="33">
        <f>'Asset Register'!J89</f>
        <v/>
      </c>
      <c r="D89" s="38">
        <f>IF(OR($B89="",$B89="Land",$C89=""),"",IFERROR($C89*INDEX(Settings!$C$22:$AC$27,MATCH($B89,Settings!$A$22:$A$27,0),1),0))</f>
        <v/>
      </c>
      <c r="E89" s="38">
        <f>IF(OR($B89="",$B89="Land",$C89=""),"",IFERROR($C89*INDEX(Settings!$C$22:$AC$27,MATCH($B89,Settings!$A$22:$A$27,0),2),0))</f>
        <v/>
      </c>
      <c r="F89" s="38">
        <f>IF(OR($B89="",$B89="Land",$C89=""),"",IFERROR($C89*INDEX(Settings!$C$22:$AC$27,MATCH($B89,Settings!$A$22:$A$27,0),3),0))</f>
        <v/>
      </c>
      <c r="G89" s="38">
        <f>IF(OR($B89="",$B89="Land",$C89=""),"",IFERROR($C89*INDEX(Settings!$C$22:$AC$27,MATCH($B89,Settings!$A$22:$A$27,0),4),0))</f>
        <v/>
      </c>
      <c r="H89" s="38">
        <f>IF(OR($B89="",$B89="Land",$C89=""),"",IFERROR($C89*INDEX(Settings!$C$22:$AC$27,MATCH($B89,Settings!$A$22:$A$27,0),5),0))</f>
        <v/>
      </c>
      <c r="I89" s="38">
        <f>IF(OR($B89="",$B89="Land",$C89=""),"",IFERROR($C89*INDEX(Settings!$C$22:$AC$27,MATCH($B89,Settings!$A$22:$A$27,0),6),0))</f>
        <v/>
      </c>
      <c r="J89" s="38">
        <f>IF(OR($B89="",$B89="Land",$C89=""),"",IFERROR($C89*INDEX(Settings!$C$22:$AC$27,MATCH($B89,Settings!$A$22:$A$27,0),7),0))</f>
        <v/>
      </c>
      <c r="K89" s="38">
        <f>IF(OR($B89="",$B89="Land",$C89=""),"",IFERROR($C89*INDEX(Settings!$C$22:$AC$27,MATCH($B89,Settings!$A$22:$A$27,0),8),0))</f>
        <v/>
      </c>
      <c r="L89" s="38">
        <f>IF(OR($B89="",$B89="Land",$C89=""),"",IFERROR($C89*INDEX(Settings!$C$22:$AC$27,MATCH($B89,Settings!$A$22:$A$27,0),9),0))</f>
        <v/>
      </c>
      <c r="M89" s="38">
        <f>IF(OR($B89="",$B89="Land",$C89=""),"",IFERROR($C89*INDEX(Settings!$C$22:$AC$27,MATCH($B89,Settings!$A$22:$A$27,0),10),0))</f>
        <v/>
      </c>
      <c r="N89" s="38">
        <f>IF(OR($B89="",$B89="Land",$C89=""),"",IFERROR($C89*INDEX(Settings!$C$22:$AC$27,MATCH($B89,Settings!$A$22:$A$27,0),11),0))</f>
        <v/>
      </c>
      <c r="O89" s="38">
        <f>IF(OR($B89="",$B89="Land",$C89=""),"",IFERROR($C89*INDEX(Settings!$C$22:$AC$27,MATCH($B89,Settings!$A$22:$A$27,0),12),0))</f>
        <v/>
      </c>
      <c r="P89" s="38">
        <f>IF(OR($B89="",$B89="Land",$C89=""),"",IFERROR($C89*INDEX(Settings!$C$22:$AC$27,MATCH($B89,Settings!$A$22:$A$27,0),13),0))</f>
        <v/>
      </c>
      <c r="Q89" s="38">
        <f>IF(OR($B89="",$B89="Land",$C89=""),"",IFERROR($C89*INDEX(Settings!$C$22:$AC$27,MATCH($B89,Settings!$A$22:$A$27,0),14),0))</f>
        <v/>
      </c>
      <c r="R89" s="38">
        <f>IF(OR($B89="",$B89="Land",$C89=""),"",IFERROR($C89*INDEX(Settings!$C$22:$AC$27,MATCH($B89,Settings!$A$22:$A$27,0),15),0))</f>
        <v/>
      </c>
      <c r="S89" s="38">
        <f>IF(OR($B89="",$B89="Land",$C89=""),"",IFERROR($C89*INDEX(Settings!$C$22:$AC$27,MATCH($B89,Settings!$A$22:$A$27,0),16),0))</f>
        <v/>
      </c>
      <c r="T89" s="38">
        <f>IF(OR($B89="",$B89="Land",$C89=""),"",IFERROR($C89*INDEX(Settings!$C$22:$AC$27,MATCH($B89,Settings!$A$22:$A$27,0),17),0))</f>
        <v/>
      </c>
      <c r="U89" s="38">
        <f>IF(OR($B89="",$B89="Land",$C89=""),"",IFERROR($C89*INDEX(Settings!$C$22:$AC$27,MATCH($B89,Settings!$A$22:$A$27,0),18),0))</f>
        <v/>
      </c>
      <c r="V89" s="38">
        <f>IF(OR($B89="",$B89="Land",$C89=""),"",IFERROR($C89*INDEX(Settings!$C$22:$AC$27,MATCH($B89,Settings!$A$22:$A$27,0),19),0))</f>
        <v/>
      </c>
      <c r="W89" s="38">
        <f>IF(OR($B89="",$B89="Land",$C89=""),"",IFERROR($C89*INDEX(Settings!$C$22:$AC$27,MATCH($B89,Settings!$A$22:$A$27,0),20),0))</f>
        <v/>
      </c>
      <c r="X89" s="38">
        <f>IF(OR($B89="",$B89="Land",$C89=""),"",IFERROR($C89*INDEX(Settings!$C$22:$AC$27,MATCH($B89,Settings!$A$22:$A$27,0),21),0))</f>
        <v/>
      </c>
      <c r="Y89" s="38">
        <f>IF(OR($B89="",$B89="Land",$C89=""),"",IFERROR($C89*INDEX(Settings!$C$22:$AC$27,MATCH($B89,Settings!$A$22:$A$27,0),22),0))</f>
        <v/>
      </c>
      <c r="Z89" s="38">
        <f>IF(OR($B89="",$B89="Land",$C89=""),"",IFERROR($C89*INDEX(Settings!$C$22:$AC$27,MATCH($B89,Settings!$A$22:$A$27,0),23),0))</f>
        <v/>
      </c>
      <c r="AA89" s="38">
        <f>IF(OR($B89="",$B89="Land",$C89=""),"",IFERROR($C89*INDEX(Settings!$C$22:$AC$27,MATCH($B89,Settings!$A$22:$A$27,0),24),0))</f>
        <v/>
      </c>
      <c r="AB89" s="38">
        <f>IF(OR($B89="",$B89="Land",$C89=""),"",IFERROR($C89*INDEX(Settings!$C$22:$AC$27,MATCH($B89,Settings!$A$22:$A$27,0),25),0))</f>
        <v/>
      </c>
      <c r="AC89" s="38">
        <f>IF(OR($B89="",$B89="Land",$C89=""),"",IFERROR($C89*INDEX(Settings!$C$22:$AC$27,MATCH($B89,Settings!$A$22:$A$27,0),26),0))</f>
        <v/>
      </c>
      <c r="AD89" s="38">
        <f>IF(OR($B89="",$B89="Land",$C89=""),"",IFERROR($C89*INDEX(Settings!$C$22:$AC$27,MATCH($B89,Settings!$A$22:$A$27,0),27),0))</f>
        <v/>
      </c>
    </row>
    <row r="90" ht="16" customHeight="1">
      <c r="A90" s="37">
        <f>'Asset Register'!A90</f>
        <v/>
      </c>
      <c r="B90" s="34">
        <f>'Asset Register'!E90</f>
        <v/>
      </c>
      <c r="C90" s="33">
        <f>'Asset Register'!J90</f>
        <v/>
      </c>
      <c r="D90" s="38">
        <f>IF(OR($B90="",$B90="Land",$C90=""),"",IFERROR($C90*INDEX(Settings!$C$22:$AC$27,MATCH($B90,Settings!$A$22:$A$27,0),1),0))</f>
        <v/>
      </c>
      <c r="E90" s="38">
        <f>IF(OR($B90="",$B90="Land",$C90=""),"",IFERROR($C90*INDEX(Settings!$C$22:$AC$27,MATCH($B90,Settings!$A$22:$A$27,0),2),0))</f>
        <v/>
      </c>
      <c r="F90" s="38">
        <f>IF(OR($B90="",$B90="Land",$C90=""),"",IFERROR($C90*INDEX(Settings!$C$22:$AC$27,MATCH($B90,Settings!$A$22:$A$27,0),3),0))</f>
        <v/>
      </c>
      <c r="G90" s="38">
        <f>IF(OR($B90="",$B90="Land",$C90=""),"",IFERROR($C90*INDEX(Settings!$C$22:$AC$27,MATCH($B90,Settings!$A$22:$A$27,0),4),0))</f>
        <v/>
      </c>
      <c r="H90" s="38">
        <f>IF(OR($B90="",$B90="Land",$C90=""),"",IFERROR($C90*INDEX(Settings!$C$22:$AC$27,MATCH($B90,Settings!$A$22:$A$27,0),5),0))</f>
        <v/>
      </c>
      <c r="I90" s="38">
        <f>IF(OR($B90="",$B90="Land",$C90=""),"",IFERROR($C90*INDEX(Settings!$C$22:$AC$27,MATCH($B90,Settings!$A$22:$A$27,0),6),0))</f>
        <v/>
      </c>
      <c r="J90" s="38">
        <f>IF(OR($B90="",$B90="Land",$C90=""),"",IFERROR($C90*INDEX(Settings!$C$22:$AC$27,MATCH($B90,Settings!$A$22:$A$27,0),7),0))</f>
        <v/>
      </c>
      <c r="K90" s="38">
        <f>IF(OR($B90="",$B90="Land",$C90=""),"",IFERROR($C90*INDEX(Settings!$C$22:$AC$27,MATCH($B90,Settings!$A$22:$A$27,0),8),0))</f>
        <v/>
      </c>
      <c r="L90" s="38">
        <f>IF(OR($B90="",$B90="Land",$C90=""),"",IFERROR($C90*INDEX(Settings!$C$22:$AC$27,MATCH($B90,Settings!$A$22:$A$27,0),9),0))</f>
        <v/>
      </c>
      <c r="M90" s="38">
        <f>IF(OR($B90="",$B90="Land",$C90=""),"",IFERROR($C90*INDEX(Settings!$C$22:$AC$27,MATCH($B90,Settings!$A$22:$A$27,0),10),0))</f>
        <v/>
      </c>
      <c r="N90" s="38">
        <f>IF(OR($B90="",$B90="Land",$C90=""),"",IFERROR($C90*INDEX(Settings!$C$22:$AC$27,MATCH($B90,Settings!$A$22:$A$27,0),11),0))</f>
        <v/>
      </c>
      <c r="O90" s="38">
        <f>IF(OR($B90="",$B90="Land",$C90=""),"",IFERROR($C90*INDEX(Settings!$C$22:$AC$27,MATCH($B90,Settings!$A$22:$A$27,0),12),0))</f>
        <v/>
      </c>
      <c r="P90" s="38">
        <f>IF(OR($B90="",$B90="Land",$C90=""),"",IFERROR($C90*INDEX(Settings!$C$22:$AC$27,MATCH($B90,Settings!$A$22:$A$27,0),13),0))</f>
        <v/>
      </c>
      <c r="Q90" s="38">
        <f>IF(OR($B90="",$B90="Land",$C90=""),"",IFERROR($C90*INDEX(Settings!$C$22:$AC$27,MATCH($B90,Settings!$A$22:$A$27,0),14),0))</f>
        <v/>
      </c>
      <c r="R90" s="38">
        <f>IF(OR($B90="",$B90="Land",$C90=""),"",IFERROR($C90*INDEX(Settings!$C$22:$AC$27,MATCH($B90,Settings!$A$22:$A$27,0),15),0))</f>
        <v/>
      </c>
      <c r="S90" s="38">
        <f>IF(OR($B90="",$B90="Land",$C90=""),"",IFERROR($C90*INDEX(Settings!$C$22:$AC$27,MATCH($B90,Settings!$A$22:$A$27,0),16),0))</f>
        <v/>
      </c>
      <c r="T90" s="38">
        <f>IF(OR($B90="",$B90="Land",$C90=""),"",IFERROR($C90*INDEX(Settings!$C$22:$AC$27,MATCH($B90,Settings!$A$22:$A$27,0),17),0))</f>
        <v/>
      </c>
      <c r="U90" s="38">
        <f>IF(OR($B90="",$B90="Land",$C90=""),"",IFERROR($C90*INDEX(Settings!$C$22:$AC$27,MATCH($B90,Settings!$A$22:$A$27,0),18),0))</f>
        <v/>
      </c>
      <c r="V90" s="38">
        <f>IF(OR($B90="",$B90="Land",$C90=""),"",IFERROR($C90*INDEX(Settings!$C$22:$AC$27,MATCH($B90,Settings!$A$22:$A$27,0),19),0))</f>
        <v/>
      </c>
      <c r="W90" s="38">
        <f>IF(OR($B90="",$B90="Land",$C90=""),"",IFERROR($C90*INDEX(Settings!$C$22:$AC$27,MATCH($B90,Settings!$A$22:$A$27,0),20),0))</f>
        <v/>
      </c>
      <c r="X90" s="38">
        <f>IF(OR($B90="",$B90="Land",$C90=""),"",IFERROR($C90*INDEX(Settings!$C$22:$AC$27,MATCH($B90,Settings!$A$22:$A$27,0),21),0))</f>
        <v/>
      </c>
      <c r="Y90" s="38">
        <f>IF(OR($B90="",$B90="Land",$C90=""),"",IFERROR($C90*INDEX(Settings!$C$22:$AC$27,MATCH($B90,Settings!$A$22:$A$27,0),22),0))</f>
        <v/>
      </c>
      <c r="Z90" s="38">
        <f>IF(OR($B90="",$B90="Land",$C90=""),"",IFERROR($C90*INDEX(Settings!$C$22:$AC$27,MATCH($B90,Settings!$A$22:$A$27,0),23),0))</f>
        <v/>
      </c>
      <c r="AA90" s="38">
        <f>IF(OR($B90="",$B90="Land",$C90=""),"",IFERROR($C90*INDEX(Settings!$C$22:$AC$27,MATCH($B90,Settings!$A$22:$A$27,0),24),0))</f>
        <v/>
      </c>
      <c r="AB90" s="38">
        <f>IF(OR($B90="",$B90="Land",$C90=""),"",IFERROR($C90*INDEX(Settings!$C$22:$AC$27,MATCH($B90,Settings!$A$22:$A$27,0),25),0))</f>
        <v/>
      </c>
      <c r="AC90" s="38">
        <f>IF(OR($B90="",$B90="Land",$C90=""),"",IFERROR($C90*INDEX(Settings!$C$22:$AC$27,MATCH($B90,Settings!$A$22:$A$27,0),26),0))</f>
        <v/>
      </c>
      <c r="AD90" s="38">
        <f>IF(OR($B90="",$B90="Land",$C90=""),"",IFERROR($C90*INDEX(Settings!$C$22:$AC$27,MATCH($B90,Settings!$A$22:$A$27,0),27),0))</f>
        <v/>
      </c>
    </row>
    <row r="91" ht="16" customHeight="1">
      <c r="A91" s="37">
        <f>'Asset Register'!A91</f>
        <v/>
      </c>
      <c r="B91" s="34">
        <f>'Asset Register'!E91</f>
        <v/>
      </c>
      <c r="C91" s="33">
        <f>'Asset Register'!J91</f>
        <v/>
      </c>
      <c r="D91" s="38">
        <f>IF(OR($B91="",$B91="Land",$C91=""),"",IFERROR($C91*INDEX(Settings!$C$22:$AC$27,MATCH($B91,Settings!$A$22:$A$27,0),1),0))</f>
        <v/>
      </c>
      <c r="E91" s="38">
        <f>IF(OR($B91="",$B91="Land",$C91=""),"",IFERROR($C91*INDEX(Settings!$C$22:$AC$27,MATCH($B91,Settings!$A$22:$A$27,0),2),0))</f>
        <v/>
      </c>
      <c r="F91" s="38">
        <f>IF(OR($B91="",$B91="Land",$C91=""),"",IFERROR($C91*INDEX(Settings!$C$22:$AC$27,MATCH($B91,Settings!$A$22:$A$27,0),3),0))</f>
        <v/>
      </c>
      <c r="G91" s="38">
        <f>IF(OR($B91="",$B91="Land",$C91=""),"",IFERROR($C91*INDEX(Settings!$C$22:$AC$27,MATCH($B91,Settings!$A$22:$A$27,0),4),0))</f>
        <v/>
      </c>
      <c r="H91" s="38">
        <f>IF(OR($B91="",$B91="Land",$C91=""),"",IFERROR($C91*INDEX(Settings!$C$22:$AC$27,MATCH($B91,Settings!$A$22:$A$27,0),5),0))</f>
        <v/>
      </c>
      <c r="I91" s="38">
        <f>IF(OR($B91="",$B91="Land",$C91=""),"",IFERROR($C91*INDEX(Settings!$C$22:$AC$27,MATCH($B91,Settings!$A$22:$A$27,0),6),0))</f>
        <v/>
      </c>
      <c r="J91" s="38">
        <f>IF(OR($B91="",$B91="Land",$C91=""),"",IFERROR($C91*INDEX(Settings!$C$22:$AC$27,MATCH($B91,Settings!$A$22:$A$27,0),7),0))</f>
        <v/>
      </c>
      <c r="K91" s="38">
        <f>IF(OR($B91="",$B91="Land",$C91=""),"",IFERROR($C91*INDEX(Settings!$C$22:$AC$27,MATCH($B91,Settings!$A$22:$A$27,0),8),0))</f>
        <v/>
      </c>
      <c r="L91" s="38">
        <f>IF(OR($B91="",$B91="Land",$C91=""),"",IFERROR($C91*INDEX(Settings!$C$22:$AC$27,MATCH($B91,Settings!$A$22:$A$27,0),9),0))</f>
        <v/>
      </c>
      <c r="M91" s="38">
        <f>IF(OR($B91="",$B91="Land",$C91=""),"",IFERROR($C91*INDEX(Settings!$C$22:$AC$27,MATCH($B91,Settings!$A$22:$A$27,0),10),0))</f>
        <v/>
      </c>
      <c r="N91" s="38">
        <f>IF(OR($B91="",$B91="Land",$C91=""),"",IFERROR($C91*INDEX(Settings!$C$22:$AC$27,MATCH($B91,Settings!$A$22:$A$27,0),11),0))</f>
        <v/>
      </c>
      <c r="O91" s="38">
        <f>IF(OR($B91="",$B91="Land",$C91=""),"",IFERROR($C91*INDEX(Settings!$C$22:$AC$27,MATCH($B91,Settings!$A$22:$A$27,0),12),0))</f>
        <v/>
      </c>
      <c r="P91" s="38">
        <f>IF(OR($B91="",$B91="Land",$C91=""),"",IFERROR($C91*INDEX(Settings!$C$22:$AC$27,MATCH($B91,Settings!$A$22:$A$27,0),13),0))</f>
        <v/>
      </c>
      <c r="Q91" s="38">
        <f>IF(OR($B91="",$B91="Land",$C91=""),"",IFERROR($C91*INDEX(Settings!$C$22:$AC$27,MATCH($B91,Settings!$A$22:$A$27,0),14),0))</f>
        <v/>
      </c>
      <c r="R91" s="38">
        <f>IF(OR($B91="",$B91="Land",$C91=""),"",IFERROR($C91*INDEX(Settings!$C$22:$AC$27,MATCH($B91,Settings!$A$22:$A$27,0),15),0))</f>
        <v/>
      </c>
      <c r="S91" s="38">
        <f>IF(OR($B91="",$B91="Land",$C91=""),"",IFERROR($C91*INDEX(Settings!$C$22:$AC$27,MATCH($B91,Settings!$A$22:$A$27,0),16),0))</f>
        <v/>
      </c>
      <c r="T91" s="38">
        <f>IF(OR($B91="",$B91="Land",$C91=""),"",IFERROR($C91*INDEX(Settings!$C$22:$AC$27,MATCH($B91,Settings!$A$22:$A$27,0),17),0))</f>
        <v/>
      </c>
      <c r="U91" s="38">
        <f>IF(OR($B91="",$B91="Land",$C91=""),"",IFERROR($C91*INDEX(Settings!$C$22:$AC$27,MATCH($B91,Settings!$A$22:$A$27,0),18),0))</f>
        <v/>
      </c>
      <c r="V91" s="38">
        <f>IF(OR($B91="",$B91="Land",$C91=""),"",IFERROR($C91*INDEX(Settings!$C$22:$AC$27,MATCH($B91,Settings!$A$22:$A$27,0),19),0))</f>
        <v/>
      </c>
      <c r="W91" s="38">
        <f>IF(OR($B91="",$B91="Land",$C91=""),"",IFERROR($C91*INDEX(Settings!$C$22:$AC$27,MATCH($B91,Settings!$A$22:$A$27,0),20),0))</f>
        <v/>
      </c>
      <c r="X91" s="38">
        <f>IF(OR($B91="",$B91="Land",$C91=""),"",IFERROR($C91*INDEX(Settings!$C$22:$AC$27,MATCH($B91,Settings!$A$22:$A$27,0),21),0))</f>
        <v/>
      </c>
      <c r="Y91" s="38">
        <f>IF(OR($B91="",$B91="Land",$C91=""),"",IFERROR($C91*INDEX(Settings!$C$22:$AC$27,MATCH($B91,Settings!$A$22:$A$27,0),22),0))</f>
        <v/>
      </c>
      <c r="Z91" s="38">
        <f>IF(OR($B91="",$B91="Land",$C91=""),"",IFERROR($C91*INDEX(Settings!$C$22:$AC$27,MATCH($B91,Settings!$A$22:$A$27,0),23),0))</f>
        <v/>
      </c>
      <c r="AA91" s="38">
        <f>IF(OR($B91="",$B91="Land",$C91=""),"",IFERROR($C91*INDEX(Settings!$C$22:$AC$27,MATCH($B91,Settings!$A$22:$A$27,0),24),0))</f>
        <v/>
      </c>
      <c r="AB91" s="38">
        <f>IF(OR($B91="",$B91="Land",$C91=""),"",IFERROR($C91*INDEX(Settings!$C$22:$AC$27,MATCH($B91,Settings!$A$22:$A$27,0),25),0))</f>
        <v/>
      </c>
      <c r="AC91" s="38">
        <f>IF(OR($B91="",$B91="Land",$C91=""),"",IFERROR($C91*INDEX(Settings!$C$22:$AC$27,MATCH($B91,Settings!$A$22:$A$27,0),26),0))</f>
        <v/>
      </c>
      <c r="AD91" s="38">
        <f>IF(OR($B91="",$B91="Land",$C91=""),"",IFERROR($C91*INDEX(Settings!$C$22:$AC$27,MATCH($B91,Settings!$A$22:$A$27,0),27),0))</f>
        <v/>
      </c>
    </row>
    <row r="92" ht="16" customHeight="1">
      <c r="A92" s="37">
        <f>'Asset Register'!A92</f>
        <v/>
      </c>
      <c r="B92" s="34">
        <f>'Asset Register'!E92</f>
        <v/>
      </c>
      <c r="C92" s="33">
        <f>'Asset Register'!J92</f>
        <v/>
      </c>
      <c r="D92" s="38">
        <f>IF(OR($B92="",$B92="Land",$C92=""),"",IFERROR($C92*INDEX(Settings!$C$22:$AC$27,MATCH($B92,Settings!$A$22:$A$27,0),1),0))</f>
        <v/>
      </c>
      <c r="E92" s="38">
        <f>IF(OR($B92="",$B92="Land",$C92=""),"",IFERROR($C92*INDEX(Settings!$C$22:$AC$27,MATCH($B92,Settings!$A$22:$A$27,0),2),0))</f>
        <v/>
      </c>
      <c r="F92" s="38">
        <f>IF(OR($B92="",$B92="Land",$C92=""),"",IFERROR($C92*INDEX(Settings!$C$22:$AC$27,MATCH($B92,Settings!$A$22:$A$27,0),3),0))</f>
        <v/>
      </c>
      <c r="G92" s="38">
        <f>IF(OR($B92="",$B92="Land",$C92=""),"",IFERROR($C92*INDEX(Settings!$C$22:$AC$27,MATCH($B92,Settings!$A$22:$A$27,0),4),0))</f>
        <v/>
      </c>
      <c r="H92" s="38">
        <f>IF(OR($B92="",$B92="Land",$C92=""),"",IFERROR($C92*INDEX(Settings!$C$22:$AC$27,MATCH($B92,Settings!$A$22:$A$27,0),5),0))</f>
        <v/>
      </c>
      <c r="I92" s="38">
        <f>IF(OR($B92="",$B92="Land",$C92=""),"",IFERROR($C92*INDEX(Settings!$C$22:$AC$27,MATCH($B92,Settings!$A$22:$A$27,0),6),0))</f>
        <v/>
      </c>
      <c r="J92" s="38">
        <f>IF(OR($B92="",$B92="Land",$C92=""),"",IFERROR($C92*INDEX(Settings!$C$22:$AC$27,MATCH($B92,Settings!$A$22:$A$27,0),7),0))</f>
        <v/>
      </c>
      <c r="K92" s="38">
        <f>IF(OR($B92="",$B92="Land",$C92=""),"",IFERROR($C92*INDEX(Settings!$C$22:$AC$27,MATCH($B92,Settings!$A$22:$A$27,0),8),0))</f>
        <v/>
      </c>
      <c r="L92" s="38">
        <f>IF(OR($B92="",$B92="Land",$C92=""),"",IFERROR($C92*INDEX(Settings!$C$22:$AC$27,MATCH($B92,Settings!$A$22:$A$27,0),9),0))</f>
        <v/>
      </c>
      <c r="M92" s="38">
        <f>IF(OR($B92="",$B92="Land",$C92=""),"",IFERROR($C92*INDEX(Settings!$C$22:$AC$27,MATCH($B92,Settings!$A$22:$A$27,0),10),0))</f>
        <v/>
      </c>
      <c r="N92" s="38">
        <f>IF(OR($B92="",$B92="Land",$C92=""),"",IFERROR($C92*INDEX(Settings!$C$22:$AC$27,MATCH($B92,Settings!$A$22:$A$27,0),11),0))</f>
        <v/>
      </c>
      <c r="O92" s="38">
        <f>IF(OR($B92="",$B92="Land",$C92=""),"",IFERROR($C92*INDEX(Settings!$C$22:$AC$27,MATCH($B92,Settings!$A$22:$A$27,0),12),0))</f>
        <v/>
      </c>
      <c r="P92" s="38">
        <f>IF(OR($B92="",$B92="Land",$C92=""),"",IFERROR($C92*INDEX(Settings!$C$22:$AC$27,MATCH($B92,Settings!$A$22:$A$27,0),13),0))</f>
        <v/>
      </c>
      <c r="Q92" s="38">
        <f>IF(OR($B92="",$B92="Land",$C92=""),"",IFERROR($C92*INDEX(Settings!$C$22:$AC$27,MATCH($B92,Settings!$A$22:$A$27,0),14),0))</f>
        <v/>
      </c>
      <c r="R92" s="38">
        <f>IF(OR($B92="",$B92="Land",$C92=""),"",IFERROR($C92*INDEX(Settings!$C$22:$AC$27,MATCH($B92,Settings!$A$22:$A$27,0),15),0))</f>
        <v/>
      </c>
      <c r="S92" s="38">
        <f>IF(OR($B92="",$B92="Land",$C92=""),"",IFERROR($C92*INDEX(Settings!$C$22:$AC$27,MATCH($B92,Settings!$A$22:$A$27,0),16),0))</f>
        <v/>
      </c>
      <c r="T92" s="38">
        <f>IF(OR($B92="",$B92="Land",$C92=""),"",IFERROR($C92*INDEX(Settings!$C$22:$AC$27,MATCH($B92,Settings!$A$22:$A$27,0),17),0))</f>
        <v/>
      </c>
      <c r="U92" s="38">
        <f>IF(OR($B92="",$B92="Land",$C92=""),"",IFERROR($C92*INDEX(Settings!$C$22:$AC$27,MATCH($B92,Settings!$A$22:$A$27,0),18),0))</f>
        <v/>
      </c>
      <c r="V92" s="38">
        <f>IF(OR($B92="",$B92="Land",$C92=""),"",IFERROR($C92*INDEX(Settings!$C$22:$AC$27,MATCH($B92,Settings!$A$22:$A$27,0),19),0))</f>
        <v/>
      </c>
      <c r="W92" s="38">
        <f>IF(OR($B92="",$B92="Land",$C92=""),"",IFERROR($C92*INDEX(Settings!$C$22:$AC$27,MATCH($B92,Settings!$A$22:$A$27,0),20),0))</f>
        <v/>
      </c>
      <c r="X92" s="38">
        <f>IF(OR($B92="",$B92="Land",$C92=""),"",IFERROR($C92*INDEX(Settings!$C$22:$AC$27,MATCH($B92,Settings!$A$22:$A$27,0),21),0))</f>
        <v/>
      </c>
      <c r="Y92" s="38">
        <f>IF(OR($B92="",$B92="Land",$C92=""),"",IFERROR($C92*INDEX(Settings!$C$22:$AC$27,MATCH($B92,Settings!$A$22:$A$27,0),22),0))</f>
        <v/>
      </c>
      <c r="Z92" s="38">
        <f>IF(OR($B92="",$B92="Land",$C92=""),"",IFERROR($C92*INDEX(Settings!$C$22:$AC$27,MATCH($B92,Settings!$A$22:$A$27,0),23),0))</f>
        <v/>
      </c>
      <c r="AA92" s="38">
        <f>IF(OR($B92="",$B92="Land",$C92=""),"",IFERROR($C92*INDEX(Settings!$C$22:$AC$27,MATCH($B92,Settings!$A$22:$A$27,0),24),0))</f>
        <v/>
      </c>
      <c r="AB92" s="38">
        <f>IF(OR($B92="",$B92="Land",$C92=""),"",IFERROR($C92*INDEX(Settings!$C$22:$AC$27,MATCH($B92,Settings!$A$22:$A$27,0),25),0))</f>
        <v/>
      </c>
      <c r="AC92" s="38">
        <f>IF(OR($B92="",$B92="Land",$C92=""),"",IFERROR($C92*INDEX(Settings!$C$22:$AC$27,MATCH($B92,Settings!$A$22:$A$27,0),26),0))</f>
        <v/>
      </c>
      <c r="AD92" s="38">
        <f>IF(OR($B92="",$B92="Land",$C92=""),"",IFERROR($C92*INDEX(Settings!$C$22:$AC$27,MATCH($B92,Settings!$A$22:$A$27,0),27),0))</f>
        <v/>
      </c>
    </row>
    <row r="93" ht="16" customHeight="1">
      <c r="A93" s="37">
        <f>'Asset Register'!A93</f>
        <v/>
      </c>
      <c r="B93" s="34">
        <f>'Asset Register'!E93</f>
        <v/>
      </c>
      <c r="C93" s="33">
        <f>'Asset Register'!J93</f>
        <v/>
      </c>
      <c r="D93" s="38">
        <f>IF(OR($B93="",$B93="Land",$C93=""),"",IFERROR($C93*INDEX(Settings!$C$22:$AC$27,MATCH($B93,Settings!$A$22:$A$27,0),1),0))</f>
        <v/>
      </c>
      <c r="E93" s="38">
        <f>IF(OR($B93="",$B93="Land",$C93=""),"",IFERROR($C93*INDEX(Settings!$C$22:$AC$27,MATCH($B93,Settings!$A$22:$A$27,0),2),0))</f>
        <v/>
      </c>
      <c r="F93" s="38">
        <f>IF(OR($B93="",$B93="Land",$C93=""),"",IFERROR($C93*INDEX(Settings!$C$22:$AC$27,MATCH($B93,Settings!$A$22:$A$27,0),3),0))</f>
        <v/>
      </c>
      <c r="G93" s="38">
        <f>IF(OR($B93="",$B93="Land",$C93=""),"",IFERROR($C93*INDEX(Settings!$C$22:$AC$27,MATCH($B93,Settings!$A$22:$A$27,0),4),0))</f>
        <v/>
      </c>
      <c r="H93" s="38">
        <f>IF(OR($B93="",$B93="Land",$C93=""),"",IFERROR($C93*INDEX(Settings!$C$22:$AC$27,MATCH($B93,Settings!$A$22:$A$27,0),5),0))</f>
        <v/>
      </c>
      <c r="I93" s="38">
        <f>IF(OR($B93="",$B93="Land",$C93=""),"",IFERROR($C93*INDEX(Settings!$C$22:$AC$27,MATCH($B93,Settings!$A$22:$A$27,0),6),0))</f>
        <v/>
      </c>
      <c r="J93" s="38">
        <f>IF(OR($B93="",$B93="Land",$C93=""),"",IFERROR($C93*INDEX(Settings!$C$22:$AC$27,MATCH($B93,Settings!$A$22:$A$27,0),7),0))</f>
        <v/>
      </c>
      <c r="K93" s="38">
        <f>IF(OR($B93="",$B93="Land",$C93=""),"",IFERROR($C93*INDEX(Settings!$C$22:$AC$27,MATCH($B93,Settings!$A$22:$A$27,0),8),0))</f>
        <v/>
      </c>
      <c r="L93" s="38">
        <f>IF(OR($B93="",$B93="Land",$C93=""),"",IFERROR($C93*INDEX(Settings!$C$22:$AC$27,MATCH($B93,Settings!$A$22:$A$27,0),9),0))</f>
        <v/>
      </c>
      <c r="M93" s="38">
        <f>IF(OR($B93="",$B93="Land",$C93=""),"",IFERROR($C93*INDEX(Settings!$C$22:$AC$27,MATCH($B93,Settings!$A$22:$A$27,0),10),0))</f>
        <v/>
      </c>
      <c r="N93" s="38">
        <f>IF(OR($B93="",$B93="Land",$C93=""),"",IFERROR($C93*INDEX(Settings!$C$22:$AC$27,MATCH($B93,Settings!$A$22:$A$27,0),11),0))</f>
        <v/>
      </c>
      <c r="O93" s="38">
        <f>IF(OR($B93="",$B93="Land",$C93=""),"",IFERROR($C93*INDEX(Settings!$C$22:$AC$27,MATCH($B93,Settings!$A$22:$A$27,0),12),0))</f>
        <v/>
      </c>
      <c r="P93" s="38">
        <f>IF(OR($B93="",$B93="Land",$C93=""),"",IFERROR($C93*INDEX(Settings!$C$22:$AC$27,MATCH($B93,Settings!$A$22:$A$27,0),13),0))</f>
        <v/>
      </c>
      <c r="Q93" s="38">
        <f>IF(OR($B93="",$B93="Land",$C93=""),"",IFERROR($C93*INDEX(Settings!$C$22:$AC$27,MATCH($B93,Settings!$A$22:$A$27,0),14),0))</f>
        <v/>
      </c>
      <c r="R93" s="38">
        <f>IF(OR($B93="",$B93="Land",$C93=""),"",IFERROR($C93*INDEX(Settings!$C$22:$AC$27,MATCH($B93,Settings!$A$22:$A$27,0),15),0))</f>
        <v/>
      </c>
      <c r="S93" s="38">
        <f>IF(OR($B93="",$B93="Land",$C93=""),"",IFERROR($C93*INDEX(Settings!$C$22:$AC$27,MATCH($B93,Settings!$A$22:$A$27,0),16),0))</f>
        <v/>
      </c>
      <c r="T93" s="38">
        <f>IF(OR($B93="",$B93="Land",$C93=""),"",IFERROR($C93*INDEX(Settings!$C$22:$AC$27,MATCH($B93,Settings!$A$22:$A$27,0),17),0))</f>
        <v/>
      </c>
      <c r="U93" s="38">
        <f>IF(OR($B93="",$B93="Land",$C93=""),"",IFERROR($C93*INDEX(Settings!$C$22:$AC$27,MATCH($B93,Settings!$A$22:$A$27,0),18),0))</f>
        <v/>
      </c>
      <c r="V93" s="38">
        <f>IF(OR($B93="",$B93="Land",$C93=""),"",IFERROR($C93*INDEX(Settings!$C$22:$AC$27,MATCH($B93,Settings!$A$22:$A$27,0),19),0))</f>
        <v/>
      </c>
      <c r="W93" s="38">
        <f>IF(OR($B93="",$B93="Land",$C93=""),"",IFERROR($C93*INDEX(Settings!$C$22:$AC$27,MATCH($B93,Settings!$A$22:$A$27,0),20),0))</f>
        <v/>
      </c>
      <c r="X93" s="38">
        <f>IF(OR($B93="",$B93="Land",$C93=""),"",IFERROR($C93*INDEX(Settings!$C$22:$AC$27,MATCH($B93,Settings!$A$22:$A$27,0),21),0))</f>
        <v/>
      </c>
      <c r="Y93" s="38">
        <f>IF(OR($B93="",$B93="Land",$C93=""),"",IFERROR($C93*INDEX(Settings!$C$22:$AC$27,MATCH($B93,Settings!$A$22:$A$27,0),22),0))</f>
        <v/>
      </c>
      <c r="Z93" s="38">
        <f>IF(OR($B93="",$B93="Land",$C93=""),"",IFERROR($C93*INDEX(Settings!$C$22:$AC$27,MATCH($B93,Settings!$A$22:$A$27,0),23),0))</f>
        <v/>
      </c>
      <c r="AA93" s="38">
        <f>IF(OR($B93="",$B93="Land",$C93=""),"",IFERROR($C93*INDEX(Settings!$C$22:$AC$27,MATCH($B93,Settings!$A$22:$A$27,0),24),0))</f>
        <v/>
      </c>
      <c r="AB93" s="38">
        <f>IF(OR($B93="",$B93="Land",$C93=""),"",IFERROR($C93*INDEX(Settings!$C$22:$AC$27,MATCH($B93,Settings!$A$22:$A$27,0),25),0))</f>
        <v/>
      </c>
      <c r="AC93" s="38">
        <f>IF(OR($B93="",$B93="Land",$C93=""),"",IFERROR($C93*INDEX(Settings!$C$22:$AC$27,MATCH($B93,Settings!$A$22:$A$27,0),26),0))</f>
        <v/>
      </c>
      <c r="AD93" s="38">
        <f>IF(OR($B93="",$B93="Land",$C93=""),"",IFERROR($C93*INDEX(Settings!$C$22:$AC$27,MATCH($B93,Settings!$A$22:$A$27,0),27),0))</f>
        <v/>
      </c>
    </row>
    <row r="94" ht="16" customHeight="1">
      <c r="A94" s="37">
        <f>'Asset Register'!A94</f>
        <v/>
      </c>
      <c r="B94" s="34">
        <f>'Asset Register'!E94</f>
        <v/>
      </c>
      <c r="C94" s="33">
        <f>'Asset Register'!J94</f>
        <v/>
      </c>
      <c r="D94" s="38">
        <f>IF(OR($B94="",$B94="Land",$C94=""),"",IFERROR($C94*INDEX(Settings!$C$22:$AC$27,MATCH($B94,Settings!$A$22:$A$27,0),1),0))</f>
        <v/>
      </c>
      <c r="E94" s="38">
        <f>IF(OR($B94="",$B94="Land",$C94=""),"",IFERROR($C94*INDEX(Settings!$C$22:$AC$27,MATCH($B94,Settings!$A$22:$A$27,0),2),0))</f>
        <v/>
      </c>
      <c r="F94" s="38">
        <f>IF(OR($B94="",$B94="Land",$C94=""),"",IFERROR($C94*INDEX(Settings!$C$22:$AC$27,MATCH($B94,Settings!$A$22:$A$27,0),3),0))</f>
        <v/>
      </c>
      <c r="G94" s="38">
        <f>IF(OR($B94="",$B94="Land",$C94=""),"",IFERROR($C94*INDEX(Settings!$C$22:$AC$27,MATCH($B94,Settings!$A$22:$A$27,0),4),0))</f>
        <v/>
      </c>
      <c r="H94" s="38">
        <f>IF(OR($B94="",$B94="Land",$C94=""),"",IFERROR($C94*INDEX(Settings!$C$22:$AC$27,MATCH($B94,Settings!$A$22:$A$27,0),5),0))</f>
        <v/>
      </c>
      <c r="I94" s="38">
        <f>IF(OR($B94="",$B94="Land",$C94=""),"",IFERROR($C94*INDEX(Settings!$C$22:$AC$27,MATCH($B94,Settings!$A$22:$A$27,0),6),0))</f>
        <v/>
      </c>
      <c r="J94" s="38">
        <f>IF(OR($B94="",$B94="Land",$C94=""),"",IFERROR($C94*INDEX(Settings!$C$22:$AC$27,MATCH($B94,Settings!$A$22:$A$27,0),7),0))</f>
        <v/>
      </c>
      <c r="K94" s="38">
        <f>IF(OR($B94="",$B94="Land",$C94=""),"",IFERROR($C94*INDEX(Settings!$C$22:$AC$27,MATCH($B94,Settings!$A$22:$A$27,0),8),0))</f>
        <v/>
      </c>
      <c r="L94" s="38">
        <f>IF(OR($B94="",$B94="Land",$C94=""),"",IFERROR($C94*INDEX(Settings!$C$22:$AC$27,MATCH($B94,Settings!$A$22:$A$27,0),9),0))</f>
        <v/>
      </c>
      <c r="M94" s="38">
        <f>IF(OR($B94="",$B94="Land",$C94=""),"",IFERROR($C94*INDEX(Settings!$C$22:$AC$27,MATCH($B94,Settings!$A$22:$A$27,0),10),0))</f>
        <v/>
      </c>
      <c r="N94" s="38">
        <f>IF(OR($B94="",$B94="Land",$C94=""),"",IFERROR($C94*INDEX(Settings!$C$22:$AC$27,MATCH($B94,Settings!$A$22:$A$27,0),11),0))</f>
        <v/>
      </c>
      <c r="O94" s="38">
        <f>IF(OR($B94="",$B94="Land",$C94=""),"",IFERROR($C94*INDEX(Settings!$C$22:$AC$27,MATCH($B94,Settings!$A$22:$A$27,0),12),0))</f>
        <v/>
      </c>
      <c r="P94" s="38">
        <f>IF(OR($B94="",$B94="Land",$C94=""),"",IFERROR($C94*INDEX(Settings!$C$22:$AC$27,MATCH($B94,Settings!$A$22:$A$27,0),13),0))</f>
        <v/>
      </c>
      <c r="Q94" s="38">
        <f>IF(OR($B94="",$B94="Land",$C94=""),"",IFERROR($C94*INDEX(Settings!$C$22:$AC$27,MATCH($B94,Settings!$A$22:$A$27,0),14),0))</f>
        <v/>
      </c>
      <c r="R94" s="38">
        <f>IF(OR($B94="",$B94="Land",$C94=""),"",IFERROR($C94*INDEX(Settings!$C$22:$AC$27,MATCH($B94,Settings!$A$22:$A$27,0),15),0))</f>
        <v/>
      </c>
      <c r="S94" s="38">
        <f>IF(OR($B94="",$B94="Land",$C94=""),"",IFERROR($C94*INDEX(Settings!$C$22:$AC$27,MATCH($B94,Settings!$A$22:$A$27,0),16),0))</f>
        <v/>
      </c>
      <c r="T94" s="38">
        <f>IF(OR($B94="",$B94="Land",$C94=""),"",IFERROR($C94*INDEX(Settings!$C$22:$AC$27,MATCH($B94,Settings!$A$22:$A$27,0),17),0))</f>
        <v/>
      </c>
      <c r="U94" s="38">
        <f>IF(OR($B94="",$B94="Land",$C94=""),"",IFERROR($C94*INDEX(Settings!$C$22:$AC$27,MATCH($B94,Settings!$A$22:$A$27,0),18),0))</f>
        <v/>
      </c>
      <c r="V94" s="38">
        <f>IF(OR($B94="",$B94="Land",$C94=""),"",IFERROR($C94*INDEX(Settings!$C$22:$AC$27,MATCH($B94,Settings!$A$22:$A$27,0),19),0))</f>
        <v/>
      </c>
      <c r="W94" s="38">
        <f>IF(OR($B94="",$B94="Land",$C94=""),"",IFERROR($C94*INDEX(Settings!$C$22:$AC$27,MATCH($B94,Settings!$A$22:$A$27,0),20),0))</f>
        <v/>
      </c>
      <c r="X94" s="38">
        <f>IF(OR($B94="",$B94="Land",$C94=""),"",IFERROR($C94*INDEX(Settings!$C$22:$AC$27,MATCH($B94,Settings!$A$22:$A$27,0),21),0))</f>
        <v/>
      </c>
      <c r="Y94" s="38">
        <f>IF(OR($B94="",$B94="Land",$C94=""),"",IFERROR($C94*INDEX(Settings!$C$22:$AC$27,MATCH($B94,Settings!$A$22:$A$27,0),22),0))</f>
        <v/>
      </c>
      <c r="Z94" s="38">
        <f>IF(OR($B94="",$B94="Land",$C94=""),"",IFERROR($C94*INDEX(Settings!$C$22:$AC$27,MATCH($B94,Settings!$A$22:$A$27,0),23),0))</f>
        <v/>
      </c>
      <c r="AA94" s="38">
        <f>IF(OR($B94="",$B94="Land",$C94=""),"",IFERROR($C94*INDEX(Settings!$C$22:$AC$27,MATCH($B94,Settings!$A$22:$A$27,0),24),0))</f>
        <v/>
      </c>
      <c r="AB94" s="38">
        <f>IF(OR($B94="",$B94="Land",$C94=""),"",IFERROR($C94*INDEX(Settings!$C$22:$AC$27,MATCH($B94,Settings!$A$22:$A$27,0),25),0))</f>
        <v/>
      </c>
      <c r="AC94" s="38">
        <f>IF(OR($B94="",$B94="Land",$C94=""),"",IFERROR($C94*INDEX(Settings!$C$22:$AC$27,MATCH($B94,Settings!$A$22:$A$27,0),26),0))</f>
        <v/>
      </c>
      <c r="AD94" s="38">
        <f>IF(OR($B94="",$B94="Land",$C94=""),"",IFERROR($C94*INDEX(Settings!$C$22:$AC$27,MATCH($B94,Settings!$A$22:$A$27,0),27),0))</f>
        <v/>
      </c>
    </row>
    <row r="95" ht="16" customHeight="1">
      <c r="A95" s="37">
        <f>'Asset Register'!A95</f>
        <v/>
      </c>
      <c r="B95" s="34">
        <f>'Asset Register'!E95</f>
        <v/>
      </c>
      <c r="C95" s="33">
        <f>'Asset Register'!J95</f>
        <v/>
      </c>
      <c r="D95" s="38">
        <f>IF(OR($B95="",$B95="Land",$C95=""),"",IFERROR($C95*INDEX(Settings!$C$22:$AC$27,MATCH($B95,Settings!$A$22:$A$27,0),1),0))</f>
        <v/>
      </c>
      <c r="E95" s="38">
        <f>IF(OR($B95="",$B95="Land",$C95=""),"",IFERROR($C95*INDEX(Settings!$C$22:$AC$27,MATCH($B95,Settings!$A$22:$A$27,0),2),0))</f>
        <v/>
      </c>
      <c r="F95" s="38">
        <f>IF(OR($B95="",$B95="Land",$C95=""),"",IFERROR($C95*INDEX(Settings!$C$22:$AC$27,MATCH($B95,Settings!$A$22:$A$27,0),3),0))</f>
        <v/>
      </c>
      <c r="G95" s="38">
        <f>IF(OR($B95="",$B95="Land",$C95=""),"",IFERROR($C95*INDEX(Settings!$C$22:$AC$27,MATCH($B95,Settings!$A$22:$A$27,0),4),0))</f>
        <v/>
      </c>
      <c r="H95" s="38">
        <f>IF(OR($B95="",$B95="Land",$C95=""),"",IFERROR($C95*INDEX(Settings!$C$22:$AC$27,MATCH($B95,Settings!$A$22:$A$27,0),5),0))</f>
        <v/>
      </c>
      <c r="I95" s="38">
        <f>IF(OR($B95="",$B95="Land",$C95=""),"",IFERROR($C95*INDEX(Settings!$C$22:$AC$27,MATCH($B95,Settings!$A$22:$A$27,0),6),0))</f>
        <v/>
      </c>
      <c r="J95" s="38">
        <f>IF(OR($B95="",$B95="Land",$C95=""),"",IFERROR($C95*INDEX(Settings!$C$22:$AC$27,MATCH($B95,Settings!$A$22:$A$27,0),7),0))</f>
        <v/>
      </c>
      <c r="K95" s="38">
        <f>IF(OR($B95="",$B95="Land",$C95=""),"",IFERROR($C95*INDEX(Settings!$C$22:$AC$27,MATCH($B95,Settings!$A$22:$A$27,0),8),0))</f>
        <v/>
      </c>
      <c r="L95" s="38">
        <f>IF(OR($B95="",$B95="Land",$C95=""),"",IFERROR($C95*INDEX(Settings!$C$22:$AC$27,MATCH($B95,Settings!$A$22:$A$27,0),9),0))</f>
        <v/>
      </c>
      <c r="M95" s="38">
        <f>IF(OR($B95="",$B95="Land",$C95=""),"",IFERROR($C95*INDEX(Settings!$C$22:$AC$27,MATCH($B95,Settings!$A$22:$A$27,0),10),0))</f>
        <v/>
      </c>
      <c r="N95" s="38">
        <f>IF(OR($B95="",$B95="Land",$C95=""),"",IFERROR($C95*INDEX(Settings!$C$22:$AC$27,MATCH($B95,Settings!$A$22:$A$27,0),11),0))</f>
        <v/>
      </c>
      <c r="O95" s="38">
        <f>IF(OR($B95="",$B95="Land",$C95=""),"",IFERROR($C95*INDEX(Settings!$C$22:$AC$27,MATCH($B95,Settings!$A$22:$A$27,0),12),0))</f>
        <v/>
      </c>
      <c r="P95" s="38">
        <f>IF(OR($B95="",$B95="Land",$C95=""),"",IFERROR($C95*INDEX(Settings!$C$22:$AC$27,MATCH($B95,Settings!$A$22:$A$27,0),13),0))</f>
        <v/>
      </c>
      <c r="Q95" s="38">
        <f>IF(OR($B95="",$B95="Land",$C95=""),"",IFERROR($C95*INDEX(Settings!$C$22:$AC$27,MATCH($B95,Settings!$A$22:$A$27,0),14),0))</f>
        <v/>
      </c>
      <c r="R95" s="38">
        <f>IF(OR($B95="",$B95="Land",$C95=""),"",IFERROR($C95*INDEX(Settings!$C$22:$AC$27,MATCH($B95,Settings!$A$22:$A$27,0),15),0))</f>
        <v/>
      </c>
      <c r="S95" s="38">
        <f>IF(OR($B95="",$B95="Land",$C95=""),"",IFERROR($C95*INDEX(Settings!$C$22:$AC$27,MATCH($B95,Settings!$A$22:$A$27,0),16),0))</f>
        <v/>
      </c>
      <c r="T95" s="38">
        <f>IF(OR($B95="",$B95="Land",$C95=""),"",IFERROR($C95*INDEX(Settings!$C$22:$AC$27,MATCH($B95,Settings!$A$22:$A$27,0),17),0))</f>
        <v/>
      </c>
      <c r="U95" s="38">
        <f>IF(OR($B95="",$B95="Land",$C95=""),"",IFERROR($C95*INDEX(Settings!$C$22:$AC$27,MATCH($B95,Settings!$A$22:$A$27,0),18),0))</f>
        <v/>
      </c>
      <c r="V95" s="38">
        <f>IF(OR($B95="",$B95="Land",$C95=""),"",IFERROR($C95*INDEX(Settings!$C$22:$AC$27,MATCH($B95,Settings!$A$22:$A$27,0),19),0))</f>
        <v/>
      </c>
      <c r="W95" s="38">
        <f>IF(OR($B95="",$B95="Land",$C95=""),"",IFERROR($C95*INDEX(Settings!$C$22:$AC$27,MATCH($B95,Settings!$A$22:$A$27,0),20),0))</f>
        <v/>
      </c>
      <c r="X95" s="38">
        <f>IF(OR($B95="",$B95="Land",$C95=""),"",IFERROR($C95*INDEX(Settings!$C$22:$AC$27,MATCH($B95,Settings!$A$22:$A$27,0),21),0))</f>
        <v/>
      </c>
      <c r="Y95" s="38">
        <f>IF(OR($B95="",$B95="Land",$C95=""),"",IFERROR($C95*INDEX(Settings!$C$22:$AC$27,MATCH($B95,Settings!$A$22:$A$27,0),22),0))</f>
        <v/>
      </c>
      <c r="Z95" s="38">
        <f>IF(OR($B95="",$B95="Land",$C95=""),"",IFERROR($C95*INDEX(Settings!$C$22:$AC$27,MATCH($B95,Settings!$A$22:$A$27,0),23),0))</f>
        <v/>
      </c>
      <c r="AA95" s="38">
        <f>IF(OR($B95="",$B95="Land",$C95=""),"",IFERROR($C95*INDEX(Settings!$C$22:$AC$27,MATCH($B95,Settings!$A$22:$A$27,0),24),0))</f>
        <v/>
      </c>
      <c r="AB95" s="38">
        <f>IF(OR($B95="",$B95="Land",$C95=""),"",IFERROR($C95*INDEX(Settings!$C$22:$AC$27,MATCH($B95,Settings!$A$22:$A$27,0),25),0))</f>
        <v/>
      </c>
      <c r="AC95" s="38">
        <f>IF(OR($B95="",$B95="Land",$C95=""),"",IFERROR($C95*INDEX(Settings!$C$22:$AC$27,MATCH($B95,Settings!$A$22:$A$27,0),26),0))</f>
        <v/>
      </c>
      <c r="AD95" s="38">
        <f>IF(OR($B95="",$B95="Land",$C95=""),"",IFERROR($C95*INDEX(Settings!$C$22:$AC$27,MATCH($B95,Settings!$A$22:$A$27,0),27),0))</f>
        <v/>
      </c>
    </row>
    <row r="96" ht="16" customHeight="1">
      <c r="A96" s="37">
        <f>'Asset Register'!A96</f>
        <v/>
      </c>
      <c r="B96" s="34">
        <f>'Asset Register'!E96</f>
        <v/>
      </c>
      <c r="C96" s="33">
        <f>'Asset Register'!J96</f>
        <v/>
      </c>
      <c r="D96" s="38">
        <f>IF(OR($B96="",$B96="Land",$C96=""),"",IFERROR($C96*INDEX(Settings!$C$22:$AC$27,MATCH($B96,Settings!$A$22:$A$27,0),1),0))</f>
        <v/>
      </c>
      <c r="E96" s="38">
        <f>IF(OR($B96="",$B96="Land",$C96=""),"",IFERROR($C96*INDEX(Settings!$C$22:$AC$27,MATCH($B96,Settings!$A$22:$A$27,0),2),0))</f>
        <v/>
      </c>
      <c r="F96" s="38">
        <f>IF(OR($B96="",$B96="Land",$C96=""),"",IFERROR($C96*INDEX(Settings!$C$22:$AC$27,MATCH($B96,Settings!$A$22:$A$27,0),3),0))</f>
        <v/>
      </c>
      <c r="G96" s="38">
        <f>IF(OR($B96="",$B96="Land",$C96=""),"",IFERROR($C96*INDEX(Settings!$C$22:$AC$27,MATCH($B96,Settings!$A$22:$A$27,0),4),0))</f>
        <v/>
      </c>
      <c r="H96" s="38">
        <f>IF(OR($B96="",$B96="Land",$C96=""),"",IFERROR($C96*INDEX(Settings!$C$22:$AC$27,MATCH($B96,Settings!$A$22:$A$27,0),5),0))</f>
        <v/>
      </c>
      <c r="I96" s="38">
        <f>IF(OR($B96="",$B96="Land",$C96=""),"",IFERROR($C96*INDEX(Settings!$C$22:$AC$27,MATCH($B96,Settings!$A$22:$A$27,0),6),0))</f>
        <v/>
      </c>
      <c r="J96" s="38">
        <f>IF(OR($B96="",$B96="Land",$C96=""),"",IFERROR($C96*INDEX(Settings!$C$22:$AC$27,MATCH($B96,Settings!$A$22:$A$27,0),7),0))</f>
        <v/>
      </c>
      <c r="K96" s="38">
        <f>IF(OR($B96="",$B96="Land",$C96=""),"",IFERROR($C96*INDEX(Settings!$C$22:$AC$27,MATCH($B96,Settings!$A$22:$A$27,0),8),0))</f>
        <v/>
      </c>
      <c r="L96" s="38">
        <f>IF(OR($B96="",$B96="Land",$C96=""),"",IFERROR($C96*INDEX(Settings!$C$22:$AC$27,MATCH($B96,Settings!$A$22:$A$27,0),9),0))</f>
        <v/>
      </c>
      <c r="M96" s="38">
        <f>IF(OR($B96="",$B96="Land",$C96=""),"",IFERROR($C96*INDEX(Settings!$C$22:$AC$27,MATCH($B96,Settings!$A$22:$A$27,0),10),0))</f>
        <v/>
      </c>
      <c r="N96" s="38">
        <f>IF(OR($B96="",$B96="Land",$C96=""),"",IFERROR($C96*INDEX(Settings!$C$22:$AC$27,MATCH($B96,Settings!$A$22:$A$27,0),11),0))</f>
        <v/>
      </c>
      <c r="O96" s="38">
        <f>IF(OR($B96="",$B96="Land",$C96=""),"",IFERROR($C96*INDEX(Settings!$C$22:$AC$27,MATCH($B96,Settings!$A$22:$A$27,0),12),0))</f>
        <v/>
      </c>
      <c r="P96" s="38">
        <f>IF(OR($B96="",$B96="Land",$C96=""),"",IFERROR($C96*INDEX(Settings!$C$22:$AC$27,MATCH($B96,Settings!$A$22:$A$27,0),13),0))</f>
        <v/>
      </c>
      <c r="Q96" s="38">
        <f>IF(OR($B96="",$B96="Land",$C96=""),"",IFERROR($C96*INDEX(Settings!$C$22:$AC$27,MATCH($B96,Settings!$A$22:$A$27,0),14),0))</f>
        <v/>
      </c>
      <c r="R96" s="38">
        <f>IF(OR($B96="",$B96="Land",$C96=""),"",IFERROR($C96*INDEX(Settings!$C$22:$AC$27,MATCH($B96,Settings!$A$22:$A$27,0),15),0))</f>
        <v/>
      </c>
      <c r="S96" s="38">
        <f>IF(OR($B96="",$B96="Land",$C96=""),"",IFERROR($C96*INDEX(Settings!$C$22:$AC$27,MATCH($B96,Settings!$A$22:$A$27,0),16),0))</f>
        <v/>
      </c>
      <c r="T96" s="38">
        <f>IF(OR($B96="",$B96="Land",$C96=""),"",IFERROR($C96*INDEX(Settings!$C$22:$AC$27,MATCH($B96,Settings!$A$22:$A$27,0),17),0))</f>
        <v/>
      </c>
      <c r="U96" s="38">
        <f>IF(OR($B96="",$B96="Land",$C96=""),"",IFERROR($C96*INDEX(Settings!$C$22:$AC$27,MATCH($B96,Settings!$A$22:$A$27,0),18),0))</f>
        <v/>
      </c>
      <c r="V96" s="38">
        <f>IF(OR($B96="",$B96="Land",$C96=""),"",IFERROR($C96*INDEX(Settings!$C$22:$AC$27,MATCH($B96,Settings!$A$22:$A$27,0),19),0))</f>
        <v/>
      </c>
      <c r="W96" s="38">
        <f>IF(OR($B96="",$B96="Land",$C96=""),"",IFERROR($C96*INDEX(Settings!$C$22:$AC$27,MATCH($B96,Settings!$A$22:$A$27,0),20),0))</f>
        <v/>
      </c>
      <c r="X96" s="38">
        <f>IF(OR($B96="",$B96="Land",$C96=""),"",IFERROR($C96*INDEX(Settings!$C$22:$AC$27,MATCH($B96,Settings!$A$22:$A$27,0),21),0))</f>
        <v/>
      </c>
      <c r="Y96" s="38">
        <f>IF(OR($B96="",$B96="Land",$C96=""),"",IFERROR($C96*INDEX(Settings!$C$22:$AC$27,MATCH($B96,Settings!$A$22:$A$27,0),22),0))</f>
        <v/>
      </c>
      <c r="Z96" s="38">
        <f>IF(OR($B96="",$B96="Land",$C96=""),"",IFERROR($C96*INDEX(Settings!$C$22:$AC$27,MATCH($B96,Settings!$A$22:$A$27,0),23),0))</f>
        <v/>
      </c>
      <c r="AA96" s="38">
        <f>IF(OR($B96="",$B96="Land",$C96=""),"",IFERROR($C96*INDEX(Settings!$C$22:$AC$27,MATCH($B96,Settings!$A$22:$A$27,0),24),0))</f>
        <v/>
      </c>
      <c r="AB96" s="38">
        <f>IF(OR($B96="",$B96="Land",$C96=""),"",IFERROR($C96*INDEX(Settings!$C$22:$AC$27,MATCH($B96,Settings!$A$22:$A$27,0),25),0))</f>
        <v/>
      </c>
      <c r="AC96" s="38">
        <f>IF(OR($B96="",$B96="Land",$C96=""),"",IFERROR($C96*INDEX(Settings!$C$22:$AC$27,MATCH($B96,Settings!$A$22:$A$27,0),26),0))</f>
        <v/>
      </c>
      <c r="AD96" s="38">
        <f>IF(OR($B96="",$B96="Land",$C96=""),"",IFERROR($C96*INDEX(Settings!$C$22:$AC$27,MATCH($B96,Settings!$A$22:$A$27,0),27),0))</f>
        <v/>
      </c>
    </row>
    <row r="97" ht="16" customHeight="1">
      <c r="A97" s="37">
        <f>'Asset Register'!A97</f>
        <v/>
      </c>
      <c r="B97" s="34">
        <f>'Asset Register'!E97</f>
        <v/>
      </c>
      <c r="C97" s="33">
        <f>'Asset Register'!J97</f>
        <v/>
      </c>
      <c r="D97" s="38">
        <f>IF(OR($B97="",$B97="Land",$C97=""),"",IFERROR($C97*INDEX(Settings!$C$22:$AC$27,MATCH($B97,Settings!$A$22:$A$27,0),1),0))</f>
        <v/>
      </c>
      <c r="E97" s="38">
        <f>IF(OR($B97="",$B97="Land",$C97=""),"",IFERROR($C97*INDEX(Settings!$C$22:$AC$27,MATCH($B97,Settings!$A$22:$A$27,0),2),0))</f>
        <v/>
      </c>
      <c r="F97" s="38">
        <f>IF(OR($B97="",$B97="Land",$C97=""),"",IFERROR($C97*INDEX(Settings!$C$22:$AC$27,MATCH($B97,Settings!$A$22:$A$27,0),3),0))</f>
        <v/>
      </c>
      <c r="G97" s="38">
        <f>IF(OR($B97="",$B97="Land",$C97=""),"",IFERROR($C97*INDEX(Settings!$C$22:$AC$27,MATCH($B97,Settings!$A$22:$A$27,0),4),0))</f>
        <v/>
      </c>
      <c r="H97" s="38">
        <f>IF(OR($B97="",$B97="Land",$C97=""),"",IFERROR($C97*INDEX(Settings!$C$22:$AC$27,MATCH($B97,Settings!$A$22:$A$27,0),5),0))</f>
        <v/>
      </c>
      <c r="I97" s="38">
        <f>IF(OR($B97="",$B97="Land",$C97=""),"",IFERROR($C97*INDEX(Settings!$C$22:$AC$27,MATCH($B97,Settings!$A$22:$A$27,0),6),0))</f>
        <v/>
      </c>
      <c r="J97" s="38">
        <f>IF(OR($B97="",$B97="Land",$C97=""),"",IFERROR($C97*INDEX(Settings!$C$22:$AC$27,MATCH($B97,Settings!$A$22:$A$27,0),7),0))</f>
        <v/>
      </c>
      <c r="K97" s="38">
        <f>IF(OR($B97="",$B97="Land",$C97=""),"",IFERROR($C97*INDEX(Settings!$C$22:$AC$27,MATCH($B97,Settings!$A$22:$A$27,0),8),0))</f>
        <v/>
      </c>
      <c r="L97" s="38">
        <f>IF(OR($B97="",$B97="Land",$C97=""),"",IFERROR($C97*INDEX(Settings!$C$22:$AC$27,MATCH($B97,Settings!$A$22:$A$27,0),9),0))</f>
        <v/>
      </c>
      <c r="M97" s="38">
        <f>IF(OR($B97="",$B97="Land",$C97=""),"",IFERROR($C97*INDEX(Settings!$C$22:$AC$27,MATCH($B97,Settings!$A$22:$A$27,0),10),0))</f>
        <v/>
      </c>
      <c r="N97" s="38">
        <f>IF(OR($B97="",$B97="Land",$C97=""),"",IFERROR($C97*INDEX(Settings!$C$22:$AC$27,MATCH($B97,Settings!$A$22:$A$27,0),11),0))</f>
        <v/>
      </c>
      <c r="O97" s="38">
        <f>IF(OR($B97="",$B97="Land",$C97=""),"",IFERROR($C97*INDEX(Settings!$C$22:$AC$27,MATCH($B97,Settings!$A$22:$A$27,0),12),0))</f>
        <v/>
      </c>
      <c r="P97" s="38">
        <f>IF(OR($B97="",$B97="Land",$C97=""),"",IFERROR($C97*INDEX(Settings!$C$22:$AC$27,MATCH($B97,Settings!$A$22:$A$27,0),13),0))</f>
        <v/>
      </c>
      <c r="Q97" s="38">
        <f>IF(OR($B97="",$B97="Land",$C97=""),"",IFERROR($C97*INDEX(Settings!$C$22:$AC$27,MATCH($B97,Settings!$A$22:$A$27,0),14),0))</f>
        <v/>
      </c>
      <c r="R97" s="38">
        <f>IF(OR($B97="",$B97="Land",$C97=""),"",IFERROR($C97*INDEX(Settings!$C$22:$AC$27,MATCH($B97,Settings!$A$22:$A$27,0),15),0))</f>
        <v/>
      </c>
      <c r="S97" s="38">
        <f>IF(OR($B97="",$B97="Land",$C97=""),"",IFERROR($C97*INDEX(Settings!$C$22:$AC$27,MATCH($B97,Settings!$A$22:$A$27,0),16),0))</f>
        <v/>
      </c>
      <c r="T97" s="38">
        <f>IF(OR($B97="",$B97="Land",$C97=""),"",IFERROR($C97*INDEX(Settings!$C$22:$AC$27,MATCH($B97,Settings!$A$22:$A$27,0),17),0))</f>
        <v/>
      </c>
      <c r="U97" s="38">
        <f>IF(OR($B97="",$B97="Land",$C97=""),"",IFERROR($C97*INDEX(Settings!$C$22:$AC$27,MATCH($B97,Settings!$A$22:$A$27,0),18),0))</f>
        <v/>
      </c>
      <c r="V97" s="38">
        <f>IF(OR($B97="",$B97="Land",$C97=""),"",IFERROR($C97*INDEX(Settings!$C$22:$AC$27,MATCH($B97,Settings!$A$22:$A$27,0),19),0))</f>
        <v/>
      </c>
      <c r="W97" s="38">
        <f>IF(OR($B97="",$B97="Land",$C97=""),"",IFERROR($C97*INDEX(Settings!$C$22:$AC$27,MATCH($B97,Settings!$A$22:$A$27,0),20),0))</f>
        <v/>
      </c>
      <c r="X97" s="38">
        <f>IF(OR($B97="",$B97="Land",$C97=""),"",IFERROR($C97*INDEX(Settings!$C$22:$AC$27,MATCH($B97,Settings!$A$22:$A$27,0),21),0))</f>
        <v/>
      </c>
      <c r="Y97" s="38">
        <f>IF(OR($B97="",$B97="Land",$C97=""),"",IFERROR($C97*INDEX(Settings!$C$22:$AC$27,MATCH($B97,Settings!$A$22:$A$27,0),22),0))</f>
        <v/>
      </c>
      <c r="Z97" s="38">
        <f>IF(OR($B97="",$B97="Land",$C97=""),"",IFERROR($C97*INDEX(Settings!$C$22:$AC$27,MATCH($B97,Settings!$A$22:$A$27,0),23),0))</f>
        <v/>
      </c>
      <c r="AA97" s="38">
        <f>IF(OR($B97="",$B97="Land",$C97=""),"",IFERROR($C97*INDEX(Settings!$C$22:$AC$27,MATCH($B97,Settings!$A$22:$A$27,0),24),0))</f>
        <v/>
      </c>
      <c r="AB97" s="38">
        <f>IF(OR($B97="",$B97="Land",$C97=""),"",IFERROR($C97*INDEX(Settings!$C$22:$AC$27,MATCH($B97,Settings!$A$22:$A$27,0),25),0))</f>
        <v/>
      </c>
      <c r="AC97" s="38">
        <f>IF(OR($B97="",$B97="Land",$C97=""),"",IFERROR($C97*INDEX(Settings!$C$22:$AC$27,MATCH($B97,Settings!$A$22:$A$27,0),26),0))</f>
        <v/>
      </c>
      <c r="AD97" s="38">
        <f>IF(OR($B97="",$B97="Land",$C97=""),"",IFERROR($C97*INDEX(Settings!$C$22:$AC$27,MATCH($B97,Settings!$A$22:$A$27,0),27),0))</f>
        <v/>
      </c>
    </row>
    <row r="98" ht="16" customHeight="1">
      <c r="A98" s="37">
        <f>'Asset Register'!A98</f>
        <v/>
      </c>
      <c r="B98" s="34">
        <f>'Asset Register'!E98</f>
        <v/>
      </c>
      <c r="C98" s="33">
        <f>'Asset Register'!J98</f>
        <v/>
      </c>
      <c r="D98" s="38">
        <f>IF(OR($B98="",$B98="Land",$C98=""),"",IFERROR($C98*INDEX(Settings!$C$22:$AC$27,MATCH($B98,Settings!$A$22:$A$27,0),1),0))</f>
        <v/>
      </c>
      <c r="E98" s="38">
        <f>IF(OR($B98="",$B98="Land",$C98=""),"",IFERROR($C98*INDEX(Settings!$C$22:$AC$27,MATCH($B98,Settings!$A$22:$A$27,0),2),0))</f>
        <v/>
      </c>
      <c r="F98" s="38">
        <f>IF(OR($B98="",$B98="Land",$C98=""),"",IFERROR($C98*INDEX(Settings!$C$22:$AC$27,MATCH($B98,Settings!$A$22:$A$27,0),3),0))</f>
        <v/>
      </c>
      <c r="G98" s="38">
        <f>IF(OR($B98="",$B98="Land",$C98=""),"",IFERROR($C98*INDEX(Settings!$C$22:$AC$27,MATCH($B98,Settings!$A$22:$A$27,0),4),0))</f>
        <v/>
      </c>
      <c r="H98" s="38">
        <f>IF(OR($B98="",$B98="Land",$C98=""),"",IFERROR($C98*INDEX(Settings!$C$22:$AC$27,MATCH($B98,Settings!$A$22:$A$27,0),5),0))</f>
        <v/>
      </c>
      <c r="I98" s="38">
        <f>IF(OR($B98="",$B98="Land",$C98=""),"",IFERROR($C98*INDEX(Settings!$C$22:$AC$27,MATCH($B98,Settings!$A$22:$A$27,0),6),0))</f>
        <v/>
      </c>
      <c r="J98" s="38">
        <f>IF(OR($B98="",$B98="Land",$C98=""),"",IFERROR($C98*INDEX(Settings!$C$22:$AC$27,MATCH($B98,Settings!$A$22:$A$27,0),7),0))</f>
        <v/>
      </c>
      <c r="K98" s="38">
        <f>IF(OR($B98="",$B98="Land",$C98=""),"",IFERROR($C98*INDEX(Settings!$C$22:$AC$27,MATCH($B98,Settings!$A$22:$A$27,0),8),0))</f>
        <v/>
      </c>
      <c r="L98" s="38">
        <f>IF(OR($B98="",$B98="Land",$C98=""),"",IFERROR($C98*INDEX(Settings!$C$22:$AC$27,MATCH($B98,Settings!$A$22:$A$27,0),9),0))</f>
        <v/>
      </c>
      <c r="M98" s="38">
        <f>IF(OR($B98="",$B98="Land",$C98=""),"",IFERROR($C98*INDEX(Settings!$C$22:$AC$27,MATCH($B98,Settings!$A$22:$A$27,0),10),0))</f>
        <v/>
      </c>
      <c r="N98" s="38">
        <f>IF(OR($B98="",$B98="Land",$C98=""),"",IFERROR($C98*INDEX(Settings!$C$22:$AC$27,MATCH($B98,Settings!$A$22:$A$27,0),11),0))</f>
        <v/>
      </c>
      <c r="O98" s="38">
        <f>IF(OR($B98="",$B98="Land",$C98=""),"",IFERROR($C98*INDEX(Settings!$C$22:$AC$27,MATCH($B98,Settings!$A$22:$A$27,0),12),0))</f>
        <v/>
      </c>
      <c r="P98" s="38">
        <f>IF(OR($B98="",$B98="Land",$C98=""),"",IFERROR($C98*INDEX(Settings!$C$22:$AC$27,MATCH($B98,Settings!$A$22:$A$27,0),13),0))</f>
        <v/>
      </c>
      <c r="Q98" s="38">
        <f>IF(OR($B98="",$B98="Land",$C98=""),"",IFERROR($C98*INDEX(Settings!$C$22:$AC$27,MATCH($B98,Settings!$A$22:$A$27,0),14),0))</f>
        <v/>
      </c>
      <c r="R98" s="38">
        <f>IF(OR($B98="",$B98="Land",$C98=""),"",IFERROR($C98*INDEX(Settings!$C$22:$AC$27,MATCH($B98,Settings!$A$22:$A$27,0),15),0))</f>
        <v/>
      </c>
      <c r="S98" s="38">
        <f>IF(OR($B98="",$B98="Land",$C98=""),"",IFERROR($C98*INDEX(Settings!$C$22:$AC$27,MATCH($B98,Settings!$A$22:$A$27,0),16),0))</f>
        <v/>
      </c>
      <c r="T98" s="38">
        <f>IF(OR($B98="",$B98="Land",$C98=""),"",IFERROR($C98*INDEX(Settings!$C$22:$AC$27,MATCH($B98,Settings!$A$22:$A$27,0),17),0))</f>
        <v/>
      </c>
      <c r="U98" s="38">
        <f>IF(OR($B98="",$B98="Land",$C98=""),"",IFERROR($C98*INDEX(Settings!$C$22:$AC$27,MATCH($B98,Settings!$A$22:$A$27,0),18),0))</f>
        <v/>
      </c>
      <c r="V98" s="38">
        <f>IF(OR($B98="",$B98="Land",$C98=""),"",IFERROR($C98*INDEX(Settings!$C$22:$AC$27,MATCH($B98,Settings!$A$22:$A$27,0),19),0))</f>
        <v/>
      </c>
      <c r="W98" s="38">
        <f>IF(OR($B98="",$B98="Land",$C98=""),"",IFERROR($C98*INDEX(Settings!$C$22:$AC$27,MATCH($B98,Settings!$A$22:$A$27,0),20),0))</f>
        <v/>
      </c>
      <c r="X98" s="38">
        <f>IF(OR($B98="",$B98="Land",$C98=""),"",IFERROR($C98*INDEX(Settings!$C$22:$AC$27,MATCH($B98,Settings!$A$22:$A$27,0),21),0))</f>
        <v/>
      </c>
      <c r="Y98" s="38">
        <f>IF(OR($B98="",$B98="Land",$C98=""),"",IFERROR($C98*INDEX(Settings!$C$22:$AC$27,MATCH($B98,Settings!$A$22:$A$27,0),22),0))</f>
        <v/>
      </c>
      <c r="Z98" s="38">
        <f>IF(OR($B98="",$B98="Land",$C98=""),"",IFERROR($C98*INDEX(Settings!$C$22:$AC$27,MATCH($B98,Settings!$A$22:$A$27,0),23),0))</f>
        <v/>
      </c>
      <c r="AA98" s="38">
        <f>IF(OR($B98="",$B98="Land",$C98=""),"",IFERROR($C98*INDEX(Settings!$C$22:$AC$27,MATCH($B98,Settings!$A$22:$A$27,0),24),0))</f>
        <v/>
      </c>
      <c r="AB98" s="38">
        <f>IF(OR($B98="",$B98="Land",$C98=""),"",IFERROR($C98*INDEX(Settings!$C$22:$AC$27,MATCH($B98,Settings!$A$22:$A$27,0),25),0))</f>
        <v/>
      </c>
      <c r="AC98" s="38">
        <f>IF(OR($B98="",$B98="Land",$C98=""),"",IFERROR($C98*INDEX(Settings!$C$22:$AC$27,MATCH($B98,Settings!$A$22:$A$27,0),26),0))</f>
        <v/>
      </c>
      <c r="AD98" s="38">
        <f>IF(OR($B98="",$B98="Land",$C98=""),"",IFERROR($C98*INDEX(Settings!$C$22:$AC$27,MATCH($B98,Settings!$A$22:$A$27,0),27),0))</f>
        <v/>
      </c>
    </row>
    <row r="99" ht="16" customHeight="1">
      <c r="A99" s="37">
        <f>'Asset Register'!A99</f>
        <v/>
      </c>
      <c r="B99" s="34">
        <f>'Asset Register'!E99</f>
        <v/>
      </c>
      <c r="C99" s="33">
        <f>'Asset Register'!J99</f>
        <v/>
      </c>
      <c r="D99" s="38">
        <f>IF(OR($B99="",$B99="Land",$C99=""),"",IFERROR($C99*INDEX(Settings!$C$22:$AC$27,MATCH($B99,Settings!$A$22:$A$27,0),1),0))</f>
        <v/>
      </c>
      <c r="E99" s="38">
        <f>IF(OR($B99="",$B99="Land",$C99=""),"",IFERROR($C99*INDEX(Settings!$C$22:$AC$27,MATCH($B99,Settings!$A$22:$A$27,0),2),0))</f>
        <v/>
      </c>
      <c r="F99" s="38">
        <f>IF(OR($B99="",$B99="Land",$C99=""),"",IFERROR($C99*INDEX(Settings!$C$22:$AC$27,MATCH($B99,Settings!$A$22:$A$27,0),3),0))</f>
        <v/>
      </c>
      <c r="G99" s="38">
        <f>IF(OR($B99="",$B99="Land",$C99=""),"",IFERROR($C99*INDEX(Settings!$C$22:$AC$27,MATCH($B99,Settings!$A$22:$A$27,0),4),0))</f>
        <v/>
      </c>
      <c r="H99" s="38">
        <f>IF(OR($B99="",$B99="Land",$C99=""),"",IFERROR($C99*INDEX(Settings!$C$22:$AC$27,MATCH($B99,Settings!$A$22:$A$27,0),5),0))</f>
        <v/>
      </c>
      <c r="I99" s="38">
        <f>IF(OR($B99="",$B99="Land",$C99=""),"",IFERROR($C99*INDEX(Settings!$C$22:$AC$27,MATCH($B99,Settings!$A$22:$A$27,0),6),0))</f>
        <v/>
      </c>
      <c r="J99" s="38">
        <f>IF(OR($B99="",$B99="Land",$C99=""),"",IFERROR($C99*INDEX(Settings!$C$22:$AC$27,MATCH($B99,Settings!$A$22:$A$27,0),7),0))</f>
        <v/>
      </c>
      <c r="K99" s="38">
        <f>IF(OR($B99="",$B99="Land",$C99=""),"",IFERROR($C99*INDEX(Settings!$C$22:$AC$27,MATCH($B99,Settings!$A$22:$A$27,0),8),0))</f>
        <v/>
      </c>
      <c r="L99" s="38">
        <f>IF(OR($B99="",$B99="Land",$C99=""),"",IFERROR($C99*INDEX(Settings!$C$22:$AC$27,MATCH($B99,Settings!$A$22:$A$27,0),9),0))</f>
        <v/>
      </c>
      <c r="M99" s="38">
        <f>IF(OR($B99="",$B99="Land",$C99=""),"",IFERROR($C99*INDEX(Settings!$C$22:$AC$27,MATCH($B99,Settings!$A$22:$A$27,0),10),0))</f>
        <v/>
      </c>
      <c r="N99" s="38">
        <f>IF(OR($B99="",$B99="Land",$C99=""),"",IFERROR($C99*INDEX(Settings!$C$22:$AC$27,MATCH($B99,Settings!$A$22:$A$27,0),11),0))</f>
        <v/>
      </c>
      <c r="O99" s="38">
        <f>IF(OR($B99="",$B99="Land",$C99=""),"",IFERROR($C99*INDEX(Settings!$C$22:$AC$27,MATCH($B99,Settings!$A$22:$A$27,0),12),0))</f>
        <v/>
      </c>
      <c r="P99" s="38">
        <f>IF(OR($B99="",$B99="Land",$C99=""),"",IFERROR($C99*INDEX(Settings!$C$22:$AC$27,MATCH($B99,Settings!$A$22:$A$27,0),13),0))</f>
        <v/>
      </c>
      <c r="Q99" s="38">
        <f>IF(OR($B99="",$B99="Land",$C99=""),"",IFERROR($C99*INDEX(Settings!$C$22:$AC$27,MATCH($B99,Settings!$A$22:$A$27,0),14),0))</f>
        <v/>
      </c>
      <c r="R99" s="38">
        <f>IF(OR($B99="",$B99="Land",$C99=""),"",IFERROR($C99*INDEX(Settings!$C$22:$AC$27,MATCH($B99,Settings!$A$22:$A$27,0),15),0))</f>
        <v/>
      </c>
      <c r="S99" s="38">
        <f>IF(OR($B99="",$B99="Land",$C99=""),"",IFERROR($C99*INDEX(Settings!$C$22:$AC$27,MATCH($B99,Settings!$A$22:$A$27,0),16),0))</f>
        <v/>
      </c>
      <c r="T99" s="38">
        <f>IF(OR($B99="",$B99="Land",$C99=""),"",IFERROR($C99*INDEX(Settings!$C$22:$AC$27,MATCH($B99,Settings!$A$22:$A$27,0),17),0))</f>
        <v/>
      </c>
      <c r="U99" s="38">
        <f>IF(OR($B99="",$B99="Land",$C99=""),"",IFERROR($C99*INDEX(Settings!$C$22:$AC$27,MATCH($B99,Settings!$A$22:$A$27,0),18),0))</f>
        <v/>
      </c>
      <c r="V99" s="38">
        <f>IF(OR($B99="",$B99="Land",$C99=""),"",IFERROR($C99*INDEX(Settings!$C$22:$AC$27,MATCH($B99,Settings!$A$22:$A$27,0),19),0))</f>
        <v/>
      </c>
      <c r="W99" s="38">
        <f>IF(OR($B99="",$B99="Land",$C99=""),"",IFERROR($C99*INDEX(Settings!$C$22:$AC$27,MATCH($B99,Settings!$A$22:$A$27,0),20),0))</f>
        <v/>
      </c>
      <c r="X99" s="38">
        <f>IF(OR($B99="",$B99="Land",$C99=""),"",IFERROR($C99*INDEX(Settings!$C$22:$AC$27,MATCH($B99,Settings!$A$22:$A$27,0),21),0))</f>
        <v/>
      </c>
      <c r="Y99" s="38">
        <f>IF(OR($B99="",$B99="Land",$C99=""),"",IFERROR($C99*INDEX(Settings!$C$22:$AC$27,MATCH($B99,Settings!$A$22:$A$27,0),22),0))</f>
        <v/>
      </c>
      <c r="Z99" s="38">
        <f>IF(OR($B99="",$B99="Land",$C99=""),"",IFERROR($C99*INDEX(Settings!$C$22:$AC$27,MATCH($B99,Settings!$A$22:$A$27,0),23),0))</f>
        <v/>
      </c>
      <c r="AA99" s="38">
        <f>IF(OR($B99="",$B99="Land",$C99=""),"",IFERROR($C99*INDEX(Settings!$C$22:$AC$27,MATCH($B99,Settings!$A$22:$A$27,0),24),0))</f>
        <v/>
      </c>
      <c r="AB99" s="38">
        <f>IF(OR($B99="",$B99="Land",$C99=""),"",IFERROR($C99*INDEX(Settings!$C$22:$AC$27,MATCH($B99,Settings!$A$22:$A$27,0),25),0))</f>
        <v/>
      </c>
      <c r="AC99" s="38">
        <f>IF(OR($B99="",$B99="Land",$C99=""),"",IFERROR($C99*INDEX(Settings!$C$22:$AC$27,MATCH($B99,Settings!$A$22:$A$27,0),26),0))</f>
        <v/>
      </c>
      <c r="AD99" s="38">
        <f>IF(OR($B99="",$B99="Land",$C99=""),"",IFERROR($C99*INDEX(Settings!$C$22:$AC$27,MATCH($B99,Settings!$A$22:$A$27,0),27),0))</f>
        <v/>
      </c>
    </row>
    <row r="100" ht="16" customHeight="1">
      <c r="A100" s="37">
        <f>'Asset Register'!A100</f>
        <v/>
      </c>
      <c r="B100" s="34">
        <f>'Asset Register'!E100</f>
        <v/>
      </c>
      <c r="C100" s="33">
        <f>'Asset Register'!J100</f>
        <v/>
      </c>
      <c r="D100" s="38">
        <f>IF(OR($B100="",$B100="Land",$C100=""),"",IFERROR($C100*INDEX(Settings!$C$22:$AC$27,MATCH($B100,Settings!$A$22:$A$27,0),1),0))</f>
        <v/>
      </c>
      <c r="E100" s="38">
        <f>IF(OR($B100="",$B100="Land",$C100=""),"",IFERROR($C100*INDEX(Settings!$C$22:$AC$27,MATCH($B100,Settings!$A$22:$A$27,0),2),0))</f>
        <v/>
      </c>
      <c r="F100" s="38">
        <f>IF(OR($B100="",$B100="Land",$C100=""),"",IFERROR($C100*INDEX(Settings!$C$22:$AC$27,MATCH($B100,Settings!$A$22:$A$27,0),3),0))</f>
        <v/>
      </c>
      <c r="G100" s="38">
        <f>IF(OR($B100="",$B100="Land",$C100=""),"",IFERROR($C100*INDEX(Settings!$C$22:$AC$27,MATCH($B100,Settings!$A$22:$A$27,0),4),0))</f>
        <v/>
      </c>
      <c r="H100" s="38">
        <f>IF(OR($B100="",$B100="Land",$C100=""),"",IFERROR($C100*INDEX(Settings!$C$22:$AC$27,MATCH($B100,Settings!$A$22:$A$27,0),5),0))</f>
        <v/>
      </c>
      <c r="I100" s="38">
        <f>IF(OR($B100="",$B100="Land",$C100=""),"",IFERROR($C100*INDEX(Settings!$C$22:$AC$27,MATCH($B100,Settings!$A$22:$A$27,0),6),0))</f>
        <v/>
      </c>
      <c r="J100" s="38">
        <f>IF(OR($B100="",$B100="Land",$C100=""),"",IFERROR($C100*INDEX(Settings!$C$22:$AC$27,MATCH($B100,Settings!$A$22:$A$27,0),7),0))</f>
        <v/>
      </c>
      <c r="K100" s="38">
        <f>IF(OR($B100="",$B100="Land",$C100=""),"",IFERROR($C100*INDEX(Settings!$C$22:$AC$27,MATCH($B100,Settings!$A$22:$A$27,0),8),0))</f>
        <v/>
      </c>
      <c r="L100" s="38">
        <f>IF(OR($B100="",$B100="Land",$C100=""),"",IFERROR($C100*INDEX(Settings!$C$22:$AC$27,MATCH($B100,Settings!$A$22:$A$27,0),9),0))</f>
        <v/>
      </c>
      <c r="M100" s="38">
        <f>IF(OR($B100="",$B100="Land",$C100=""),"",IFERROR($C100*INDEX(Settings!$C$22:$AC$27,MATCH($B100,Settings!$A$22:$A$27,0),10),0))</f>
        <v/>
      </c>
      <c r="N100" s="38">
        <f>IF(OR($B100="",$B100="Land",$C100=""),"",IFERROR($C100*INDEX(Settings!$C$22:$AC$27,MATCH($B100,Settings!$A$22:$A$27,0),11),0))</f>
        <v/>
      </c>
      <c r="O100" s="38">
        <f>IF(OR($B100="",$B100="Land",$C100=""),"",IFERROR($C100*INDEX(Settings!$C$22:$AC$27,MATCH($B100,Settings!$A$22:$A$27,0),12),0))</f>
        <v/>
      </c>
      <c r="P100" s="38">
        <f>IF(OR($B100="",$B100="Land",$C100=""),"",IFERROR($C100*INDEX(Settings!$C$22:$AC$27,MATCH($B100,Settings!$A$22:$A$27,0),13),0))</f>
        <v/>
      </c>
      <c r="Q100" s="38">
        <f>IF(OR($B100="",$B100="Land",$C100=""),"",IFERROR($C100*INDEX(Settings!$C$22:$AC$27,MATCH($B100,Settings!$A$22:$A$27,0),14),0))</f>
        <v/>
      </c>
      <c r="R100" s="38">
        <f>IF(OR($B100="",$B100="Land",$C100=""),"",IFERROR($C100*INDEX(Settings!$C$22:$AC$27,MATCH($B100,Settings!$A$22:$A$27,0),15),0))</f>
        <v/>
      </c>
      <c r="S100" s="38">
        <f>IF(OR($B100="",$B100="Land",$C100=""),"",IFERROR($C100*INDEX(Settings!$C$22:$AC$27,MATCH($B100,Settings!$A$22:$A$27,0),16),0))</f>
        <v/>
      </c>
      <c r="T100" s="38">
        <f>IF(OR($B100="",$B100="Land",$C100=""),"",IFERROR($C100*INDEX(Settings!$C$22:$AC$27,MATCH($B100,Settings!$A$22:$A$27,0),17),0))</f>
        <v/>
      </c>
      <c r="U100" s="38">
        <f>IF(OR($B100="",$B100="Land",$C100=""),"",IFERROR($C100*INDEX(Settings!$C$22:$AC$27,MATCH($B100,Settings!$A$22:$A$27,0),18),0))</f>
        <v/>
      </c>
      <c r="V100" s="38">
        <f>IF(OR($B100="",$B100="Land",$C100=""),"",IFERROR($C100*INDEX(Settings!$C$22:$AC$27,MATCH($B100,Settings!$A$22:$A$27,0),19),0))</f>
        <v/>
      </c>
      <c r="W100" s="38">
        <f>IF(OR($B100="",$B100="Land",$C100=""),"",IFERROR($C100*INDEX(Settings!$C$22:$AC$27,MATCH($B100,Settings!$A$22:$A$27,0),20),0))</f>
        <v/>
      </c>
      <c r="X100" s="38">
        <f>IF(OR($B100="",$B100="Land",$C100=""),"",IFERROR($C100*INDEX(Settings!$C$22:$AC$27,MATCH($B100,Settings!$A$22:$A$27,0),21),0))</f>
        <v/>
      </c>
      <c r="Y100" s="38">
        <f>IF(OR($B100="",$B100="Land",$C100=""),"",IFERROR($C100*INDEX(Settings!$C$22:$AC$27,MATCH($B100,Settings!$A$22:$A$27,0),22),0))</f>
        <v/>
      </c>
      <c r="Z100" s="38">
        <f>IF(OR($B100="",$B100="Land",$C100=""),"",IFERROR($C100*INDEX(Settings!$C$22:$AC$27,MATCH($B100,Settings!$A$22:$A$27,0),23),0))</f>
        <v/>
      </c>
      <c r="AA100" s="38">
        <f>IF(OR($B100="",$B100="Land",$C100=""),"",IFERROR($C100*INDEX(Settings!$C$22:$AC$27,MATCH($B100,Settings!$A$22:$A$27,0),24),0))</f>
        <v/>
      </c>
      <c r="AB100" s="38">
        <f>IF(OR($B100="",$B100="Land",$C100=""),"",IFERROR($C100*INDEX(Settings!$C$22:$AC$27,MATCH($B100,Settings!$A$22:$A$27,0),25),0))</f>
        <v/>
      </c>
      <c r="AC100" s="38">
        <f>IF(OR($B100="",$B100="Land",$C100=""),"",IFERROR($C100*INDEX(Settings!$C$22:$AC$27,MATCH($B100,Settings!$A$22:$A$27,0),26),0))</f>
        <v/>
      </c>
      <c r="AD100" s="38">
        <f>IF(OR($B100="",$B100="Land",$C100=""),"",IFERROR($C100*INDEX(Settings!$C$22:$AC$27,MATCH($B100,Settings!$A$22:$A$27,0),27),0))</f>
        <v/>
      </c>
    </row>
    <row r="101" ht="16" customHeight="1">
      <c r="A101" s="37">
        <f>'Asset Register'!A101</f>
        <v/>
      </c>
      <c r="B101" s="34">
        <f>'Asset Register'!E101</f>
        <v/>
      </c>
      <c r="C101" s="33">
        <f>'Asset Register'!J101</f>
        <v/>
      </c>
      <c r="D101" s="38">
        <f>IF(OR($B101="",$B101="Land",$C101=""),"",IFERROR($C101*INDEX(Settings!$C$22:$AC$27,MATCH($B101,Settings!$A$22:$A$27,0),1),0))</f>
        <v/>
      </c>
      <c r="E101" s="38">
        <f>IF(OR($B101="",$B101="Land",$C101=""),"",IFERROR($C101*INDEX(Settings!$C$22:$AC$27,MATCH($B101,Settings!$A$22:$A$27,0),2),0))</f>
        <v/>
      </c>
      <c r="F101" s="38">
        <f>IF(OR($B101="",$B101="Land",$C101=""),"",IFERROR($C101*INDEX(Settings!$C$22:$AC$27,MATCH($B101,Settings!$A$22:$A$27,0),3),0))</f>
        <v/>
      </c>
      <c r="G101" s="38">
        <f>IF(OR($B101="",$B101="Land",$C101=""),"",IFERROR($C101*INDEX(Settings!$C$22:$AC$27,MATCH($B101,Settings!$A$22:$A$27,0),4),0))</f>
        <v/>
      </c>
      <c r="H101" s="38">
        <f>IF(OR($B101="",$B101="Land",$C101=""),"",IFERROR($C101*INDEX(Settings!$C$22:$AC$27,MATCH($B101,Settings!$A$22:$A$27,0),5),0))</f>
        <v/>
      </c>
      <c r="I101" s="38">
        <f>IF(OR($B101="",$B101="Land",$C101=""),"",IFERROR($C101*INDEX(Settings!$C$22:$AC$27,MATCH($B101,Settings!$A$22:$A$27,0),6),0))</f>
        <v/>
      </c>
      <c r="J101" s="38">
        <f>IF(OR($B101="",$B101="Land",$C101=""),"",IFERROR($C101*INDEX(Settings!$C$22:$AC$27,MATCH($B101,Settings!$A$22:$A$27,0),7),0))</f>
        <v/>
      </c>
      <c r="K101" s="38">
        <f>IF(OR($B101="",$B101="Land",$C101=""),"",IFERROR($C101*INDEX(Settings!$C$22:$AC$27,MATCH($B101,Settings!$A$22:$A$27,0),8),0))</f>
        <v/>
      </c>
      <c r="L101" s="38">
        <f>IF(OR($B101="",$B101="Land",$C101=""),"",IFERROR($C101*INDEX(Settings!$C$22:$AC$27,MATCH($B101,Settings!$A$22:$A$27,0),9),0))</f>
        <v/>
      </c>
      <c r="M101" s="38">
        <f>IF(OR($B101="",$B101="Land",$C101=""),"",IFERROR($C101*INDEX(Settings!$C$22:$AC$27,MATCH($B101,Settings!$A$22:$A$27,0),10),0))</f>
        <v/>
      </c>
      <c r="N101" s="38">
        <f>IF(OR($B101="",$B101="Land",$C101=""),"",IFERROR($C101*INDEX(Settings!$C$22:$AC$27,MATCH($B101,Settings!$A$22:$A$27,0),11),0))</f>
        <v/>
      </c>
      <c r="O101" s="38">
        <f>IF(OR($B101="",$B101="Land",$C101=""),"",IFERROR($C101*INDEX(Settings!$C$22:$AC$27,MATCH($B101,Settings!$A$22:$A$27,0),12),0))</f>
        <v/>
      </c>
      <c r="P101" s="38">
        <f>IF(OR($B101="",$B101="Land",$C101=""),"",IFERROR($C101*INDEX(Settings!$C$22:$AC$27,MATCH($B101,Settings!$A$22:$A$27,0),13),0))</f>
        <v/>
      </c>
      <c r="Q101" s="38">
        <f>IF(OR($B101="",$B101="Land",$C101=""),"",IFERROR($C101*INDEX(Settings!$C$22:$AC$27,MATCH($B101,Settings!$A$22:$A$27,0),14),0))</f>
        <v/>
      </c>
      <c r="R101" s="38">
        <f>IF(OR($B101="",$B101="Land",$C101=""),"",IFERROR($C101*INDEX(Settings!$C$22:$AC$27,MATCH($B101,Settings!$A$22:$A$27,0),15),0))</f>
        <v/>
      </c>
      <c r="S101" s="38">
        <f>IF(OR($B101="",$B101="Land",$C101=""),"",IFERROR($C101*INDEX(Settings!$C$22:$AC$27,MATCH($B101,Settings!$A$22:$A$27,0),16),0))</f>
        <v/>
      </c>
      <c r="T101" s="38">
        <f>IF(OR($B101="",$B101="Land",$C101=""),"",IFERROR($C101*INDEX(Settings!$C$22:$AC$27,MATCH($B101,Settings!$A$22:$A$27,0),17),0))</f>
        <v/>
      </c>
      <c r="U101" s="38">
        <f>IF(OR($B101="",$B101="Land",$C101=""),"",IFERROR($C101*INDEX(Settings!$C$22:$AC$27,MATCH($B101,Settings!$A$22:$A$27,0),18),0))</f>
        <v/>
      </c>
      <c r="V101" s="38">
        <f>IF(OR($B101="",$B101="Land",$C101=""),"",IFERROR($C101*INDEX(Settings!$C$22:$AC$27,MATCH($B101,Settings!$A$22:$A$27,0),19),0))</f>
        <v/>
      </c>
      <c r="W101" s="38">
        <f>IF(OR($B101="",$B101="Land",$C101=""),"",IFERROR($C101*INDEX(Settings!$C$22:$AC$27,MATCH($B101,Settings!$A$22:$A$27,0),20),0))</f>
        <v/>
      </c>
      <c r="X101" s="38">
        <f>IF(OR($B101="",$B101="Land",$C101=""),"",IFERROR($C101*INDEX(Settings!$C$22:$AC$27,MATCH($B101,Settings!$A$22:$A$27,0),21),0))</f>
        <v/>
      </c>
      <c r="Y101" s="38">
        <f>IF(OR($B101="",$B101="Land",$C101=""),"",IFERROR($C101*INDEX(Settings!$C$22:$AC$27,MATCH($B101,Settings!$A$22:$A$27,0),22),0))</f>
        <v/>
      </c>
      <c r="Z101" s="38">
        <f>IF(OR($B101="",$B101="Land",$C101=""),"",IFERROR($C101*INDEX(Settings!$C$22:$AC$27,MATCH($B101,Settings!$A$22:$A$27,0),23),0))</f>
        <v/>
      </c>
      <c r="AA101" s="38">
        <f>IF(OR($B101="",$B101="Land",$C101=""),"",IFERROR($C101*INDEX(Settings!$C$22:$AC$27,MATCH($B101,Settings!$A$22:$A$27,0),24),0))</f>
        <v/>
      </c>
      <c r="AB101" s="38">
        <f>IF(OR($B101="",$B101="Land",$C101=""),"",IFERROR($C101*INDEX(Settings!$C$22:$AC$27,MATCH($B101,Settings!$A$22:$A$27,0),25),0))</f>
        <v/>
      </c>
      <c r="AC101" s="38">
        <f>IF(OR($B101="",$B101="Land",$C101=""),"",IFERROR($C101*INDEX(Settings!$C$22:$AC$27,MATCH($B101,Settings!$A$22:$A$27,0),26),0))</f>
        <v/>
      </c>
      <c r="AD101" s="38">
        <f>IF(OR($B101="",$B101="Land",$C101=""),"",IFERROR($C101*INDEX(Settings!$C$22:$AC$27,MATCH($B101,Settings!$A$22:$A$27,0),27),0))</f>
        <v/>
      </c>
    </row>
    <row r="102" ht="16" customHeight="1">
      <c r="A102" s="37">
        <f>'Asset Register'!A102</f>
        <v/>
      </c>
      <c r="B102" s="34">
        <f>'Asset Register'!E102</f>
        <v/>
      </c>
      <c r="C102" s="33">
        <f>'Asset Register'!J102</f>
        <v/>
      </c>
      <c r="D102" s="38">
        <f>IF(OR($B102="",$B102="Land",$C102=""),"",IFERROR($C102*INDEX(Settings!$C$22:$AC$27,MATCH($B102,Settings!$A$22:$A$27,0),1),0))</f>
        <v/>
      </c>
      <c r="E102" s="38">
        <f>IF(OR($B102="",$B102="Land",$C102=""),"",IFERROR($C102*INDEX(Settings!$C$22:$AC$27,MATCH($B102,Settings!$A$22:$A$27,0),2),0))</f>
        <v/>
      </c>
      <c r="F102" s="38">
        <f>IF(OR($B102="",$B102="Land",$C102=""),"",IFERROR($C102*INDEX(Settings!$C$22:$AC$27,MATCH($B102,Settings!$A$22:$A$27,0),3),0))</f>
        <v/>
      </c>
      <c r="G102" s="38">
        <f>IF(OR($B102="",$B102="Land",$C102=""),"",IFERROR($C102*INDEX(Settings!$C$22:$AC$27,MATCH($B102,Settings!$A$22:$A$27,0),4),0))</f>
        <v/>
      </c>
      <c r="H102" s="38">
        <f>IF(OR($B102="",$B102="Land",$C102=""),"",IFERROR($C102*INDEX(Settings!$C$22:$AC$27,MATCH($B102,Settings!$A$22:$A$27,0),5),0))</f>
        <v/>
      </c>
      <c r="I102" s="38">
        <f>IF(OR($B102="",$B102="Land",$C102=""),"",IFERROR($C102*INDEX(Settings!$C$22:$AC$27,MATCH($B102,Settings!$A$22:$A$27,0),6),0))</f>
        <v/>
      </c>
      <c r="J102" s="38">
        <f>IF(OR($B102="",$B102="Land",$C102=""),"",IFERROR($C102*INDEX(Settings!$C$22:$AC$27,MATCH($B102,Settings!$A$22:$A$27,0),7),0))</f>
        <v/>
      </c>
      <c r="K102" s="38">
        <f>IF(OR($B102="",$B102="Land",$C102=""),"",IFERROR($C102*INDEX(Settings!$C$22:$AC$27,MATCH($B102,Settings!$A$22:$A$27,0),8),0))</f>
        <v/>
      </c>
      <c r="L102" s="38">
        <f>IF(OR($B102="",$B102="Land",$C102=""),"",IFERROR($C102*INDEX(Settings!$C$22:$AC$27,MATCH($B102,Settings!$A$22:$A$27,0),9),0))</f>
        <v/>
      </c>
      <c r="M102" s="38">
        <f>IF(OR($B102="",$B102="Land",$C102=""),"",IFERROR($C102*INDEX(Settings!$C$22:$AC$27,MATCH($B102,Settings!$A$22:$A$27,0),10),0))</f>
        <v/>
      </c>
      <c r="N102" s="38">
        <f>IF(OR($B102="",$B102="Land",$C102=""),"",IFERROR($C102*INDEX(Settings!$C$22:$AC$27,MATCH($B102,Settings!$A$22:$A$27,0),11),0))</f>
        <v/>
      </c>
      <c r="O102" s="38">
        <f>IF(OR($B102="",$B102="Land",$C102=""),"",IFERROR($C102*INDEX(Settings!$C$22:$AC$27,MATCH($B102,Settings!$A$22:$A$27,0),12),0))</f>
        <v/>
      </c>
      <c r="P102" s="38">
        <f>IF(OR($B102="",$B102="Land",$C102=""),"",IFERROR($C102*INDEX(Settings!$C$22:$AC$27,MATCH($B102,Settings!$A$22:$A$27,0),13),0))</f>
        <v/>
      </c>
      <c r="Q102" s="38">
        <f>IF(OR($B102="",$B102="Land",$C102=""),"",IFERROR($C102*INDEX(Settings!$C$22:$AC$27,MATCH($B102,Settings!$A$22:$A$27,0),14),0))</f>
        <v/>
      </c>
      <c r="R102" s="38">
        <f>IF(OR($B102="",$B102="Land",$C102=""),"",IFERROR($C102*INDEX(Settings!$C$22:$AC$27,MATCH($B102,Settings!$A$22:$A$27,0),15),0))</f>
        <v/>
      </c>
      <c r="S102" s="38">
        <f>IF(OR($B102="",$B102="Land",$C102=""),"",IFERROR($C102*INDEX(Settings!$C$22:$AC$27,MATCH($B102,Settings!$A$22:$A$27,0),16),0))</f>
        <v/>
      </c>
      <c r="T102" s="38">
        <f>IF(OR($B102="",$B102="Land",$C102=""),"",IFERROR($C102*INDEX(Settings!$C$22:$AC$27,MATCH($B102,Settings!$A$22:$A$27,0),17),0))</f>
        <v/>
      </c>
      <c r="U102" s="38">
        <f>IF(OR($B102="",$B102="Land",$C102=""),"",IFERROR($C102*INDEX(Settings!$C$22:$AC$27,MATCH($B102,Settings!$A$22:$A$27,0),18),0))</f>
        <v/>
      </c>
      <c r="V102" s="38">
        <f>IF(OR($B102="",$B102="Land",$C102=""),"",IFERROR($C102*INDEX(Settings!$C$22:$AC$27,MATCH($B102,Settings!$A$22:$A$27,0),19),0))</f>
        <v/>
      </c>
      <c r="W102" s="38">
        <f>IF(OR($B102="",$B102="Land",$C102=""),"",IFERROR($C102*INDEX(Settings!$C$22:$AC$27,MATCH($B102,Settings!$A$22:$A$27,0),20),0))</f>
        <v/>
      </c>
      <c r="X102" s="38">
        <f>IF(OR($B102="",$B102="Land",$C102=""),"",IFERROR($C102*INDEX(Settings!$C$22:$AC$27,MATCH($B102,Settings!$A$22:$A$27,0),21),0))</f>
        <v/>
      </c>
      <c r="Y102" s="38">
        <f>IF(OR($B102="",$B102="Land",$C102=""),"",IFERROR($C102*INDEX(Settings!$C$22:$AC$27,MATCH($B102,Settings!$A$22:$A$27,0),22),0))</f>
        <v/>
      </c>
      <c r="Z102" s="38">
        <f>IF(OR($B102="",$B102="Land",$C102=""),"",IFERROR($C102*INDEX(Settings!$C$22:$AC$27,MATCH($B102,Settings!$A$22:$A$27,0),23),0))</f>
        <v/>
      </c>
      <c r="AA102" s="38">
        <f>IF(OR($B102="",$B102="Land",$C102=""),"",IFERROR($C102*INDEX(Settings!$C$22:$AC$27,MATCH($B102,Settings!$A$22:$A$27,0),24),0))</f>
        <v/>
      </c>
      <c r="AB102" s="38">
        <f>IF(OR($B102="",$B102="Land",$C102=""),"",IFERROR($C102*INDEX(Settings!$C$22:$AC$27,MATCH($B102,Settings!$A$22:$A$27,0),25),0))</f>
        <v/>
      </c>
      <c r="AC102" s="38">
        <f>IF(OR($B102="",$B102="Land",$C102=""),"",IFERROR($C102*INDEX(Settings!$C$22:$AC$27,MATCH($B102,Settings!$A$22:$A$27,0),26),0))</f>
        <v/>
      </c>
      <c r="AD102" s="38">
        <f>IF(OR($B102="",$B102="Land",$C102=""),"",IFERROR($C102*INDEX(Settings!$C$22:$AC$27,MATCH($B102,Settings!$A$22:$A$27,0),27),0))</f>
        <v/>
      </c>
    </row>
    <row r="103" ht="16" customHeight="1">
      <c r="A103" s="37">
        <f>'Asset Register'!A103</f>
        <v/>
      </c>
      <c r="B103" s="34">
        <f>'Asset Register'!E103</f>
        <v/>
      </c>
      <c r="C103" s="33">
        <f>'Asset Register'!J103</f>
        <v/>
      </c>
      <c r="D103" s="38">
        <f>IF(OR($B103="",$B103="Land",$C103=""),"",IFERROR($C103*INDEX(Settings!$C$22:$AC$27,MATCH($B103,Settings!$A$22:$A$27,0),1),0))</f>
        <v/>
      </c>
      <c r="E103" s="38">
        <f>IF(OR($B103="",$B103="Land",$C103=""),"",IFERROR($C103*INDEX(Settings!$C$22:$AC$27,MATCH($B103,Settings!$A$22:$A$27,0),2),0))</f>
        <v/>
      </c>
      <c r="F103" s="38">
        <f>IF(OR($B103="",$B103="Land",$C103=""),"",IFERROR($C103*INDEX(Settings!$C$22:$AC$27,MATCH($B103,Settings!$A$22:$A$27,0),3),0))</f>
        <v/>
      </c>
      <c r="G103" s="38">
        <f>IF(OR($B103="",$B103="Land",$C103=""),"",IFERROR($C103*INDEX(Settings!$C$22:$AC$27,MATCH($B103,Settings!$A$22:$A$27,0),4),0))</f>
        <v/>
      </c>
      <c r="H103" s="38">
        <f>IF(OR($B103="",$B103="Land",$C103=""),"",IFERROR($C103*INDEX(Settings!$C$22:$AC$27,MATCH($B103,Settings!$A$22:$A$27,0),5),0))</f>
        <v/>
      </c>
      <c r="I103" s="38">
        <f>IF(OR($B103="",$B103="Land",$C103=""),"",IFERROR($C103*INDEX(Settings!$C$22:$AC$27,MATCH($B103,Settings!$A$22:$A$27,0),6),0))</f>
        <v/>
      </c>
      <c r="J103" s="38">
        <f>IF(OR($B103="",$B103="Land",$C103=""),"",IFERROR($C103*INDEX(Settings!$C$22:$AC$27,MATCH($B103,Settings!$A$22:$A$27,0),7),0))</f>
        <v/>
      </c>
      <c r="K103" s="38">
        <f>IF(OR($B103="",$B103="Land",$C103=""),"",IFERROR($C103*INDEX(Settings!$C$22:$AC$27,MATCH($B103,Settings!$A$22:$A$27,0),8),0))</f>
        <v/>
      </c>
      <c r="L103" s="38">
        <f>IF(OR($B103="",$B103="Land",$C103=""),"",IFERROR($C103*INDEX(Settings!$C$22:$AC$27,MATCH($B103,Settings!$A$22:$A$27,0),9),0))</f>
        <v/>
      </c>
      <c r="M103" s="38">
        <f>IF(OR($B103="",$B103="Land",$C103=""),"",IFERROR($C103*INDEX(Settings!$C$22:$AC$27,MATCH($B103,Settings!$A$22:$A$27,0),10),0))</f>
        <v/>
      </c>
      <c r="N103" s="38">
        <f>IF(OR($B103="",$B103="Land",$C103=""),"",IFERROR($C103*INDEX(Settings!$C$22:$AC$27,MATCH($B103,Settings!$A$22:$A$27,0),11),0))</f>
        <v/>
      </c>
      <c r="O103" s="38">
        <f>IF(OR($B103="",$B103="Land",$C103=""),"",IFERROR($C103*INDEX(Settings!$C$22:$AC$27,MATCH($B103,Settings!$A$22:$A$27,0),12),0))</f>
        <v/>
      </c>
      <c r="P103" s="38">
        <f>IF(OR($B103="",$B103="Land",$C103=""),"",IFERROR($C103*INDEX(Settings!$C$22:$AC$27,MATCH($B103,Settings!$A$22:$A$27,0),13),0))</f>
        <v/>
      </c>
      <c r="Q103" s="38">
        <f>IF(OR($B103="",$B103="Land",$C103=""),"",IFERROR($C103*INDEX(Settings!$C$22:$AC$27,MATCH($B103,Settings!$A$22:$A$27,0),14),0))</f>
        <v/>
      </c>
      <c r="R103" s="38">
        <f>IF(OR($B103="",$B103="Land",$C103=""),"",IFERROR($C103*INDEX(Settings!$C$22:$AC$27,MATCH($B103,Settings!$A$22:$A$27,0),15),0))</f>
        <v/>
      </c>
      <c r="S103" s="38">
        <f>IF(OR($B103="",$B103="Land",$C103=""),"",IFERROR($C103*INDEX(Settings!$C$22:$AC$27,MATCH($B103,Settings!$A$22:$A$27,0),16),0))</f>
        <v/>
      </c>
      <c r="T103" s="38">
        <f>IF(OR($B103="",$B103="Land",$C103=""),"",IFERROR($C103*INDEX(Settings!$C$22:$AC$27,MATCH($B103,Settings!$A$22:$A$27,0),17),0))</f>
        <v/>
      </c>
      <c r="U103" s="38">
        <f>IF(OR($B103="",$B103="Land",$C103=""),"",IFERROR($C103*INDEX(Settings!$C$22:$AC$27,MATCH($B103,Settings!$A$22:$A$27,0),18),0))</f>
        <v/>
      </c>
      <c r="V103" s="38">
        <f>IF(OR($B103="",$B103="Land",$C103=""),"",IFERROR($C103*INDEX(Settings!$C$22:$AC$27,MATCH($B103,Settings!$A$22:$A$27,0),19),0))</f>
        <v/>
      </c>
      <c r="W103" s="38">
        <f>IF(OR($B103="",$B103="Land",$C103=""),"",IFERROR($C103*INDEX(Settings!$C$22:$AC$27,MATCH($B103,Settings!$A$22:$A$27,0),20),0))</f>
        <v/>
      </c>
      <c r="X103" s="38">
        <f>IF(OR($B103="",$B103="Land",$C103=""),"",IFERROR($C103*INDEX(Settings!$C$22:$AC$27,MATCH($B103,Settings!$A$22:$A$27,0),21),0))</f>
        <v/>
      </c>
      <c r="Y103" s="38">
        <f>IF(OR($B103="",$B103="Land",$C103=""),"",IFERROR($C103*INDEX(Settings!$C$22:$AC$27,MATCH($B103,Settings!$A$22:$A$27,0),22),0))</f>
        <v/>
      </c>
      <c r="Z103" s="38">
        <f>IF(OR($B103="",$B103="Land",$C103=""),"",IFERROR($C103*INDEX(Settings!$C$22:$AC$27,MATCH($B103,Settings!$A$22:$A$27,0),23),0))</f>
        <v/>
      </c>
      <c r="AA103" s="38">
        <f>IF(OR($B103="",$B103="Land",$C103=""),"",IFERROR($C103*INDEX(Settings!$C$22:$AC$27,MATCH($B103,Settings!$A$22:$A$27,0),24),0))</f>
        <v/>
      </c>
      <c r="AB103" s="38">
        <f>IF(OR($B103="",$B103="Land",$C103=""),"",IFERROR($C103*INDEX(Settings!$C$22:$AC$27,MATCH($B103,Settings!$A$22:$A$27,0),25),0))</f>
        <v/>
      </c>
      <c r="AC103" s="38">
        <f>IF(OR($B103="",$B103="Land",$C103=""),"",IFERROR($C103*INDEX(Settings!$C$22:$AC$27,MATCH($B103,Settings!$A$22:$A$27,0),26),0))</f>
        <v/>
      </c>
      <c r="AD103" s="38">
        <f>IF(OR($B103="",$B103="Land",$C103=""),"",IFERROR($C103*INDEX(Settings!$C$22:$AC$27,MATCH($B103,Settings!$A$22:$A$27,0),27),0))</f>
        <v/>
      </c>
    </row>
    <row r="104" ht="16" customHeight="1">
      <c r="A104" s="37">
        <f>'Asset Register'!A104</f>
        <v/>
      </c>
      <c r="B104" s="34">
        <f>'Asset Register'!E104</f>
        <v/>
      </c>
      <c r="C104" s="33">
        <f>'Asset Register'!J104</f>
        <v/>
      </c>
      <c r="D104" s="38">
        <f>IF(OR($B104="",$B104="Land",$C104=""),"",IFERROR($C104*INDEX(Settings!$C$22:$AC$27,MATCH($B104,Settings!$A$22:$A$27,0),1),0))</f>
        <v/>
      </c>
      <c r="E104" s="38">
        <f>IF(OR($B104="",$B104="Land",$C104=""),"",IFERROR($C104*INDEX(Settings!$C$22:$AC$27,MATCH($B104,Settings!$A$22:$A$27,0),2),0))</f>
        <v/>
      </c>
      <c r="F104" s="38">
        <f>IF(OR($B104="",$B104="Land",$C104=""),"",IFERROR($C104*INDEX(Settings!$C$22:$AC$27,MATCH($B104,Settings!$A$22:$A$27,0),3),0))</f>
        <v/>
      </c>
      <c r="G104" s="38">
        <f>IF(OR($B104="",$B104="Land",$C104=""),"",IFERROR($C104*INDEX(Settings!$C$22:$AC$27,MATCH($B104,Settings!$A$22:$A$27,0),4),0))</f>
        <v/>
      </c>
      <c r="H104" s="38">
        <f>IF(OR($B104="",$B104="Land",$C104=""),"",IFERROR($C104*INDEX(Settings!$C$22:$AC$27,MATCH($B104,Settings!$A$22:$A$27,0),5),0))</f>
        <v/>
      </c>
      <c r="I104" s="38">
        <f>IF(OR($B104="",$B104="Land",$C104=""),"",IFERROR($C104*INDEX(Settings!$C$22:$AC$27,MATCH($B104,Settings!$A$22:$A$27,0),6),0))</f>
        <v/>
      </c>
      <c r="J104" s="38">
        <f>IF(OR($B104="",$B104="Land",$C104=""),"",IFERROR($C104*INDEX(Settings!$C$22:$AC$27,MATCH($B104,Settings!$A$22:$A$27,0),7),0))</f>
        <v/>
      </c>
      <c r="K104" s="38">
        <f>IF(OR($B104="",$B104="Land",$C104=""),"",IFERROR($C104*INDEX(Settings!$C$22:$AC$27,MATCH($B104,Settings!$A$22:$A$27,0),8),0))</f>
        <v/>
      </c>
      <c r="L104" s="38">
        <f>IF(OR($B104="",$B104="Land",$C104=""),"",IFERROR($C104*INDEX(Settings!$C$22:$AC$27,MATCH($B104,Settings!$A$22:$A$27,0),9),0))</f>
        <v/>
      </c>
      <c r="M104" s="38">
        <f>IF(OR($B104="",$B104="Land",$C104=""),"",IFERROR($C104*INDEX(Settings!$C$22:$AC$27,MATCH($B104,Settings!$A$22:$A$27,0),10),0))</f>
        <v/>
      </c>
      <c r="N104" s="38">
        <f>IF(OR($B104="",$B104="Land",$C104=""),"",IFERROR($C104*INDEX(Settings!$C$22:$AC$27,MATCH($B104,Settings!$A$22:$A$27,0),11),0))</f>
        <v/>
      </c>
      <c r="O104" s="38">
        <f>IF(OR($B104="",$B104="Land",$C104=""),"",IFERROR($C104*INDEX(Settings!$C$22:$AC$27,MATCH($B104,Settings!$A$22:$A$27,0),12),0))</f>
        <v/>
      </c>
      <c r="P104" s="38">
        <f>IF(OR($B104="",$B104="Land",$C104=""),"",IFERROR($C104*INDEX(Settings!$C$22:$AC$27,MATCH($B104,Settings!$A$22:$A$27,0),13),0))</f>
        <v/>
      </c>
      <c r="Q104" s="38">
        <f>IF(OR($B104="",$B104="Land",$C104=""),"",IFERROR($C104*INDEX(Settings!$C$22:$AC$27,MATCH($B104,Settings!$A$22:$A$27,0),14),0))</f>
        <v/>
      </c>
      <c r="R104" s="38">
        <f>IF(OR($B104="",$B104="Land",$C104=""),"",IFERROR($C104*INDEX(Settings!$C$22:$AC$27,MATCH($B104,Settings!$A$22:$A$27,0),15),0))</f>
        <v/>
      </c>
      <c r="S104" s="38">
        <f>IF(OR($B104="",$B104="Land",$C104=""),"",IFERROR($C104*INDEX(Settings!$C$22:$AC$27,MATCH($B104,Settings!$A$22:$A$27,0),16),0))</f>
        <v/>
      </c>
      <c r="T104" s="38">
        <f>IF(OR($B104="",$B104="Land",$C104=""),"",IFERROR($C104*INDEX(Settings!$C$22:$AC$27,MATCH($B104,Settings!$A$22:$A$27,0),17),0))</f>
        <v/>
      </c>
      <c r="U104" s="38">
        <f>IF(OR($B104="",$B104="Land",$C104=""),"",IFERROR($C104*INDEX(Settings!$C$22:$AC$27,MATCH($B104,Settings!$A$22:$A$27,0),18),0))</f>
        <v/>
      </c>
      <c r="V104" s="38">
        <f>IF(OR($B104="",$B104="Land",$C104=""),"",IFERROR($C104*INDEX(Settings!$C$22:$AC$27,MATCH($B104,Settings!$A$22:$A$27,0),19),0))</f>
        <v/>
      </c>
      <c r="W104" s="38">
        <f>IF(OR($B104="",$B104="Land",$C104=""),"",IFERROR($C104*INDEX(Settings!$C$22:$AC$27,MATCH($B104,Settings!$A$22:$A$27,0),20),0))</f>
        <v/>
      </c>
      <c r="X104" s="38">
        <f>IF(OR($B104="",$B104="Land",$C104=""),"",IFERROR($C104*INDEX(Settings!$C$22:$AC$27,MATCH($B104,Settings!$A$22:$A$27,0),21),0))</f>
        <v/>
      </c>
      <c r="Y104" s="38">
        <f>IF(OR($B104="",$B104="Land",$C104=""),"",IFERROR($C104*INDEX(Settings!$C$22:$AC$27,MATCH($B104,Settings!$A$22:$A$27,0),22),0))</f>
        <v/>
      </c>
      <c r="Z104" s="38">
        <f>IF(OR($B104="",$B104="Land",$C104=""),"",IFERROR($C104*INDEX(Settings!$C$22:$AC$27,MATCH($B104,Settings!$A$22:$A$27,0),23),0))</f>
        <v/>
      </c>
      <c r="AA104" s="38">
        <f>IF(OR($B104="",$B104="Land",$C104=""),"",IFERROR($C104*INDEX(Settings!$C$22:$AC$27,MATCH($B104,Settings!$A$22:$A$27,0),24),0))</f>
        <v/>
      </c>
      <c r="AB104" s="38">
        <f>IF(OR($B104="",$B104="Land",$C104=""),"",IFERROR($C104*INDEX(Settings!$C$22:$AC$27,MATCH($B104,Settings!$A$22:$A$27,0),25),0))</f>
        <v/>
      </c>
      <c r="AC104" s="38">
        <f>IF(OR($B104="",$B104="Land",$C104=""),"",IFERROR($C104*INDEX(Settings!$C$22:$AC$27,MATCH($B104,Settings!$A$22:$A$27,0),26),0))</f>
        <v/>
      </c>
      <c r="AD104" s="38">
        <f>IF(OR($B104="",$B104="Land",$C104=""),"",IFERROR($C104*INDEX(Settings!$C$22:$AC$27,MATCH($B104,Settings!$A$22:$A$27,0),27),0))</f>
        <v/>
      </c>
    </row>
    <row r="105" ht="16" customHeight="1">
      <c r="A105" s="37">
        <f>'Asset Register'!A105</f>
        <v/>
      </c>
      <c r="B105" s="34">
        <f>'Asset Register'!E105</f>
        <v/>
      </c>
      <c r="C105" s="33">
        <f>'Asset Register'!J105</f>
        <v/>
      </c>
      <c r="D105" s="38">
        <f>IF(OR($B105="",$B105="Land",$C105=""),"",IFERROR($C105*INDEX(Settings!$C$22:$AC$27,MATCH($B105,Settings!$A$22:$A$27,0),1),0))</f>
        <v/>
      </c>
      <c r="E105" s="38">
        <f>IF(OR($B105="",$B105="Land",$C105=""),"",IFERROR($C105*INDEX(Settings!$C$22:$AC$27,MATCH($B105,Settings!$A$22:$A$27,0),2),0))</f>
        <v/>
      </c>
      <c r="F105" s="38">
        <f>IF(OR($B105="",$B105="Land",$C105=""),"",IFERROR($C105*INDEX(Settings!$C$22:$AC$27,MATCH($B105,Settings!$A$22:$A$27,0),3),0))</f>
        <v/>
      </c>
      <c r="G105" s="38">
        <f>IF(OR($B105="",$B105="Land",$C105=""),"",IFERROR($C105*INDEX(Settings!$C$22:$AC$27,MATCH($B105,Settings!$A$22:$A$27,0),4),0))</f>
        <v/>
      </c>
      <c r="H105" s="38">
        <f>IF(OR($B105="",$B105="Land",$C105=""),"",IFERROR($C105*INDEX(Settings!$C$22:$AC$27,MATCH($B105,Settings!$A$22:$A$27,0),5),0))</f>
        <v/>
      </c>
      <c r="I105" s="38">
        <f>IF(OR($B105="",$B105="Land",$C105=""),"",IFERROR($C105*INDEX(Settings!$C$22:$AC$27,MATCH($B105,Settings!$A$22:$A$27,0),6),0))</f>
        <v/>
      </c>
      <c r="J105" s="38">
        <f>IF(OR($B105="",$B105="Land",$C105=""),"",IFERROR($C105*INDEX(Settings!$C$22:$AC$27,MATCH($B105,Settings!$A$22:$A$27,0),7),0))</f>
        <v/>
      </c>
      <c r="K105" s="38">
        <f>IF(OR($B105="",$B105="Land",$C105=""),"",IFERROR($C105*INDEX(Settings!$C$22:$AC$27,MATCH($B105,Settings!$A$22:$A$27,0),8),0))</f>
        <v/>
      </c>
      <c r="L105" s="38">
        <f>IF(OR($B105="",$B105="Land",$C105=""),"",IFERROR($C105*INDEX(Settings!$C$22:$AC$27,MATCH($B105,Settings!$A$22:$A$27,0),9),0))</f>
        <v/>
      </c>
      <c r="M105" s="38">
        <f>IF(OR($B105="",$B105="Land",$C105=""),"",IFERROR($C105*INDEX(Settings!$C$22:$AC$27,MATCH($B105,Settings!$A$22:$A$27,0),10),0))</f>
        <v/>
      </c>
      <c r="N105" s="38">
        <f>IF(OR($B105="",$B105="Land",$C105=""),"",IFERROR($C105*INDEX(Settings!$C$22:$AC$27,MATCH($B105,Settings!$A$22:$A$27,0),11),0))</f>
        <v/>
      </c>
      <c r="O105" s="38">
        <f>IF(OR($B105="",$B105="Land",$C105=""),"",IFERROR($C105*INDEX(Settings!$C$22:$AC$27,MATCH($B105,Settings!$A$22:$A$27,0),12),0))</f>
        <v/>
      </c>
      <c r="P105" s="38">
        <f>IF(OR($B105="",$B105="Land",$C105=""),"",IFERROR($C105*INDEX(Settings!$C$22:$AC$27,MATCH($B105,Settings!$A$22:$A$27,0),13),0))</f>
        <v/>
      </c>
      <c r="Q105" s="38">
        <f>IF(OR($B105="",$B105="Land",$C105=""),"",IFERROR($C105*INDEX(Settings!$C$22:$AC$27,MATCH($B105,Settings!$A$22:$A$27,0),14),0))</f>
        <v/>
      </c>
      <c r="R105" s="38">
        <f>IF(OR($B105="",$B105="Land",$C105=""),"",IFERROR($C105*INDEX(Settings!$C$22:$AC$27,MATCH($B105,Settings!$A$22:$A$27,0),15),0))</f>
        <v/>
      </c>
      <c r="S105" s="38">
        <f>IF(OR($B105="",$B105="Land",$C105=""),"",IFERROR($C105*INDEX(Settings!$C$22:$AC$27,MATCH($B105,Settings!$A$22:$A$27,0),16),0))</f>
        <v/>
      </c>
      <c r="T105" s="38">
        <f>IF(OR($B105="",$B105="Land",$C105=""),"",IFERROR($C105*INDEX(Settings!$C$22:$AC$27,MATCH($B105,Settings!$A$22:$A$27,0),17),0))</f>
        <v/>
      </c>
      <c r="U105" s="38">
        <f>IF(OR($B105="",$B105="Land",$C105=""),"",IFERROR($C105*INDEX(Settings!$C$22:$AC$27,MATCH($B105,Settings!$A$22:$A$27,0),18),0))</f>
        <v/>
      </c>
      <c r="V105" s="38">
        <f>IF(OR($B105="",$B105="Land",$C105=""),"",IFERROR($C105*INDEX(Settings!$C$22:$AC$27,MATCH($B105,Settings!$A$22:$A$27,0),19),0))</f>
        <v/>
      </c>
      <c r="W105" s="38">
        <f>IF(OR($B105="",$B105="Land",$C105=""),"",IFERROR($C105*INDEX(Settings!$C$22:$AC$27,MATCH($B105,Settings!$A$22:$A$27,0),20),0))</f>
        <v/>
      </c>
      <c r="X105" s="38">
        <f>IF(OR($B105="",$B105="Land",$C105=""),"",IFERROR($C105*INDEX(Settings!$C$22:$AC$27,MATCH($B105,Settings!$A$22:$A$27,0),21),0))</f>
        <v/>
      </c>
      <c r="Y105" s="38">
        <f>IF(OR($B105="",$B105="Land",$C105=""),"",IFERROR($C105*INDEX(Settings!$C$22:$AC$27,MATCH($B105,Settings!$A$22:$A$27,0),22),0))</f>
        <v/>
      </c>
      <c r="Z105" s="38">
        <f>IF(OR($B105="",$B105="Land",$C105=""),"",IFERROR($C105*INDEX(Settings!$C$22:$AC$27,MATCH($B105,Settings!$A$22:$A$27,0),23),0))</f>
        <v/>
      </c>
      <c r="AA105" s="38">
        <f>IF(OR($B105="",$B105="Land",$C105=""),"",IFERROR($C105*INDEX(Settings!$C$22:$AC$27,MATCH($B105,Settings!$A$22:$A$27,0),24),0))</f>
        <v/>
      </c>
      <c r="AB105" s="38">
        <f>IF(OR($B105="",$B105="Land",$C105=""),"",IFERROR($C105*INDEX(Settings!$C$22:$AC$27,MATCH($B105,Settings!$A$22:$A$27,0),25),0))</f>
        <v/>
      </c>
      <c r="AC105" s="38">
        <f>IF(OR($B105="",$B105="Land",$C105=""),"",IFERROR($C105*INDEX(Settings!$C$22:$AC$27,MATCH($B105,Settings!$A$22:$A$27,0),26),0))</f>
        <v/>
      </c>
      <c r="AD105" s="38">
        <f>IF(OR($B105="",$B105="Land",$C105=""),"",IFERROR($C105*INDEX(Settings!$C$22:$AC$27,MATCH($B105,Settings!$A$22:$A$27,0),27),0))</f>
        <v/>
      </c>
    </row>
    <row r="106" ht="16" customHeight="1">
      <c r="A106" s="37">
        <f>'Asset Register'!A106</f>
        <v/>
      </c>
      <c r="B106" s="34">
        <f>'Asset Register'!E106</f>
        <v/>
      </c>
      <c r="C106" s="33">
        <f>'Asset Register'!J106</f>
        <v/>
      </c>
      <c r="D106" s="38">
        <f>IF(OR($B106="",$B106="Land",$C106=""),"",IFERROR($C106*INDEX(Settings!$C$22:$AC$27,MATCH($B106,Settings!$A$22:$A$27,0),1),0))</f>
        <v/>
      </c>
      <c r="E106" s="38">
        <f>IF(OR($B106="",$B106="Land",$C106=""),"",IFERROR($C106*INDEX(Settings!$C$22:$AC$27,MATCH($B106,Settings!$A$22:$A$27,0),2),0))</f>
        <v/>
      </c>
      <c r="F106" s="38">
        <f>IF(OR($B106="",$B106="Land",$C106=""),"",IFERROR($C106*INDEX(Settings!$C$22:$AC$27,MATCH($B106,Settings!$A$22:$A$27,0),3),0))</f>
        <v/>
      </c>
      <c r="G106" s="38">
        <f>IF(OR($B106="",$B106="Land",$C106=""),"",IFERROR($C106*INDEX(Settings!$C$22:$AC$27,MATCH($B106,Settings!$A$22:$A$27,0),4),0))</f>
        <v/>
      </c>
      <c r="H106" s="38">
        <f>IF(OR($B106="",$B106="Land",$C106=""),"",IFERROR($C106*INDEX(Settings!$C$22:$AC$27,MATCH($B106,Settings!$A$22:$A$27,0),5),0))</f>
        <v/>
      </c>
      <c r="I106" s="38">
        <f>IF(OR($B106="",$B106="Land",$C106=""),"",IFERROR($C106*INDEX(Settings!$C$22:$AC$27,MATCH($B106,Settings!$A$22:$A$27,0),6),0))</f>
        <v/>
      </c>
      <c r="J106" s="38">
        <f>IF(OR($B106="",$B106="Land",$C106=""),"",IFERROR($C106*INDEX(Settings!$C$22:$AC$27,MATCH($B106,Settings!$A$22:$A$27,0),7),0))</f>
        <v/>
      </c>
      <c r="K106" s="38">
        <f>IF(OR($B106="",$B106="Land",$C106=""),"",IFERROR($C106*INDEX(Settings!$C$22:$AC$27,MATCH($B106,Settings!$A$22:$A$27,0),8),0))</f>
        <v/>
      </c>
      <c r="L106" s="38">
        <f>IF(OR($B106="",$B106="Land",$C106=""),"",IFERROR($C106*INDEX(Settings!$C$22:$AC$27,MATCH($B106,Settings!$A$22:$A$27,0),9),0))</f>
        <v/>
      </c>
      <c r="M106" s="38">
        <f>IF(OR($B106="",$B106="Land",$C106=""),"",IFERROR($C106*INDEX(Settings!$C$22:$AC$27,MATCH($B106,Settings!$A$22:$A$27,0),10),0))</f>
        <v/>
      </c>
      <c r="N106" s="38">
        <f>IF(OR($B106="",$B106="Land",$C106=""),"",IFERROR($C106*INDEX(Settings!$C$22:$AC$27,MATCH($B106,Settings!$A$22:$A$27,0),11),0))</f>
        <v/>
      </c>
      <c r="O106" s="38">
        <f>IF(OR($B106="",$B106="Land",$C106=""),"",IFERROR($C106*INDEX(Settings!$C$22:$AC$27,MATCH($B106,Settings!$A$22:$A$27,0),12),0))</f>
        <v/>
      </c>
      <c r="P106" s="38">
        <f>IF(OR($B106="",$B106="Land",$C106=""),"",IFERROR($C106*INDEX(Settings!$C$22:$AC$27,MATCH($B106,Settings!$A$22:$A$27,0),13),0))</f>
        <v/>
      </c>
      <c r="Q106" s="38">
        <f>IF(OR($B106="",$B106="Land",$C106=""),"",IFERROR($C106*INDEX(Settings!$C$22:$AC$27,MATCH($B106,Settings!$A$22:$A$27,0),14),0))</f>
        <v/>
      </c>
      <c r="R106" s="38">
        <f>IF(OR($B106="",$B106="Land",$C106=""),"",IFERROR($C106*INDEX(Settings!$C$22:$AC$27,MATCH($B106,Settings!$A$22:$A$27,0),15),0))</f>
        <v/>
      </c>
      <c r="S106" s="38">
        <f>IF(OR($B106="",$B106="Land",$C106=""),"",IFERROR($C106*INDEX(Settings!$C$22:$AC$27,MATCH($B106,Settings!$A$22:$A$27,0),16),0))</f>
        <v/>
      </c>
      <c r="T106" s="38">
        <f>IF(OR($B106="",$B106="Land",$C106=""),"",IFERROR($C106*INDEX(Settings!$C$22:$AC$27,MATCH($B106,Settings!$A$22:$A$27,0),17),0))</f>
        <v/>
      </c>
      <c r="U106" s="38">
        <f>IF(OR($B106="",$B106="Land",$C106=""),"",IFERROR($C106*INDEX(Settings!$C$22:$AC$27,MATCH($B106,Settings!$A$22:$A$27,0),18),0))</f>
        <v/>
      </c>
      <c r="V106" s="38">
        <f>IF(OR($B106="",$B106="Land",$C106=""),"",IFERROR($C106*INDEX(Settings!$C$22:$AC$27,MATCH($B106,Settings!$A$22:$A$27,0),19),0))</f>
        <v/>
      </c>
      <c r="W106" s="38">
        <f>IF(OR($B106="",$B106="Land",$C106=""),"",IFERROR($C106*INDEX(Settings!$C$22:$AC$27,MATCH($B106,Settings!$A$22:$A$27,0),20),0))</f>
        <v/>
      </c>
      <c r="X106" s="38">
        <f>IF(OR($B106="",$B106="Land",$C106=""),"",IFERROR($C106*INDEX(Settings!$C$22:$AC$27,MATCH($B106,Settings!$A$22:$A$27,0),21),0))</f>
        <v/>
      </c>
      <c r="Y106" s="38">
        <f>IF(OR($B106="",$B106="Land",$C106=""),"",IFERROR($C106*INDEX(Settings!$C$22:$AC$27,MATCH($B106,Settings!$A$22:$A$27,0),22),0))</f>
        <v/>
      </c>
      <c r="Z106" s="38">
        <f>IF(OR($B106="",$B106="Land",$C106=""),"",IFERROR($C106*INDEX(Settings!$C$22:$AC$27,MATCH($B106,Settings!$A$22:$A$27,0),23),0))</f>
        <v/>
      </c>
      <c r="AA106" s="38">
        <f>IF(OR($B106="",$B106="Land",$C106=""),"",IFERROR($C106*INDEX(Settings!$C$22:$AC$27,MATCH($B106,Settings!$A$22:$A$27,0),24),0))</f>
        <v/>
      </c>
      <c r="AB106" s="38">
        <f>IF(OR($B106="",$B106="Land",$C106=""),"",IFERROR($C106*INDEX(Settings!$C$22:$AC$27,MATCH($B106,Settings!$A$22:$A$27,0),25),0))</f>
        <v/>
      </c>
      <c r="AC106" s="38">
        <f>IF(OR($B106="",$B106="Land",$C106=""),"",IFERROR($C106*INDEX(Settings!$C$22:$AC$27,MATCH($B106,Settings!$A$22:$A$27,0),26),0))</f>
        <v/>
      </c>
      <c r="AD106" s="38">
        <f>IF(OR($B106="",$B106="Land",$C106=""),"",IFERROR($C106*INDEX(Settings!$C$22:$AC$27,MATCH($B106,Settings!$A$22:$A$27,0),27),0))</f>
        <v/>
      </c>
    </row>
    <row r="107" ht="16" customHeight="1">
      <c r="A107" s="37">
        <f>'Asset Register'!A107</f>
        <v/>
      </c>
      <c r="B107" s="34">
        <f>'Asset Register'!E107</f>
        <v/>
      </c>
      <c r="C107" s="33">
        <f>'Asset Register'!J107</f>
        <v/>
      </c>
      <c r="D107" s="38">
        <f>IF(OR($B107="",$B107="Land",$C107=""),"",IFERROR($C107*INDEX(Settings!$C$22:$AC$27,MATCH($B107,Settings!$A$22:$A$27,0),1),0))</f>
        <v/>
      </c>
      <c r="E107" s="38">
        <f>IF(OR($B107="",$B107="Land",$C107=""),"",IFERROR($C107*INDEX(Settings!$C$22:$AC$27,MATCH($B107,Settings!$A$22:$A$27,0),2),0))</f>
        <v/>
      </c>
      <c r="F107" s="38">
        <f>IF(OR($B107="",$B107="Land",$C107=""),"",IFERROR($C107*INDEX(Settings!$C$22:$AC$27,MATCH($B107,Settings!$A$22:$A$27,0),3),0))</f>
        <v/>
      </c>
      <c r="G107" s="38">
        <f>IF(OR($B107="",$B107="Land",$C107=""),"",IFERROR($C107*INDEX(Settings!$C$22:$AC$27,MATCH($B107,Settings!$A$22:$A$27,0),4),0))</f>
        <v/>
      </c>
      <c r="H107" s="38">
        <f>IF(OR($B107="",$B107="Land",$C107=""),"",IFERROR($C107*INDEX(Settings!$C$22:$AC$27,MATCH($B107,Settings!$A$22:$A$27,0),5),0))</f>
        <v/>
      </c>
      <c r="I107" s="38">
        <f>IF(OR($B107="",$B107="Land",$C107=""),"",IFERROR($C107*INDEX(Settings!$C$22:$AC$27,MATCH($B107,Settings!$A$22:$A$27,0),6),0))</f>
        <v/>
      </c>
      <c r="J107" s="38">
        <f>IF(OR($B107="",$B107="Land",$C107=""),"",IFERROR($C107*INDEX(Settings!$C$22:$AC$27,MATCH($B107,Settings!$A$22:$A$27,0),7),0))</f>
        <v/>
      </c>
      <c r="K107" s="38">
        <f>IF(OR($B107="",$B107="Land",$C107=""),"",IFERROR($C107*INDEX(Settings!$C$22:$AC$27,MATCH($B107,Settings!$A$22:$A$27,0),8),0))</f>
        <v/>
      </c>
      <c r="L107" s="38">
        <f>IF(OR($B107="",$B107="Land",$C107=""),"",IFERROR($C107*INDEX(Settings!$C$22:$AC$27,MATCH($B107,Settings!$A$22:$A$27,0),9),0))</f>
        <v/>
      </c>
      <c r="M107" s="38">
        <f>IF(OR($B107="",$B107="Land",$C107=""),"",IFERROR($C107*INDEX(Settings!$C$22:$AC$27,MATCH($B107,Settings!$A$22:$A$27,0),10),0))</f>
        <v/>
      </c>
      <c r="N107" s="38">
        <f>IF(OR($B107="",$B107="Land",$C107=""),"",IFERROR($C107*INDEX(Settings!$C$22:$AC$27,MATCH($B107,Settings!$A$22:$A$27,0),11),0))</f>
        <v/>
      </c>
      <c r="O107" s="38">
        <f>IF(OR($B107="",$B107="Land",$C107=""),"",IFERROR($C107*INDEX(Settings!$C$22:$AC$27,MATCH($B107,Settings!$A$22:$A$27,0),12),0))</f>
        <v/>
      </c>
      <c r="P107" s="38">
        <f>IF(OR($B107="",$B107="Land",$C107=""),"",IFERROR($C107*INDEX(Settings!$C$22:$AC$27,MATCH($B107,Settings!$A$22:$A$27,0),13),0))</f>
        <v/>
      </c>
      <c r="Q107" s="38">
        <f>IF(OR($B107="",$B107="Land",$C107=""),"",IFERROR($C107*INDEX(Settings!$C$22:$AC$27,MATCH($B107,Settings!$A$22:$A$27,0),14),0))</f>
        <v/>
      </c>
      <c r="R107" s="38">
        <f>IF(OR($B107="",$B107="Land",$C107=""),"",IFERROR($C107*INDEX(Settings!$C$22:$AC$27,MATCH($B107,Settings!$A$22:$A$27,0),15),0))</f>
        <v/>
      </c>
      <c r="S107" s="38">
        <f>IF(OR($B107="",$B107="Land",$C107=""),"",IFERROR($C107*INDEX(Settings!$C$22:$AC$27,MATCH($B107,Settings!$A$22:$A$27,0),16),0))</f>
        <v/>
      </c>
      <c r="T107" s="38">
        <f>IF(OR($B107="",$B107="Land",$C107=""),"",IFERROR($C107*INDEX(Settings!$C$22:$AC$27,MATCH($B107,Settings!$A$22:$A$27,0),17),0))</f>
        <v/>
      </c>
      <c r="U107" s="38">
        <f>IF(OR($B107="",$B107="Land",$C107=""),"",IFERROR($C107*INDEX(Settings!$C$22:$AC$27,MATCH($B107,Settings!$A$22:$A$27,0),18),0))</f>
        <v/>
      </c>
      <c r="V107" s="38">
        <f>IF(OR($B107="",$B107="Land",$C107=""),"",IFERROR($C107*INDEX(Settings!$C$22:$AC$27,MATCH($B107,Settings!$A$22:$A$27,0),19),0))</f>
        <v/>
      </c>
      <c r="W107" s="38">
        <f>IF(OR($B107="",$B107="Land",$C107=""),"",IFERROR($C107*INDEX(Settings!$C$22:$AC$27,MATCH($B107,Settings!$A$22:$A$27,0),20),0))</f>
        <v/>
      </c>
      <c r="X107" s="38">
        <f>IF(OR($B107="",$B107="Land",$C107=""),"",IFERROR($C107*INDEX(Settings!$C$22:$AC$27,MATCH($B107,Settings!$A$22:$A$27,0),21),0))</f>
        <v/>
      </c>
      <c r="Y107" s="38">
        <f>IF(OR($B107="",$B107="Land",$C107=""),"",IFERROR($C107*INDEX(Settings!$C$22:$AC$27,MATCH($B107,Settings!$A$22:$A$27,0),22),0))</f>
        <v/>
      </c>
      <c r="Z107" s="38">
        <f>IF(OR($B107="",$B107="Land",$C107=""),"",IFERROR($C107*INDEX(Settings!$C$22:$AC$27,MATCH($B107,Settings!$A$22:$A$27,0),23),0))</f>
        <v/>
      </c>
      <c r="AA107" s="38">
        <f>IF(OR($B107="",$B107="Land",$C107=""),"",IFERROR($C107*INDEX(Settings!$C$22:$AC$27,MATCH($B107,Settings!$A$22:$A$27,0),24),0))</f>
        <v/>
      </c>
      <c r="AB107" s="38">
        <f>IF(OR($B107="",$B107="Land",$C107=""),"",IFERROR($C107*INDEX(Settings!$C$22:$AC$27,MATCH($B107,Settings!$A$22:$A$27,0),25),0))</f>
        <v/>
      </c>
      <c r="AC107" s="38">
        <f>IF(OR($B107="",$B107="Land",$C107=""),"",IFERROR($C107*INDEX(Settings!$C$22:$AC$27,MATCH($B107,Settings!$A$22:$A$27,0),26),0))</f>
        <v/>
      </c>
      <c r="AD107" s="38">
        <f>IF(OR($B107="",$B107="Land",$C107=""),"",IFERROR($C107*INDEX(Settings!$C$22:$AC$27,MATCH($B107,Settings!$A$22:$A$27,0),27),0))</f>
        <v/>
      </c>
    </row>
    <row r="108" ht="22" customHeight="1">
      <c r="A108" s="35" t="inlineStr">
        <is>
          <t>Portfolio total / year:</t>
        </is>
      </c>
      <c r="D108" s="39">
        <f>SUM(D8:D107)</f>
        <v/>
      </c>
      <c r="E108" s="39">
        <f>SUM(E8:E107)</f>
        <v/>
      </c>
      <c r="F108" s="39">
        <f>SUM(F8:F107)</f>
        <v/>
      </c>
      <c r="G108" s="39">
        <f>SUM(G8:G107)</f>
        <v/>
      </c>
      <c r="H108" s="39">
        <f>SUM(H8:H107)</f>
        <v/>
      </c>
      <c r="I108" s="39">
        <f>SUM(I8:I107)</f>
        <v/>
      </c>
      <c r="J108" s="39">
        <f>SUM(J8:J107)</f>
        <v/>
      </c>
      <c r="K108" s="39">
        <f>SUM(K8:K107)</f>
        <v/>
      </c>
      <c r="L108" s="39">
        <f>SUM(L8:L107)</f>
        <v/>
      </c>
      <c r="M108" s="39">
        <f>SUM(M8:M107)</f>
        <v/>
      </c>
      <c r="N108" s="39">
        <f>SUM(N8:N107)</f>
        <v/>
      </c>
      <c r="O108" s="39">
        <f>SUM(O8:O107)</f>
        <v/>
      </c>
      <c r="P108" s="39">
        <f>SUM(P8:P107)</f>
        <v/>
      </c>
      <c r="Q108" s="39">
        <f>SUM(Q8:Q107)</f>
        <v/>
      </c>
      <c r="R108" s="39">
        <f>SUM(R8:R107)</f>
        <v/>
      </c>
      <c r="S108" s="39">
        <f>SUM(S8:S107)</f>
        <v/>
      </c>
      <c r="T108" s="39">
        <f>SUM(T8:T107)</f>
        <v/>
      </c>
      <c r="U108" s="39">
        <f>SUM(U8:U107)</f>
        <v/>
      </c>
      <c r="V108" s="39">
        <f>SUM(V8:V107)</f>
        <v/>
      </c>
      <c r="W108" s="39">
        <f>SUM(W8:W107)</f>
        <v/>
      </c>
      <c r="X108" s="39">
        <f>SUM(X8:X107)</f>
        <v/>
      </c>
      <c r="Y108" s="39">
        <f>SUM(Y8:Y107)</f>
        <v/>
      </c>
      <c r="Z108" s="39">
        <f>SUM(Z8:Z107)</f>
        <v/>
      </c>
      <c r="AA108" s="39">
        <f>SUM(AA8:AA107)</f>
        <v/>
      </c>
      <c r="AB108" s="39">
        <f>SUM(AB8:AB107)</f>
        <v/>
      </c>
      <c r="AC108" s="39">
        <f>SUM(AC8:AC107)</f>
        <v/>
      </c>
      <c r="AD108" s="39">
        <f>SUM(AD8:AD107)</f>
        <v/>
      </c>
    </row>
    <row r="110" ht="36" customHeight="1">
      <c r="A110" s="20" t="inlineStr">
        <is>
          <t>ⓘ  Year columns reflect the IRS half-year (HY) and mid-month (MM) percentage tables loaded in Settings.  For mid-quarter (MQ) convention or short tax years, adjust manually — this ledger uses the standard tables.</t>
        </is>
      </c>
    </row>
  </sheetData>
  <mergeCells count="6">
    <mergeCell ref="J2:L2"/>
    <mergeCell ref="D2:I2"/>
    <mergeCell ref="A108:C108"/>
    <mergeCell ref="A110:L110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3" customWidth="1" min="4" max="4"/>
    <col width="13" customWidth="1" min="5" max="5"/>
    <col width="14" customWidth="1" min="6" max="6"/>
    <col width="16" customWidth="1" min="7" max="7"/>
    <col width="18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HYPERLINK("#'Schedule by Year'!A1", "← BACK")</f>
        <v/>
      </c>
      <c r="B2" s="17" t="n"/>
      <c r="C2" s="17" t="n"/>
      <c r="D2" s="24" t="inlineStr">
        <is>
          <t>CURRENT YEAR SUMMARY</t>
        </is>
      </c>
      <c r="J2" s="25">
        <f>HYPERLINK("#'Form 4562 Worksheet'!A1",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7" t="inlineStr">
        <is>
          <t>Current-year deduction per asset.  Total flows to Schedule C line 13 (active business) or Schedule E line 18 (passive rental).</t>
        </is>
      </c>
    </row>
    <row r="7" ht="22" customHeight="1">
      <c r="A7" s="29" t="inlineStr">
        <is>
          <t>Asset</t>
        </is>
      </c>
      <c r="B7" s="29" t="inlineStr">
        <is>
          <t>Class</t>
        </is>
      </c>
      <c r="C7" s="29" t="inlineStr">
        <is>
          <t>Placed in svc</t>
        </is>
      </c>
      <c r="D7" s="29" t="inlineStr">
        <is>
          <t>Original basis</t>
        </is>
      </c>
      <c r="E7" s="29" t="inlineStr">
        <is>
          <t>Adj. basis</t>
        </is>
      </c>
      <c r="F7" s="29" t="inlineStr">
        <is>
          <t>Current-year deprec.</t>
        </is>
      </c>
      <c r="G7" s="29" t="inlineStr">
        <is>
          <t>Accum. through prior yr</t>
        </is>
      </c>
      <c r="H7" s="29" t="inlineStr">
        <is>
          <t>Schedule line</t>
        </is>
      </c>
    </row>
    <row r="8" ht="17" customHeight="1">
      <c r="A8" s="37">
        <f>'Asset Register'!A8</f>
        <v/>
      </c>
      <c r="B8" s="34">
        <f>'Asset Register'!E8</f>
        <v/>
      </c>
      <c r="C8" s="40">
        <f>'Asset Register'!C8</f>
        <v/>
      </c>
      <c r="D8" s="33">
        <f>'Asset Register'!D8</f>
        <v/>
      </c>
      <c r="E8" s="33">
        <f>'Asset Register'!J8</f>
        <v/>
      </c>
      <c r="F8" s="41">
        <f>IFERROR(IF(IF('Asset Register'!C8="",0,MAX(MIN(Settings!$B$5-YEAR('Asset Register'!C8)+1,27),0))&lt;1,0,IF(AND('Asset Register'!M8&lt;&gt;"",YEAR('Asset Register'!M8)&lt;Settings!$B$5),0,INDEX('Schedule by Year'!$D8:$AD8,1,IF('Asset Register'!C8="",0,MAX(MIN(Settings!$B$5-YEAR('Asset Register'!C8)+1,27),0))))),0)</f>
        <v/>
      </c>
      <c r="G8" s="33">
        <f>IFERROR(IF(IF('Asset Register'!C8="",0,MAX(MIN(Settings!$B$5-YEAR('Asset Register'!C8)+1,27),0))&lt;=1,0,SUM(OFFSET('Schedule by Year'!$D8,0,0,1,IF('Asset Register'!C8="",0,MAX(MIN(Settings!$B$5-YEAR('Asset Register'!C8)+1,27),0))-1))),0)</f>
        <v/>
      </c>
      <c r="H8" s="34">
        <f>IF(Settings!$B$6="Schedule C (active)","Sch C, line 13",IF(Settings!$B$6="Schedule E (passive)","Sch E, line 18","Ask CPA"))</f>
        <v/>
      </c>
    </row>
    <row r="9" ht="17" customHeight="1">
      <c r="A9" s="37">
        <f>'Asset Register'!A9</f>
        <v/>
      </c>
      <c r="B9" s="34">
        <f>'Asset Register'!E9</f>
        <v/>
      </c>
      <c r="C9" s="40">
        <f>'Asset Register'!C9</f>
        <v/>
      </c>
      <c r="D9" s="33">
        <f>'Asset Register'!D9</f>
        <v/>
      </c>
      <c r="E9" s="33">
        <f>'Asset Register'!J9</f>
        <v/>
      </c>
      <c r="F9" s="41">
        <f>IFERROR(IF(IF('Asset Register'!C9="",0,MAX(MIN(Settings!$B$5-YEAR('Asset Register'!C9)+1,27),0))&lt;1,0,IF(AND('Asset Register'!M9&lt;&gt;"",YEAR('Asset Register'!M9)&lt;Settings!$B$5),0,INDEX('Schedule by Year'!$D9:$AD9,1,IF('Asset Register'!C9="",0,MAX(MIN(Settings!$B$5-YEAR('Asset Register'!C9)+1,27),0))))),0)</f>
        <v/>
      </c>
      <c r="G9" s="33">
        <f>IFERROR(IF(IF('Asset Register'!C9="",0,MAX(MIN(Settings!$B$5-YEAR('Asset Register'!C9)+1,27),0))&lt;=1,0,SUM(OFFSET('Schedule by Year'!$D9,0,0,1,IF('Asset Register'!C9="",0,MAX(MIN(Settings!$B$5-YEAR('Asset Register'!C9)+1,27),0))-1))),0)</f>
        <v/>
      </c>
      <c r="H9" s="34">
        <f>IF(Settings!$B$6="Schedule C (active)","Sch C, line 13",IF(Settings!$B$6="Schedule E (passive)","Sch E, line 18","Ask CPA"))</f>
        <v/>
      </c>
    </row>
    <row r="10" ht="17" customHeight="1">
      <c r="A10" s="37">
        <f>'Asset Register'!A10</f>
        <v/>
      </c>
      <c r="B10" s="34">
        <f>'Asset Register'!E10</f>
        <v/>
      </c>
      <c r="C10" s="40">
        <f>'Asset Register'!C10</f>
        <v/>
      </c>
      <c r="D10" s="33">
        <f>'Asset Register'!D10</f>
        <v/>
      </c>
      <c r="E10" s="33">
        <f>'Asset Register'!J10</f>
        <v/>
      </c>
      <c r="F10" s="41">
        <f>IFERROR(IF(IF('Asset Register'!C10="",0,MAX(MIN(Settings!$B$5-YEAR('Asset Register'!C10)+1,27),0))&lt;1,0,IF(AND('Asset Register'!M10&lt;&gt;"",YEAR('Asset Register'!M10)&lt;Settings!$B$5),0,INDEX('Schedule by Year'!$D10:$AD10,1,IF('Asset Register'!C10="",0,MAX(MIN(Settings!$B$5-YEAR('Asset Register'!C10)+1,27),0))))),0)</f>
        <v/>
      </c>
      <c r="G10" s="33">
        <f>IFERROR(IF(IF('Asset Register'!C10="",0,MAX(MIN(Settings!$B$5-YEAR('Asset Register'!C10)+1,27),0))&lt;=1,0,SUM(OFFSET('Schedule by Year'!$D10,0,0,1,IF('Asset Register'!C10="",0,MAX(MIN(Settings!$B$5-YEAR('Asset Register'!C10)+1,27),0))-1))),0)</f>
        <v/>
      </c>
      <c r="H10" s="34">
        <f>IF(Settings!$B$6="Schedule C (active)","Sch C, line 13",IF(Settings!$B$6="Schedule E (passive)","Sch E, line 18","Ask CPA"))</f>
        <v/>
      </c>
    </row>
    <row r="11" ht="17" customHeight="1">
      <c r="A11" s="37">
        <f>'Asset Register'!A11</f>
        <v/>
      </c>
      <c r="B11" s="34">
        <f>'Asset Register'!E11</f>
        <v/>
      </c>
      <c r="C11" s="40">
        <f>'Asset Register'!C11</f>
        <v/>
      </c>
      <c r="D11" s="33">
        <f>'Asset Register'!D11</f>
        <v/>
      </c>
      <c r="E11" s="33">
        <f>'Asset Register'!J11</f>
        <v/>
      </c>
      <c r="F11" s="41">
        <f>IFERROR(IF(IF('Asset Register'!C11="",0,MAX(MIN(Settings!$B$5-YEAR('Asset Register'!C11)+1,27),0))&lt;1,0,IF(AND('Asset Register'!M11&lt;&gt;"",YEAR('Asset Register'!M11)&lt;Settings!$B$5),0,INDEX('Schedule by Year'!$D11:$AD11,1,IF('Asset Register'!C11="",0,MAX(MIN(Settings!$B$5-YEAR('Asset Register'!C11)+1,27),0))))),0)</f>
        <v/>
      </c>
      <c r="G11" s="33">
        <f>IFERROR(IF(IF('Asset Register'!C11="",0,MAX(MIN(Settings!$B$5-YEAR('Asset Register'!C11)+1,27),0))&lt;=1,0,SUM(OFFSET('Schedule by Year'!$D11,0,0,1,IF('Asset Register'!C11="",0,MAX(MIN(Settings!$B$5-YEAR('Asset Register'!C11)+1,27),0))-1))),0)</f>
        <v/>
      </c>
      <c r="H11" s="34">
        <f>IF(Settings!$B$6="Schedule C (active)","Sch C, line 13",IF(Settings!$B$6="Schedule E (passive)","Sch E, line 18","Ask CPA"))</f>
        <v/>
      </c>
    </row>
    <row r="12" ht="17" customHeight="1">
      <c r="A12" s="37">
        <f>'Asset Register'!A12</f>
        <v/>
      </c>
      <c r="B12" s="34">
        <f>'Asset Register'!E12</f>
        <v/>
      </c>
      <c r="C12" s="40">
        <f>'Asset Register'!C12</f>
        <v/>
      </c>
      <c r="D12" s="33">
        <f>'Asset Register'!D12</f>
        <v/>
      </c>
      <c r="E12" s="33">
        <f>'Asset Register'!J12</f>
        <v/>
      </c>
      <c r="F12" s="41">
        <f>IFERROR(IF(IF('Asset Register'!C12="",0,MAX(MIN(Settings!$B$5-YEAR('Asset Register'!C12)+1,27),0))&lt;1,0,IF(AND('Asset Register'!M12&lt;&gt;"",YEAR('Asset Register'!M12)&lt;Settings!$B$5),0,INDEX('Schedule by Year'!$D12:$AD12,1,IF('Asset Register'!C12="",0,MAX(MIN(Settings!$B$5-YEAR('Asset Register'!C12)+1,27),0))))),0)</f>
        <v/>
      </c>
      <c r="G12" s="33">
        <f>IFERROR(IF(IF('Asset Register'!C12="",0,MAX(MIN(Settings!$B$5-YEAR('Asset Register'!C12)+1,27),0))&lt;=1,0,SUM(OFFSET('Schedule by Year'!$D12,0,0,1,IF('Asset Register'!C12="",0,MAX(MIN(Settings!$B$5-YEAR('Asset Register'!C12)+1,27),0))-1))),0)</f>
        <v/>
      </c>
      <c r="H12" s="34">
        <f>IF(Settings!$B$6="Schedule C (active)","Sch C, line 13",IF(Settings!$B$6="Schedule E (passive)","Sch E, line 18","Ask CPA"))</f>
        <v/>
      </c>
    </row>
    <row r="13" ht="17" customHeight="1">
      <c r="A13" s="37">
        <f>'Asset Register'!A13</f>
        <v/>
      </c>
      <c r="B13" s="34">
        <f>'Asset Register'!E13</f>
        <v/>
      </c>
      <c r="C13" s="40">
        <f>'Asset Register'!C13</f>
        <v/>
      </c>
      <c r="D13" s="33">
        <f>'Asset Register'!D13</f>
        <v/>
      </c>
      <c r="E13" s="33">
        <f>'Asset Register'!J13</f>
        <v/>
      </c>
      <c r="F13" s="41">
        <f>IFERROR(IF(IF('Asset Register'!C13="",0,MAX(MIN(Settings!$B$5-YEAR('Asset Register'!C13)+1,27),0))&lt;1,0,IF(AND('Asset Register'!M13&lt;&gt;"",YEAR('Asset Register'!M13)&lt;Settings!$B$5),0,INDEX('Schedule by Year'!$D13:$AD13,1,IF('Asset Register'!C13="",0,MAX(MIN(Settings!$B$5-YEAR('Asset Register'!C13)+1,27),0))))),0)</f>
        <v/>
      </c>
      <c r="G13" s="33">
        <f>IFERROR(IF(IF('Asset Register'!C13="",0,MAX(MIN(Settings!$B$5-YEAR('Asset Register'!C13)+1,27),0))&lt;=1,0,SUM(OFFSET('Schedule by Year'!$D13,0,0,1,IF('Asset Register'!C13="",0,MAX(MIN(Settings!$B$5-YEAR('Asset Register'!C13)+1,27),0))-1))),0)</f>
        <v/>
      </c>
      <c r="H13" s="34">
        <f>IF(Settings!$B$6="Schedule C (active)","Sch C, line 13",IF(Settings!$B$6="Schedule E (passive)","Sch E, line 18","Ask CPA"))</f>
        <v/>
      </c>
    </row>
    <row r="14" ht="17" customHeight="1">
      <c r="A14" s="37">
        <f>'Asset Register'!A14</f>
        <v/>
      </c>
      <c r="B14" s="34">
        <f>'Asset Register'!E14</f>
        <v/>
      </c>
      <c r="C14" s="40">
        <f>'Asset Register'!C14</f>
        <v/>
      </c>
      <c r="D14" s="33">
        <f>'Asset Register'!D14</f>
        <v/>
      </c>
      <c r="E14" s="33">
        <f>'Asset Register'!J14</f>
        <v/>
      </c>
      <c r="F14" s="41">
        <f>IFERROR(IF(IF('Asset Register'!C14="",0,MAX(MIN(Settings!$B$5-YEAR('Asset Register'!C14)+1,27),0))&lt;1,0,IF(AND('Asset Register'!M14&lt;&gt;"",YEAR('Asset Register'!M14)&lt;Settings!$B$5),0,INDEX('Schedule by Year'!$D14:$AD14,1,IF('Asset Register'!C14="",0,MAX(MIN(Settings!$B$5-YEAR('Asset Register'!C14)+1,27),0))))),0)</f>
        <v/>
      </c>
      <c r="G14" s="33">
        <f>IFERROR(IF(IF('Asset Register'!C14="",0,MAX(MIN(Settings!$B$5-YEAR('Asset Register'!C14)+1,27),0))&lt;=1,0,SUM(OFFSET('Schedule by Year'!$D14,0,0,1,IF('Asset Register'!C14="",0,MAX(MIN(Settings!$B$5-YEAR('Asset Register'!C14)+1,27),0))-1))),0)</f>
        <v/>
      </c>
      <c r="H14" s="34">
        <f>IF(Settings!$B$6="Schedule C (active)","Sch C, line 13",IF(Settings!$B$6="Schedule E (passive)","Sch E, line 18","Ask CPA"))</f>
        <v/>
      </c>
    </row>
    <row r="15" ht="17" customHeight="1">
      <c r="A15" s="37">
        <f>'Asset Register'!A15</f>
        <v/>
      </c>
      <c r="B15" s="34">
        <f>'Asset Register'!E15</f>
        <v/>
      </c>
      <c r="C15" s="40">
        <f>'Asset Register'!C15</f>
        <v/>
      </c>
      <c r="D15" s="33">
        <f>'Asset Register'!D15</f>
        <v/>
      </c>
      <c r="E15" s="33">
        <f>'Asset Register'!J15</f>
        <v/>
      </c>
      <c r="F15" s="41">
        <f>IFERROR(IF(IF('Asset Register'!C15="",0,MAX(MIN(Settings!$B$5-YEAR('Asset Register'!C15)+1,27),0))&lt;1,0,IF(AND('Asset Register'!M15&lt;&gt;"",YEAR('Asset Register'!M15)&lt;Settings!$B$5),0,INDEX('Schedule by Year'!$D15:$AD15,1,IF('Asset Register'!C15="",0,MAX(MIN(Settings!$B$5-YEAR('Asset Register'!C15)+1,27),0))))),0)</f>
        <v/>
      </c>
      <c r="G15" s="33">
        <f>IFERROR(IF(IF('Asset Register'!C15="",0,MAX(MIN(Settings!$B$5-YEAR('Asset Register'!C15)+1,27),0))&lt;=1,0,SUM(OFFSET('Schedule by Year'!$D15,0,0,1,IF('Asset Register'!C15="",0,MAX(MIN(Settings!$B$5-YEAR('Asset Register'!C15)+1,27),0))-1))),0)</f>
        <v/>
      </c>
      <c r="H15" s="34">
        <f>IF(Settings!$B$6="Schedule C (active)","Sch C, line 13",IF(Settings!$B$6="Schedule E (passive)","Sch E, line 18","Ask CPA"))</f>
        <v/>
      </c>
    </row>
    <row r="16" ht="17" customHeight="1">
      <c r="A16" s="37">
        <f>'Asset Register'!A16</f>
        <v/>
      </c>
      <c r="B16" s="34">
        <f>'Asset Register'!E16</f>
        <v/>
      </c>
      <c r="C16" s="40">
        <f>'Asset Register'!C16</f>
        <v/>
      </c>
      <c r="D16" s="33">
        <f>'Asset Register'!D16</f>
        <v/>
      </c>
      <c r="E16" s="33">
        <f>'Asset Register'!J16</f>
        <v/>
      </c>
      <c r="F16" s="41">
        <f>IFERROR(IF(IF('Asset Register'!C16="",0,MAX(MIN(Settings!$B$5-YEAR('Asset Register'!C16)+1,27),0))&lt;1,0,IF(AND('Asset Register'!M16&lt;&gt;"",YEAR('Asset Register'!M16)&lt;Settings!$B$5),0,INDEX('Schedule by Year'!$D16:$AD16,1,IF('Asset Register'!C16="",0,MAX(MIN(Settings!$B$5-YEAR('Asset Register'!C16)+1,27),0))))),0)</f>
        <v/>
      </c>
      <c r="G16" s="33">
        <f>IFERROR(IF(IF('Asset Register'!C16="",0,MAX(MIN(Settings!$B$5-YEAR('Asset Register'!C16)+1,27),0))&lt;=1,0,SUM(OFFSET('Schedule by Year'!$D16,0,0,1,IF('Asset Register'!C16="",0,MAX(MIN(Settings!$B$5-YEAR('Asset Register'!C16)+1,27),0))-1))),0)</f>
        <v/>
      </c>
      <c r="H16" s="34">
        <f>IF(Settings!$B$6="Schedule C (active)","Sch C, line 13",IF(Settings!$B$6="Schedule E (passive)","Sch E, line 18","Ask CPA"))</f>
        <v/>
      </c>
    </row>
    <row r="17" ht="17" customHeight="1">
      <c r="A17" s="37">
        <f>'Asset Register'!A17</f>
        <v/>
      </c>
      <c r="B17" s="34">
        <f>'Asset Register'!E17</f>
        <v/>
      </c>
      <c r="C17" s="40">
        <f>'Asset Register'!C17</f>
        <v/>
      </c>
      <c r="D17" s="33">
        <f>'Asset Register'!D17</f>
        <v/>
      </c>
      <c r="E17" s="33">
        <f>'Asset Register'!J17</f>
        <v/>
      </c>
      <c r="F17" s="41">
        <f>IFERROR(IF(IF('Asset Register'!C17="",0,MAX(MIN(Settings!$B$5-YEAR('Asset Register'!C17)+1,27),0))&lt;1,0,IF(AND('Asset Register'!M17&lt;&gt;"",YEAR('Asset Register'!M17)&lt;Settings!$B$5),0,INDEX('Schedule by Year'!$D17:$AD17,1,IF('Asset Register'!C17="",0,MAX(MIN(Settings!$B$5-YEAR('Asset Register'!C17)+1,27),0))))),0)</f>
        <v/>
      </c>
      <c r="G17" s="33">
        <f>IFERROR(IF(IF('Asset Register'!C17="",0,MAX(MIN(Settings!$B$5-YEAR('Asset Register'!C17)+1,27),0))&lt;=1,0,SUM(OFFSET('Schedule by Year'!$D17,0,0,1,IF('Asset Register'!C17="",0,MAX(MIN(Settings!$B$5-YEAR('Asset Register'!C17)+1,27),0))-1))),0)</f>
        <v/>
      </c>
      <c r="H17" s="34">
        <f>IF(Settings!$B$6="Schedule C (active)","Sch C, line 13",IF(Settings!$B$6="Schedule E (passive)","Sch E, line 18","Ask CPA"))</f>
        <v/>
      </c>
    </row>
    <row r="18" ht="17" customHeight="1">
      <c r="A18" s="37">
        <f>'Asset Register'!A18</f>
        <v/>
      </c>
      <c r="B18" s="34">
        <f>'Asset Register'!E18</f>
        <v/>
      </c>
      <c r="C18" s="40">
        <f>'Asset Register'!C18</f>
        <v/>
      </c>
      <c r="D18" s="33">
        <f>'Asset Register'!D18</f>
        <v/>
      </c>
      <c r="E18" s="33">
        <f>'Asset Register'!J18</f>
        <v/>
      </c>
      <c r="F18" s="41">
        <f>IFERROR(IF(IF('Asset Register'!C18="",0,MAX(MIN(Settings!$B$5-YEAR('Asset Register'!C18)+1,27),0))&lt;1,0,IF(AND('Asset Register'!M18&lt;&gt;"",YEAR('Asset Register'!M18)&lt;Settings!$B$5),0,INDEX('Schedule by Year'!$D18:$AD18,1,IF('Asset Register'!C18="",0,MAX(MIN(Settings!$B$5-YEAR('Asset Register'!C18)+1,27),0))))),0)</f>
        <v/>
      </c>
      <c r="G18" s="33">
        <f>IFERROR(IF(IF('Asset Register'!C18="",0,MAX(MIN(Settings!$B$5-YEAR('Asset Register'!C18)+1,27),0))&lt;=1,0,SUM(OFFSET('Schedule by Year'!$D18,0,0,1,IF('Asset Register'!C18="",0,MAX(MIN(Settings!$B$5-YEAR('Asset Register'!C18)+1,27),0))-1))),0)</f>
        <v/>
      </c>
      <c r="H18" s="34">
        <f>IF(Settings!$B$6="Schedule C (active)","Sch C, line 13",IF(Settings!$B$6="Schedule E (passive)","Sch E, line 18","Ask CPA"))</f>
        <v/>
      </c>
    </row>
    <row r="19" ht="17" customHeight="1">
      <c r="A19" s="37">
        <f>'Asset Register'!A19</f>
        <v/>
      </c>
      <c r="B19" s="34">
        <f>'Asset Register'!E19</f>
        <v/>
      </c>
      <c r="C19" s="40">
        <f>'Asset Register'!C19</f>
        <v/>
      </c>
      <c r="D19" s="33">
        <f>'Asset Register'!D19</f>
        <v/>
      </c>
      <c r="E19" s="33">
        <f>'Asset Register'!J19</f>
        <v/>
      </c>
      <c r="F19" s="41">
        <f>IFERROR(IF(IF('Asset Register'!C19="",0,MAX(MIN(Settings!$B$5-YEAR('Asset Register'!C19)+1,27),0))&lt;1,0,IF(AND('Asset Register'!M19&lt;&gt;"",YEAR('Asset Register'!M19)&lt;Settings!$B$5),0,INDEX('Schedule by Year'!$D19:$AD19,1,IF('Asset Register'!C19="",0,MAX(MIN(Settings!$B$5-YEAR('Asset Register'!C19)+1,27),0))))),0)</f>
        <v/>
      </c>
      <c r="G19" s="33">
        <f>IFERROR(IF(IF('Asset Register'!C19="",0,MAX(MIN(Settings!$B$5-YEAR('Asset Register'!C19)+1,27),0))&lt;=1,0,SUM(OFFSET('Schedule by Year'!$D19,0,0,1,IF('Asset Register'!C19="",0,MAX(MIN(Settings!$B$5-YEAR('Asset Register'!C19)+1,27),0))-1))),0)</f>
        <v/>
      </c>
      <c r="H19" s="34">
        <f>IF(Settings!$B$6="Schedule C (active)","Sch C, line 13",IF(Settings!$B$6="Schedule E (passive)","Sch E, line 18","Ask CPA"))</f>
        <v/>
      </c>
    </row>
    <row r="20" ht="17" customHeight="1">
      <c r="A20" s="37">
        <f>'Asset Register'!A20</f>
        <v/>
      </c>
      <c r="B20" s="34">
        <f>'Asset Register'!E20</f>
        <v/>
      </c>
      <c r="C20" s="40">
        <f>'Asset Register'!C20</f>
        <v/>
      </c>
      <c r="D20" s="33">
        <f>'Asset Register'!D20</f>
        <v/>
      </c>
      <c r="E20" s="33">
        <f>'Asset Register'!J20</f>
        <v/>
      </c>
      <c r="F20" s="41">
        <f>IFERROR(IF(IF('Asset Register'!C20="",0,MAX(MIN(Settings!$B$5-YEAR('Asset Register'!C20)+1,27),0))&lt;1,0,IF(AND('Asset Register'!M20&lt;&gt;"",YEAR('Asset Register'!M20)&lt;Settings!$B$5),0,INDEX('Schedule by Year'!$D20:$AD20,1,IF('Asset Register'!C20="",0,MAX(MIN(Settings!$B$5-YEAR('Asset Register'!C20)+1,27),0))))),0)</f>
        <v/>
      </c>
      <c r="G20" s="33">
        <f>IFERROR(IF(IF('Asset Register'!C20="",0,MAX(MIN(Settings!$B$5-YEAR('Asset Register'!C20)+1,27),0))&lt;=1,0,SUM(OFFSET('Schedule by Year'!$D20,0,0,1,IF('Asset Register'!C20="",0,MAX(MIN(Settings!$B$5-YEAR('Asset Register'!C20)+1,27),0))-1))),0)</f>
        <v/>
      </c>
      <c r="H20" s="34">
        <f>IF(Settings!$B$6="Schedule C (active)","Sch C, line 13",IF(Settings!$B$6="Schedule E (passive)","Sch E, line 18","Ask CPA"))</f>
        <v/>
      </c>
    </row>
    <row r="21" ht="17" customHeight="1">
      <c r="A21" s="37">
        <f>'Asset Register'!A21</f>
        <v/>
      </c>
      <c r="B21" s="34">
        <f>'Asset Register'!E21</f>
        <v/>
      </c>
      <c r="C21" s="40">
        <f>'Asset Register'!C21</f>
        <v/>
      </c>
      <c r="D21" s="33">
        <f>'Asset Register'!D21</f>
        <v/>
      </c>
      <c r="E21" s="33">
        <f>'Asset Register'!J21</f>
        <v/>
      </c>
      <c r="F21" s="41">
        <f>IFERROR(IF(IF('Asset Register'!C21="",0,MAX(MIN(Settings!$B$5-YEAR('Asset Register'!C21)+1,27),0))&lt;1,0,IF(AND('Asset Register'!M21&lt;&gt;"",YEAR('Asset Register'!M21)&lt;Settings!$B$5),0,INDEX('Schedule by Year'!$D21:$AD21,1,IF('Asset Register'!C21="",0,MAX(MIN(Settings!$B$5-YEAR('Asset Register'!C21)+1,27),0))))),0)</f>
        <v/>
      </c>
      <c r="G21" s="33">
        <f>IFERROR(IF(IF('Asset Register'!C21="",0,MAX(MIN(Settings!$B$5-YEAR('Asset Register'!C21)+1,27),0))&lt;=1,0,SUM(OFFSET('Schedule by Year'!$D21,0,0,1,IF('Asset Register'!C21="",0,MAX(MIN(Settings!$B$5-YEAR('Asset Register'!C21)+1,27),0))-1))),0)</f>
        <v/>
      </c>
      <c r="H21" s="34">
        <f>IF(Settings!$B$6="Schedule C (active)","Sch C, line 13",IF(Settings!$B$6="Schedule E (passive)","Sch E, line 18","Ask CPA"))</f>
        <v/>
      </c>
    </row>
    <row r="22" ht="17" customHeight="1">
      <c r="A22" s="37">
        <f>'Asset Register'!A22</f>
        <v/>
      </c>
      <c r="B22" s="34">
        <f>'Asset Register'!E22</f>
        <v/>
      </c>
      <c r="C22" s="40">
        <f>'Asset Register'!C22</f>
        <v/>
      </c>
      <c r="D22" s="33">
        <f>'Asset Register'!D22</f>
        <v/>
      </c>
      <c r="E22" s="33">
        <f>'Asset Register'!J22</f>
        <v/>
      </c>
      <c r="F22" s="41">
        <f>IFERROR(IF(IF('Asset Register'!C22="",0,MAX(MIN(Settings!$B$5-YEAR('Asset Register'!C22)+1,27),0))&lt;1,0,IF(AND('Asset Register'!M22&lt;&gt;"",YEAR('Asset Register'!M22)&lt;Settings!$B$5),0,INDEX('Schedule by Year'!$D22:$AD22,1,IF('Asset Register'!C22="",0,MAX(MIN(Settings!$B$5-YEAR('Asset Register'!C22)+1,27),0))))),0)</f>
        <v/>
      </c>
      <c r="G22" s="33">
        <f>IFERROR(IF(IF('Asset Register'!C22="",0,MAX(MIN(Settings!$B$5-YEAR('Asset Register'!C22)+1,27),0))&lt;=1,0,SUM(OFFSET('Schedule by Year'!$D22,0,0,1,IF('Asset Register'!C22="",0,MAX(MIN(Settings!$B$5-YEAR('Asset Register'!C22)+1,27),0))-1))),0)</f>
        <v/>
      </c>
      <c r="H22" s="34">
        <f>IF(Settings!$B$6="Schedule C (active)","Sch C, line 13",IF(Settings!$B$6="Schedule E (passive)","Sch E, line 18","Ask CPA"))</f>
        <v/>
      </c>
    </row>
    <row r="23" ht="17" customHeight="1">
      <c r="A23" s="37">
        <f>'Asset Register'!A23</f>
        <v/>
      </c>
      <c r="B23" s="34">
        <f>'Asset Register'!E23</f>
        <v/>
      </c>
      <c r="C23" s="40">
        <f>'Asset Register'!C23</f>
        <v/>
      </c>
      <c r="D23" s="33">
        <f>'Asset Register'!D23</f>
        <v/>
      </c>
      <c r="E23" s="33">
        <f>'Asset Register'!J23</f>
        <v/>
      </c>
      <c r="F23" s="41">
        <f>IFERROR(IF(IF('Asset Register'!C23="",0,MAX(MIN(Settings!$B$5-YEAR('Asset Register'!C23)+1,27),0))&lt;1,0,IF(AND('Asset Register'!M23&lt;&gt;"",YEAR('Asset Register'!M23)&lt;Settings!$B$5),0,INDEX('Schedule by Year'!$D23:$AD23,1,IF('Asset Register'!C23="",0,MAX(MIN(Settings!$B$5-YEAR('Asset Register'!C23)+1,27),0))))),0)</f>
        <v/>
      </c>
      <c r="G23" s="33">
        <f>IFERROR(IF(IF('Asset Register'!C23="",0,MAX(MIN(Settings!$B$5-YEAR('Asset Register'!C23)+1,27),0))&lt;=1,0,SUM(OFFSET('Schedule by Year'!$D23,0,0,1,IF('Asset Register'!C23="",0,MAX(MIN(Settings!$B$5-YEAR('Asset Register'!C23)+1,27),0))-1))),0)</f>
        <v/>
      </c>
      <c r="H23" s="34">
        <f>IF(Settings!$B$6="Schedule C (active)","Sch C, line 13",IF(Settings!$B$6="Schedule E (passive)","Sch E, line 18","Ask CPA"))</f>
        <v/>
      </c>
    </row>
    <row r="24" ht="17" customHeight="1">
      <c r="A24" s="37">
        <f>'Asset Register'!A24</f>
        <v/>
      </c>
      <c r="B24" s="34">
        <f>'Asset Register'!E24</f>
        <v/>
      </c>
      <c r="C24" s="40">
        <f>'Asset Register'!C24</f>
        <v/>
      </c>
      <c r="D24" s="33">
        <f>'Asset Register'!D24</f>
        <v/>
      </c>
      <c r="E24" s="33">
        <f>'Asset Register'!J24</f>
        <v/>
      </c>
      <c r="F24" s="41">
        <f>IFERROR(IF(IF('Asset Register'!C24="",0,MAX(MIN(Settings!$B$5-YEAR('Asset Register'!C24)+1,27),0))&lt;1,0,IF(AND('Asset Register'!M24&lt;&gt;"",YEAR('Asset Register'!M24)&lt;Settings!$B$5),0,INDEX('Schedule by Year'!$D24:$AD24,1,IF('Asset Register'!C24="",0,MAX(MIN(Settings!$B$5-YEAR('Asset Register'!C24)+1,27),0))))),0)</f>
        <v/>
      </c>
      <c r="G24" s="33">
        <f>IFERROR(IF(IF('Asset Register'!C24="",0,MAX(MIN(Settings!$B$5-YEAR('Asset Register'!C24)+1,27),0))&lt;=1,0,SUM(OFFSET('Schedule by Year'!$D24,0,0,1,IF('Asset Register'!C24="",0,MAX(MIN(Settings!$B$5-YEAR('Asset Register'!C24)+1,27),0))-1))),0)</f>
        <v/>
      </c>
      <c r="H24" s="34">
        <f>IF(Settings!$B$6="Schedule C (active)","Sch C, line 13",IF(Settings!$B$6="Schedule E (passive)","Sch E, line 18","Ask CPA"))</f>
        <v/>
      </c>
    </row>
    <row r="25" ht="17" customHeight="1">
      <c r="A25" s="37">
        <f>'Asset Register'!A25</f>
        <v/>
      </c>
      <c r="B25" s="34">
        <f>'Asset Register'!E25</f>
        <v/>
      </c>
      <c r="C25" s="40">
        <f>'Asset Register'!C25</f>
        <v/>
      </c>
      <c r="D25" s="33">
        <f>'Asset Register'!D25</f>
        <v/>
      </c>
      <c r="E25" s="33">
        <f>'Asset Register'!J25</f>
        <v/>
      </c>
      <c r="F25" s="41">
        <f>IFERROR(IF(IF('Asset Register'!C25="",0,MAX(MIN(Settings!$B$5-YEAR('Asset Register'!C25)+1,27),0))&lt;1,0,IF(AND('Asset Register'!M25&lt;&gt;"",YEAR('Asset Register'!M25)&lt;Settings!$B$5),0,INDEX('Schedule by Year'!$D25:$AD25,1,IF('Asset Register'!C25="",0,MAX(MIN(Settings!$B$5-YEAR('Asset Register'!C25)+1,27),0))))),0)</f>
        <v/>
      </c>
      <c r="G25" s="33">
        <f>IFERROR(IF(IF('Asset Register'!C25="",0,MAX(MIN(Settings!$B$5-YEAR('Asset Register'!C25)+1,27),0))&lt;=1,0,SUM(OFFSET('Schedule by Year'!$D25,0,0,1,IF('Asset Register'!C25="",0,MAX(MIN(Settings!$B$5-YEAR('Asset Register'!C25)+1,27),0))-1))),0)</f>
        <v/>
      </c>
      <c r="H25" s="34">
        <f>IF(Settings!$B$6="Schedule C (active)","Sch C, line 13",IF(Settings!$B$6="Schedule E (passive)","Sch E, line 18","Ask CPA"))</f>
        <v/>
      </c>
    </row>
    <row r="26" ht="17" customHeight="1">
      <c r="A26" s="37">
        <f>'Asset Register'!A26</f>
        <v/>
      </c>
      <c r="B26" s="34">
        <f>'Asset Register'!E26</f>
        <v/>
      </c>
      <c r="C26" s="40">
        <f>'Asset Register'!C26</f>
        <v/>
      </c>
      <c r="D26" s="33">
        <f>'Asset Register'!D26</f>
        <v/>
      </c>
      <c r="E26" s="33">
        <f>'Asset Register'!J26</f>
        <v/>
      </c>
      <c r="F26" s="41">
        <f>IFERROR(IF(IF('Asset Register'!C26="",0,MAX(MIN(Settings!$B$5-YEAR('Asset Register'!C26)+1,27),0))&lt;1,0,IF(AND('Asset Register'!M26&lt;&gt;"",YEAR('Asset Register'!M26)&lt;Settings!$B$5),0,INDEX('Schedule by Year'!$D26:$AD26,1,IF('Asset Register'!C26="",0,MAX(MIN(Settings!$B$5-YEAR('Asset Register'!C26)+1,27),0))))),0)</f>
        <v/>
      </c>
      <c r="G26" s="33">
        <f>IFERROR(IF(IF('Asset Register'!C26="",0,MAX(MIN(Settings!$B$5-YEAR('Asset Register'!C26)+1,27),0))&lt;=1,0,SUM(OFFSET('Schedule by Year'!$D26,0,0,1,IF('Asset Register'!C26="",0,MAX(MIN(Settings!$B$5-YEAR('Asset Register'!C26)+1,27),0))-1))),0)</f>
        <v/>
      </c>
      <c r="H26" s="34">
        <f>IF(Settings!$B$6="Schedule C (active)","Sch C, line 13",IF(Settings!$B$6="Schedule E (passive)","Sch E, line 18","Ask CPA"))</f>
        <v/>
      </c>
    </row>
    <row r="27" ht="17" customHeight="1">
      <c r="A27" s="37">
        <f>'Asset Register'!A27</f>
        <v/>
      </c>
      <c r="B27" s="34">
        <f>'Asset Register'!E27</f>
        <v/>
      </c>
      <c r="C27" s="40">
        <f>'Asset Register'!C27</f>
        <v/>
      </c>
      <c r="D27" s="33">
        <f>'Asset Register'!D27</f>
        <v/>
      </c>
      <c r="E27" s="33">
        <f>'Asset Register'!J27</f>
        <v/>
      </c>
      <c r="F27" s="41">
        <f>IFERROR(IF(IF('Asset Register'!C27="",0,MAX(MIN(Settings!$B$5-YEAR('Asset Register'!C27)+1,27),0))&lt;1,0,IF(AND('Asset Register'!M27&lt;&gt;"",YEAR('Asset Register'!M27)&lt;Settings!$B$5),0,INDEX('Schedule by Year'!$D27:$AD27,1,IF('Asset Register'!C27="",0,MAX(MIN(Settings!$B$5-YEAR('Asset Register'!C27)+1,27),0))))),0)</f>
        <v/>
      </c>
      <c r="G27" s="33">
        <f>IFERROR(IF(IF('Asset Register'!C27="",0,MAX(MIN(Settings!$B$5-YEAR('Asset Register'!C27)+1,27),0))&lt;=1,0,SUM(OFFSET('Schedule by Year'!$D27,0,0,1,IF('Asset Register'!C27="",0,MAX(MIN(Settings!$B$5-YEAR('Asset Register'!C27)+1,27),0))-1))),0)</f>
        <v/>
      </c>
      <c r="H27" s="34">
        <f>IF(Settings!$B$6="Schedule C (active)","Sch C, line 13",IF(Settings!$B$6="Schedule E (passive)","Sch E, line 18","Ask CPA"))</f>
        <v/>
      </c>
    </row>
    <row r="28" ht="17" customHeight="1">
      <c r="A28" s="37">
        <f>'Asset Register'!A28</f>
        <v/>
      </c>
      <c r="B28" s="34">
        <f>'Asset Register'!E28</f>
        <v/>
      </c>
      <c r="C28" s="40">
        <f>'Asset Register'!C28</f>
        <v/>
      </c>
      <c r="D28" s="33">
        <f>'Asset Register'!D28</f>
        <v/>
      </c>
      <c r="E28" s="33">
        <f>'Asset Register'!J28</f>
        <v/>
      </c>
      <c r="F28" s="41">
        <f>IFERROR(IF(IF('Asset Register'!C28="",0,MAX(MIN(Settings!$B$5-YEAR('Asset Register'!C28)+1,27),0))&lt;1,0,IF(AND('Asset Register'!M28&lt;&gt;"",YEAR('Asset Register'!M28)&lt;Settings!$B$5),0,INDEX('Schedule by Year'!$D28:$AD28,1,IF('Asset Register'!C28="",0,MAX(MIN(Settings!$B$5-YEAR('Asset Register'!C28)+1,27),0))))),0)</f>
        <v/>
      </c>
      <c r="G28" s="33">
        <f>IFERROR(IF(IF('Asset Register'!C28="",0,MAX(MIN(Settings!$B$5-YEAR('Asset Register'!C28)+1,27),0))&lt;=1,0,SUM(OFFSET('Schedule by Year'!$D28,0,0,1,IF('Asset Register'!C28="",0,MAX(MIN(Settings!$B$5-YEAR('Asset Register'!C28)+1,27),0))-1))),0)</f>
        <v/>
      </c>
      <c r="H28" s="34">
        <f>IF(Settings!$B$6="Schedule C (active)","Sch C, line 13",IF(Settings!$B$6="Schedule E (passive)","Sch E, line 18","Ask CPA"))</f>
        <v/>
      </c>
    </row>
    <row r="29" ht="17" customHeight="1">
      <c r="A29" s="37">
        <f>'Asset Register'!A29</f>
        <v/>
      </c>
      <c r="B29" s="34">
        <f>'Asset Register'!E29</f>
        <v/>
      </c>
      <c r="C29" s="40">
        <f>'Asset Register'!C29</f>
        <v/>
      </c>
      <c r="D29" s="33">
        <f>'Asset Register'!D29</f>
        <v/>
      </c>
      <c r="E29" s="33">
        <f>'Asset Register'!J29</f>
        <v/>
      </c>
      <c r="F29" s="41">
        <f>IFERROR(IF(IF('Asset Register'!C29="",0,MAX(MIN(Settings!$B$5-YEAR('Asset Register'!C29)+1,27),0))&lt;1,0,IF(AND('Asset Register'!M29&lt;&gt;"",YEAR('Asset Register'!M29)&lt;Settings!$B$5),0,INDEX('Schedule by Year'!$D29:$AD29,1,IF('Asset Register'!C29="",0,MAX(MIN(Settings!$B$5-YEAR('Asset Register'!C29)+1,27),0))))),0)</f>
        <v/>
      </c>
      <c r="G29" s="33">
        <f>IFERROR(IF(IF('Asset Register'!C29="",0,MAX(MIN(Settings!$B$5-YEAR('Asset Register'!C29)+1,27),0))&lt;=1,0,SUM(OFFSET('Schedule by Year'!$D29,0,0,1,IF('Asset Register'!C29="",0,MAX(MIN(Settings!$B$5-YEAR('Asset Register'!C29)+1,27),0))-1))),0)</f>
        <v/>
      </c>
      <c r="H29" s="34">
        <f>IF(Settings!$B$6="Schedule C (active)","Sch C, line 13",IF(Settings!$B$6="Schedule E (passive)","Sch E, line 18","Ask CPA"))</f>
        <v/>
      </c>
    </row>
    <row r="30" ht="17" customHeight="1">
      <c r="A30" s="37">
        <f>'Asset Register'!A30</f>
        <v/>
      </c>
      <c r="B30" s="34">
        <f>'Asset Register'!E30</f>
        <v/>
      </c>
      <c r="C30" s="40">
        <f>'Asset Register'!C30</f>
        <v/>
      </c>
      <c r="D30" s="33">
        <f>'Asset Register'!D30</f>
        <v/>
      </c>
      <c r="E30" s="33">
        <f>'Asset Register'!J30</f>
        <v/>
      </c>
      <c r="F30" s="41">
        <f>IFERROR(IF(IF('Asset Register'!C30="",0,MAX(MIN(Settings!$B$5-YEAR('Asset Register'!C30)+1,27),0))&lt;1,0,IF(AND('Asset Register'!M30&lt;&gt;"",YEAR('Asset Register'!M30)&lt;Settings!$B$5),0,INDEX('Schedule by Year'!$D30:$AD30,1,IF('Asset Register'!C30="",0,MAX(MIN(Settings!$B$5-YEAR('Asset Register'!C30)+1,27),0))))),0)</f>
        <v/>
      </c>
      <c r="G30" s="33">
        <f>IFERROR(IF(IF('Asset Register'!C30="",0,MAX(MIN(Settings!$B$5-YEAR('Asset Register'!C30)+1,27),0))&lt;=1,0,SUM(OFFSET('Schedule by Year'!$D30,0,0,1,IF('Asset Register'!C30="",0,MAX(MIN(Settings!$B$5-YEAR('Asset Register'!C30)+1,27),0))-1))),0)</f>
        <v/>
      </c>
      <c r="H30" s="34">
        <f>IF(Settings!$B$6="Schedule C (active)","Sch C, line 13",IF(Settings!$B$6="Schedule E (passive)","Sch E, line 18","Ask CPA"))</f>
        <v/>
      </c>
    </row>
    <row r="31" ht="17" customHeight="1">
      <c r="A31" s="37">
        <f>'Asset Register'!A31</f>
        <v/>
      </c>
      <c r="B31" s="34">
        <f>'Asset Register'!E31</f>
        <v/>
      </c>
      <c r="C31" s="40">
        <f>'Asset Register'!C31</f>
        <v/>
      </c>
      <c r="D31" s="33">
        <f>'Asset Register'!D31</f>
        <v/>
      </c>
      <c r="E31" s="33">
        <f>'Asset Register'!J31</f>
        <v/>
      </c>
      <c r="F31" s="41">
        <f>IFERROR(IF(IF('Asset Register'!C31="",0,MAX(MIN(Settings!$B$5-YEAR('Asset Register'!C31)+1,27),0))&lt;1,0,IF(AND('Asset Register'!M31&lt;&gt;"",YEAR('Asset Register'!M31)&lt;Settings!$B$5),0,INDEX('Schedule by Year'!$D31:$AD31,1,IF('Asset Register'!C31="",0,MAX(MIN(Settings!$B$5-YEAR('Asset Register'!C31)+1,27),0))))),0)</f>
        <v/>
      </c>
      <c r="G31" s="33">
        <f>IFERROR(IF(IF('Asset Register'!C31="",0,MAX(MIN(Settings!$B$5-YEAR('Asset Register'!C31)+1,27),0))&lt;=1,0,SUM(OFFSET('Schedule by Year'!$D31,0,0,1,IF('Asset Register'!C31="",0,MAX(MIN(Settings!$B$5-YEAR('Asset Register'!C31)+1,27),0))-1))),0)</f>
        <v/>
      </c>
      <c r="H31" s="34">
        <f>IF(Settings!$B$6="Schedule C (active)","Sch C, line 13",IF(Settings!$B$6="Schedule E (passive)","Sch E, line 18","Ask CPA"))</f>
        <v/>
      </c>
    </row>
    <row r="32" ht="17" customHeight="1">
      <c r="A32" s="37">
        <f>'Asset Register'!A32</f>
        <v/>
      </c>
      <c r="B32" s="34">
        <f>'Asset Register'!E32</f>
        <v/>
      </c>
      <c r="C32" s="40">
        <f>'Asset Register'!C32</f>
        <v/>
      </c>
      <c r="D32" s="33">
        <f>'Asset Register'!D32</f>
        <v/>
      </c>
      <c r="E32" s="33">
        <f>'Asset Register'!J32</f>
        <v/>
      </c>
      <c r="F32" s="41">
        <f>IFERROR(IF(IF('Asset Register'!C32="",0,MAX(MIN(Settings!$B$5-YEAR('Asset Register'!C32)+1,27),0))&lt;1,0,IF(AND('Asset Register'!M32&lt;&gt;"",YEAR('Asset Register'!M32)&lt;Settings!$B$5),0,INDEX('Schedule by Year'!$D32:$AD32,1,IF('Asset Register'!C32="",0,MAX(MIN(Settings!$B$5-YEAR('Asset Register'!C32)+1,27),0))))),0)</f>
        <v/>
      </c>
      <c r="G32" s="33">
        <f>IFERROR(IF(IF('Asset Register'!C32="",0,MAX(MIN(Settings!$B$5-YEAR('Asset Register'!C32)+1,27),0))&lt;=1,0,SUM(OFFSET('Schedule by Year'!$D32,0,0,1,IF('Asset Register'!C32="",0,MAX(MIN(Settings!$B$5-YEAR('Asset Register'!C32)+1,27),0))-1))),0)</f>
        <v/>
      </c>
      <c r="H32" s="34">
        <f>IF(Settings!$B$6="Schedule C (active)","Sch C, line 13",IF(Settings!$B$6="Schedule E (passive)","Sch E, line 18","Ask CPA"))</f>
        <v/>
      </c>
    </row>
    <row r="33" ht="17" customHeight="1">
      <c r="A33" s="37">
        <f>'Asset Register'!A33</f>
        <v/>
      </c>
      <c r="B33" s="34">
        <f>'Asset Register'!E33</f>
        <v/>
      </c>
      <c r="C33" s="40">
        <f>'Asset Register'!C33</f>
        <v/>
      </c>
      <c r="D33" s="33">
        <f>'Asset Register'!D33</f>
        <v/>
      </c>
      <c r="E33" s="33">
        <f>'Asset Register'!J33</f>
        <v/>
      </c>
      <c r="F33" s="41">
        <f>IFERROR(IF(IF('Asset Register'!C33="",0,MAX(MIN(Settings!$B$5-YEAR('Asset Register'!C33)+1,27),0))&lt;1,0,IF(AND('Asset Register'!M33&lt;&gt;"",YEAR('Asset Register'!M33)&lt;Settings!$B$5),0,INDEX('Schedule by Year'!$D33:$AD33,1,IF('Asset Register'!C33="",0,MAX(MIN(Settings!$B$5-YEAR('Asset Register'!C33)+1,27),0))))),0)</f>
        <v/>
      </c>
      <c r="G33" s="33">
        <f>IFERROR(IF(IF('Asset Register'!C33="",0,MAX(MIN(Settings!$B$5-YEAR('Asset Register'!C33)+1,27),0))&lt;=1,0,SUM(OFFSET('Schedule by Year'!$D33,0,0,1,IF('Asset Register'!C33="",0,MAX(MIN(Settings!$B$5-YEAR('Asset Register'!C33)+1,27),0))-1))),0)</f>
        <v/>
      </c>
      <c r="H33" s="34">
        <f>IF(Settings!$B$6="Schedule C (active)","Sch C, line 13",IF(Settings!$B$6="Schedule E (passive)","Sch E, line 18","Ask CPA"))</f>
        <v/>
      </c>
    </row>
    <row r="34" ht="17" customHeight="1">
      <c r="A34" s="37">
        <f>'Asset Register'!A34</f>
        <v/>
      </c>
      <c r="B34" s="34">
        <f>'Asset Register'!E34</f>
        <v/>
      </c>
      <c r="C34" s="40">
        <f>'Asset Register'!C34</f>
        <v/>
      </c>
      <c r="D34" s="33">
        <f>'Asset Register'!D34</f>
        <v/>
      </c>
      <c r="E34" s="33">
        <f>'Asset Register'!J34</f>
        <v/>
      </c>
      <c r="F34" s="41">
        <f>IFERROR(IF(IF('Asset Register'!C34="",0,MAX(MIN(Settings!$B$5-YEAR('Asset Register'!C34)+1,27),0))&lt;1,0,IF(AND('Asset Register'!M34&lt;&gt;"",YEAR('Asset Register'!M34)&lt;Settings!$B$5),0,INDEX('Schedule by Year'!$D34:$AD34,1,IF('Asset Register'!C34="",0,MAX(MIN(Settings!$B$5-YEAR('Asset Register'!C34)+1,27),0))))),0)</f>
        <v/>
      </c>
      <c r="G34" s="33">
        <f>IFERROR(IF(IF('Asset Register'!C34="",0,MAX(MIN(Settings!$B$5-YEAR('Asset Register'!C34)+1,27),0))&lt;=1,0,SUM(OFFSET('Schedule by Year'!$D34,0,0,1,IF('Asset Register'!C34="",0,MAX(MIN(Settings!$B$5-YEAR('Asset Register'!C34)+1,27),0))-1))),0)</f>
        <v/>
      </c>
      <c r="H34" s="34">
        <f>IF(Settings!$B$6="Schedule C (active)","Sch C, line 13",IF(Settings!$B$6="Schedule E (passive)","Sch E, line 18","Ask CPA"))</f>
        <v/>
      </c>
    </row>
    <row r="35" ht="17" customHeight="1">
      <c r="A35" s="37">
        <f>'Asset Register'!A35</f>
        <v/>
      </c>
      <c r="B35" s="34">
        <f>'Asset Register'!E35</f>
        <v/>
      </c>
      <c r="C35" s="40">
        <f>'Asset Register'!C35</f>
        <v/>
      </c>
      <c r="D35" s="33">
        <f>'Asset Register'!D35</f>
        <v/>
      </c>
      <c r="E35" s="33">
        <f>'Asset Register'!J35</f>
        <v/>
      </c>
      <c r="F35" s="41">
        <f>IFERROR(IF(IF('Asset Register'!C35="",0,MAX(MIN(Settings!$B$5-YEAR('Asset Register'!C35)+1,27),0))&lt;1,0,IF(AND('Asset Register'!M35&lt;&gt;"",YEAR('Asset Register'!M35)&lt;Settings!$B$5),0,INDEX('Schedule by Year'!$D35:$AD35,1,IF('Asset Register'!C35="",0,MAX(MIN(Settings!$B$5-YEAR('Asset Register'!C35)+1,27),0))))),0)</f>
        <v/>
      </c>
      <c r="G35" s="33">
        <f>IFERROR(IF(IF('Asset Register'!C35="",0,MAX(MIN(Settings!$B$5-YEAR('Asset Register'!C35)+1,27),0))&lt;=1,0,SUM(OFFSET('Schedule by Year'!$D35,0,0,1,IF('Asset Register'!C35="",0,MAX(MIN(Settings!$B$5-YEAR('Asset Register'!C35)+1,27),0))-1))),0)</f>
        <v/>
      </c>
      <c r="H35" s="34">
        <f>IF(Settings!$B$6="Schedule C (active)","Sch C, line 13",IF(Settings!$B$6="Schedule E (passive)","Sch E, line 18","Ask CPA"))</f>
        <v/>
      </c>
    </row>
    <row r="36" ht="17" customHeight="1">
      <c r="A36" s="37">
        <f>'Asset Register'!A36</f>
        <v/>
      </c>
      <c r="B36" s="34">
        <f>'Asset Register'!E36</f>
        <v/>
      </c>
      <c r="C36" s="40">
        <f>'Asset Register'!C36</f>
        <v/>
      </c>
      <c r="D36" s="33">
        <f>'Asset Register'!D36</f>
        <v/>
      </c>
      <c r="E36" s="33">
        <f>'Asset Register'!J36</f>
        <v/>
      </c>
      <c r="F36" s="41">
        <f>IFERROR(IF(IF('Asset Register'!C36="",0,MAX(MIN(Settings!$B$5-YEAR('Asset Register'!C36)+1,27),0))&lt;1,0,IF(AND('Asset Register'!M36&lt;&gt;"",YEAR('Asset Register'!M36)&lt;Settings!$B$5),0,INDEX('Schedule by Year'!$D36:$AD36,1,IF('Asset Register'!C36="",0,MAX(MIN(Settings!$B$5-YEAR('Asset Register'!C36)+1,27),0))))),0)</f>
        <v/>
      </c>
      <c r="G36" s="33">
        <f>IFERROR(IF(IF('Asset Register'!C36="",0,MAX(MIN(Settings!$B$5-YEAR('Asset Register'!C36)+1,27),0))&lt;=1,0,SUM(OFFSET('Schedule by Year'!$D36,0,0,1,IF('Asset Register'!C36="",0,MAX(MIN(Settings!$B$5-YEAR('Asset Register'!C36)+1,27),0))-1))),0)</f>
        <v/>
      </c>
      <c r="H36" s="34">
        <f>IF(Settings!$B$6="Schedule C (active)","Sch C, line 13",IF(Settings!$B$6="Schedule E (passive)","Sch E, line 18","Ask CPA"))</f>
        <v/>
      </c>
    </row>
    <row r="37" ht="17" customHeight="1">
      <c r="A37" s="37">
        <f>'Asset Register'!A37</f>
        <v/>
      </c>
      <c r="B37" s="34">
        <f>'Asset Register'!E37</f>
        <v/>
      </c>
      <c r="C37" s="40">
        <f>'Asset Register'!C37</f>
        <v/>
      </c>
      <c r="D37" s="33">
        <f>'Asset Register'!D37</f>
        <v/>
      </c>
      <c r="E37" s="33">
        <f>'Asset Register'!J37</f>
        <v/>
      </c>
      <c r="F37" s="41">
        <f>IFERROR(IF(IF('Asset Register'!C37="",0,MAX(MIN(Settings!$B$5-YEAR('Asset Register'!C37)+1,27),0))&lt;1,0,IF(AND('Asset Register'!M37&lt;&gt;"",YEAR('Asset Register'!M37)&lt;Settings!$B$5),0,INDEX('Schedule by Year'!$D37:$AD37,1,IF('Asset Register'!C37="",0,MAX(MIN(Settings!$B$5-YEAR('Asset Register'!C37)+1,27),0))))),0)</f>
        <v/>
      </c>
      <c r="G37" s="33">
        <f>IFERROR(IF(IF('Asset Register'!C37="",0,MAX(MIN(Settings!$B$5-YEAR('Asset Register'!C37)+1,27),0))&lt;=1,0,SUM(OFFSET('Schedule by Year'!$D37,0,0,1,IF('Asset Register'!C37="",0,MAX(MIN(Settings!$B$5-YEAR('Asset Register'!C37)+1,27),0))-1))),0)</f>
        <v/>
      </c>
      <c r="H37" s="34">
        <f>IF(Settings!$B$6="Schedule C (active)","Sch C, line 13",IF(Settings!$B$6="Schedule E (passive)","Sch E, line 18","Ask CPA"))</f>
        <v/>
      </c>
    </row>
    <row r="38" ht="17" customHeight="1">
      <c r="A38" s="37">
        <f>'Asset Register'!A38</f>
        <v/>
      </c>
      <c r="B38" s="34">
        <f>'Asset Register'!E38</f>
        <v/>
      </c>
      <c r="C38" s="40">
        <f>'Asset Register'!C38</f>
        <v/>
      </c>
      <c r="D38" s="33">
        <f>'Asset Register'!D38</f>
        <v/>
      </c>
      <c r="E38" s="33">
        <f>'Asset Register'!J38</f>
        <v/>
      </c>
      <c r="F38" s="41">
        <f>IFERROR(IF(IF('Asset Register'!C38="",0,MAX(MIN(Settings!$B$5-YEAR('Asset Register'!C38)+1,27),0))&lt;1,0,IF(AND('Asset Register'!M38&lt;&gt;"",YEAR('Asset Register'!M38)&lt;Settings!$B$5),0,INDEX('Schedule by Year'!$D38:$AD38,1,IF('Asset Register'!C38="",0,MAX(MIN(Settings!$B$5-YEAR('Asset Register'!C38)+1,27),0))))),0)</f>
        <v/>
      </c>
      <c r="G38" s="33">
        <f>IFERROR(IF(IF('Asset Register'!C38="",0,MAX(MIN(Settings!$B$5-YEAR('Asset Register'!C38)+1,27),0))&lt;=1,0,SUM(OFFSET('Schedule by Year'!$D38,0,0,1,IF('Asset Register'!C38="",0,MAX(MIN(Settings!$B$5-YEAR('Asset Register'!C38)+1,27),0))-1))),0)</f>
        <v/>
      </c>
      <c r="H38" s="34">
        <f>IF(Settings!$B$6="Schedule C (active)","Sch C, line 13",IF(Settings!$B$6="Schedule E (passive)","Sch E, line 18","Ask CPA"))</f>
        <v/>
      </c>
    </row>
    <row r="39" ht="17" customHeight="1">
      <c r="A39" s="37">
        <f>'Asset Register'!A39</f>
        <v/>
      </c>
      <c r="B39" s="34">
        <f>'Asset Register'!E39</f>
        <v/>
      </c>
      <c r="C39" s="40">
        <f>'Asset Register'!C39</f>
        <v/>
      </c>
      <c r="D39" s="33">
        <f>'Asset Register'!D39</f>
        <v/>
      </c>
      <c r="E39" s="33">
        <f>'Asset Register'!J39</f>
        <v/>
      </c>
      <c r="F39" s="41">
        <f>IFERROR(IF(IF('Asset Register'!C39="",0,MAX(MIN(Settings!$B$5-YEAR('Asset Register'!C39)+1,27),0))&lt;1,0,IF(AND('Asset Register'!M39&lt;&gt;"",YEAR('Asset Register'!M39)&lt;Settings!$B$5),0,INDEX('Schedule by Year'!$D39:$AD39,1,IF('Asset Register'!C39="",0,MAX(MIN(Settings!$B$5-YEAR('Asset Register'!C39)+1,27),0))))),0)</f>
        <v/>
      </c>
      <c r="G39" s="33">
        <f>IFERROR(IF(IF('Asset Register'!C39="",0,MAX(MIN(Settings!$B$5-YEAR('Asset Register'!C39)+1,27),0))&lt;=1,0,SUM(OFFSET('Schedule by Year'!$D39,0,0,1,IF('Asset Register'!C39="",0,MAX(MIN(Settings!$B$5-YEAR('Asset Register'!C39)+1,27),0))-1))),0)</f>
        <v/>
      </c>
      <c r="H39" s="34">
        <f>IF(Settings!$B$6="Schedule C (active)","Sch C, line 13",IF(Settings!$B$6="Schedule E (passive)","Sch E, line 18","Ask CPA"))</f>
        <v/>
      </c>
    </row>
    <row r="40" ht="17" customHeight="1">
      <c r="A40" s="37">
        <f>'Asset Register'!A40</f>
        <v/>
      </c>
      <c r="B40" s="34">
        <f>'Asset Register'!E40</f>
        <v/>
      </c>
      <c r="C40" s="40">
        <f>'Asset Register'!C40</f>
        <v/>
      </c>
      <c r="D40" s="33">
        <f>'Asset Register'!D40</f>
        <v/>
      </c>
      <c r="E40" s="33">
        <f>'Asset Register'!J40</f>
        <v/>
      </c>
      <c r="F40" s="41">
        <f>IFERROR(IF(IF('Asset Register'!C40="",0,MAX(MIN(Settings!$B$5-YEAR('Asset Register'!C40)+1,27),0))&lt;1,0,IF(AND('Asset Register'!M40&lt;&gt;"",YEAR('Asset Register'!M40)&lt;Settings!$B$5),0,INDEX('Schedule by Year'!$D40:$AD40,1,IF('Asset Register'!C40="",0,MAX(MIN(Settings!$B$5-YEAR('Asset Register'!C40)+1,27),0))))),0)</f>
        <v/>
      </c>
      <c r="G40" s="33">
        <f>IFERROR(IF(IF('Asset Register'!C40="",0,MAX(MIN(Settings!$B$5-YEAR('Asset Register'!C40)+1,27),0))&lt;=1,0,SUM(OFFSET('Schedule by Year'!$D40,0,0,1,IF('Asset Register'!C40="",0,MAX(MIN(Settings!$B$5-YEAR('Asset Register'!C40)+1,27),0))-1))),0)</f>
        <v/>
      </c>
      <c r="H40" s="34">
        <f>IF(Settings!$B$6="Schedule C (active)","Sch C, line 13",IF(Settings!$B$6="Schedule E (passive)","Sch E, line 18","Ask CPA"))</f>
        <v/>
      </c>
    </row>
    <row r="41" ht="17" customHeight="1">
      <c r="A41" s="37">
        <f>'Asset Register'!A41</f>
        <v/>
      </c>
      <c r="B41" s="34">
        <f>'Asset Register'!E41</f>
        <v/>
      </c>
      <c r="C41" s="40">
        <f>'Asset Register'!C41</f>
        <v/>
      </c>
      <c r="D41" s="33">
        <f>'Asset Register'!D41</f>
        <v/>
      </c>
      <c r="E41" s="33">
        <f>'Asset Register'!J41</f>
        <v/>
      </c>
      <c r="F41" s="41">
        <f>IFERROR(IF(IF('Asset Register'!C41="",0,MAX(MIN(Settings!$B$5-YEAR('Asset Register'!C41)+1,27),0))&lt;1,0,IF(AND('Asset Register'!M41&lt;&gt;"",YEAR('Asset Register'!M41)&lt;Settings!$B$5),0,INDEX('Schedule by Year'!$D41:$AD41,1,IF('Asset Register'!C41="",0,MAX(MIN(Settings!$B$5-YEAR('Asset Register'!C41)+1,27),0))))),0)</f>
        <v/>
      </c>
      <c r="G41" s="33">
        <f>IFERROR(IF(IF('Asset Register'!C41="",0,MAX(MIN(Settings!$B$5-YEAR('Asset Register'!C41)+1,27),0))&lt;=1,0,SUM(OFFSET('Schedule by Year'!$D41,0,0,1,IF('Asset Register'!C41="",0,MAX(MIN(Settings!$B$5-YEAR('Asset Register'!C41)+1,27),0))-1))),0)</f>
        <v/>
      </c>
      <c r="H41" s="34">
        <f>IF(Settings!$B$6="Schedule C (active)","Sch C, line 13",IF(Settings!$B$6="Schedule E (passive)","Sch E, line 18","Ask CPA"))</f>
        <v/>
      </c>
    </row>
    <row r="42" ht="17" customHeight="1">
      <c r="A42" s="37">
        <f>'Asset Register'!A42</f>
        <v/>
      </c>
      <c r="B42" s="34">
        <f>'Asset Register'!E42</f>
        <v/>
      </c>
      <c r="C42" s="40">
        <f>'Asset Register'!C42</f>
        <v/>
      </c>
      <c r="D42" s="33">
        <f>'Asset Register'!D42</f>
        <v/>
      </c>
      <c r="E42" s="33">
        <f>'Asset Register'!J42</f>
        <v/>
      </c>
      <c r="F42" s="41">
        <f>IFERROR(IF(IF('Asset Register'!C42="",0,MAX(MIN(Settings!$B$5-YEAR('Asset Register'!C42)+1,27),0))&lt;1,0,IF(AND('Asset Register'!M42&lt;&gt;"",YEAR('Asset Register'!M42)&lt;Settings!$B$5),0,INDEX('Schedule by Year'!$D42:$AD42,1,IF('Asset Register'!C42="",0,MAX(MIN(Settings!$B$5-YEAR('Asset Register'!C42)+1,27),0))))),0)</f>
        <v/>
      </c>
      <c r="G42" s="33">
        <f>IFERROR(IF(IF('Asset Register'!C42="",0,MAX(MIN(Settings!$B$5-YEAR('Asset Register'!C42)+1,27),0))&lt;=1,0,SUM(OFFSET('Schedule by Year'!$D42,0,0,1,IF('Asset Register'!C42="",0,MAX(MIN(Settings!$B$5-YEAR('Asset Register'!C42)+1,27),0))-1))),0)</f>
        <v/>
      </c>
      <c r="H42" s="34">
        <f>IF(Settings!$B$6="Schedule C (active)","Sch C, line 13",IF(Settings!$B$6="Schedule E (passive)","Sch E, line 18","Ask CPA"))</f>
        <v/>
      </c>
    </row>
    <row r="43" ht="17" customHeight="1">
      <c r="A43" s="37">
        <f>'Asset Register'!A43</f>
        <v/>
      </c>
      <c r="B43" s="34">
        <f>'Asset Register'!E43</f>
        <v/>
      </c>
      <c r="C43" s="40">
        <f>'Asset Register'!C43</f>
        <v/>
      </c>
      <c r="D43" s="33">
        <f>'Asset Register'!D43</f>
        <v/>
      </c>
      <c r="E43" s="33">
        <f>'Asset Register'!J43</f>
        <v/>
      </c>
      <c r="F43" s="41">
        <f>IFERROR(IF(IF('Asset Register'!C43="",0,MAX(MIN(Settings!$B$5-YEAR('Asset Register'!C43)+1,27),0))&lt;1,0,IF(AND('Asset Register'!M43&lt;&gt;"",YEAR('Asset Register'!M43)&lt;Settings!$B$5),0,INDEX('Schedule by Year'!$D43:$AD43,1,IF('Asset Register'!C43="",0,MAX(MIN(Settings!$B$5-YEAR('Asset Register'!C43)+1,27),0))))),0)</f>
        <v/>
      </c>
      <c r="G43" s="33">
        <f>IFERROR(IF(IF('Asset Register'!C43="",0,MAX(MIN(Settings!$B$5-YEAR('Asset Register'!C43)+1,27),0))&lt;=1,0,SUM(OFFSET('Schedule by Year'!$D43,0,0,1,IF('Asset Register'!C43="",0,MAX(MIN(Settings!$B$5-YEAR('Asset Register'!C43)+1,27),0))-1))),0)</f>
        <v/>
      </c>
      <c r="H43" s="34">
        <f>IF(Settings!$B$6="Schedule C (active)","Sch C, line 13",IF(Settings!$B$6="Schedule E (passive)","Sch E, line 18","Ask CPA"))</f>
        <v/>
      </c>
    </row>
    <row r="44" ht="17" customHeight="1">
      <c r="A44" s="37">
        <f>'Asset Register'!A44</f>
        <v/>
      </c>
      <c r="B44" s="34">
        <f>'Asset Register'!E44</f>
        <v/>
      </c>
      <c r="C44" s="40">
        <f>'Asset Register'!C44</f>
        <v/>
      </c>
      <c r="D44" s="33">
        <f>'Asset Register'!D44</f>
        <v/>
      </c>
      <c r="E44" s="33">
        <f>'Asset Register'!J44</f>
        <v/>
      </c>
      <c r="F44" s="41">
        <f>IFERROR(IF(IF('Asset Register'!C44="",0,MAX(MIN(Settings!$B$5-YEAR('Asset Register'!C44)+1,27),0))&lt;1,0,IF(AND('Asset Register'!M44&lt;&gt;"",YEAR('Asset Register'!M44)&lt;Settings!$B$5),0,INDEX('Schedule by Year'!$D44:$AD44,1,IF('Asset Register'!C44="",0,MAX(MIN(Settings!$B$5-YEAR('Asset Register'!C44)+1,27),0))))),0)</f>
        <v/>
      </c>
      <c r="G44" s="33">
        <f>IFERROR(IF(IF('Asset Register'!C44="",0,MAX(MIN(Settings!$B$5-YEAR('Asset Register'!C44)+1,27),0))&lt;=1,0,SUM(OFFSET('Schedule by Year'!$D44,0,0,1,IF('Asset Register'!C44="",0,MAX(MIN(Settings!$B$5-YEAR('Asset Register'!C44)+1,27),0))-1))),0)</f>
        <v/>
      </c>
      <c r="H44" s="34">
        <f>IF(Settings!$B$6="Schedule C (active)","Sch C, line 13",IF(Settings!$B$6="Schedule E (passive)","Sch E, line 18","Ask CPA"))</f>
        <v/>
      </c>
    </row>
    <row r="45" ht="17" customHeight="1">
      <c r="A45" s="37">
        <f>'Asset Register'!A45</f>
        <v/>
      </c>
      <c r="B45" s="34">
        <f>'Asset Register'!E45</f>
        <v/>
      </c>
      <c r="C45" s="40">
        <f>'Asset Register'!C45</f>
        <v/>
      </c>
      <c r="D45" s="33">
        <f>'Asset Register'!D45</f>
        <v/>
      </c>
      <c r="E45" s="33">
        <f>'Asset Register'!J45</f>
        <v/>
      </c>
      <c r="F45" s="41">
        <f>IFERROR(IF(IF('Asset Register'!C45="",0,MAX(MIN(Settings!$B$5-YEAR('Asset Register'!C45)+1,27),0))&lt;1,0,IF(AND('Asset Register'!M45&lt;&gt;"",YEAR('Asset Register'!M45)&lt;Settings!$B$5),0,INDEX('Schedule by Year'!$D45:$AD45,1,IF('Asset Register'!C45="",0,MAX(MIN(Settings!$B$5-YEAR('Asset Register'!C45)+1,27),0))))),0)</f>
        <v/>
      </c>
      <c r="G45" s="33">
        <f>IFERROR(IF(IF('Asset Register'!C45="",0,MAX(MIN(Settings!$B$5-YEAR('Asset Register'!C45)+1,27),0))&lt;=1,0,SUM(OFFSET('Schedule by Year'!$D45,0,0,1,IF('Asset Register'!C45="",0,MAX(MIN(Settings!$B$5-YEAR('Asset Register'!C45)+1,27),0))-1))),0)</f>
        <v/>
      </c>
      <c r="H45" s="34">
        <f>IF(Settings!$B$6="Schedule C (active)","Sch C, line 13",IF(Settings!$B$6="Schedule E (passive)","Sch E, line 18","Ask CPA"))</f>
        <v/>
      </c>
    </row>
    <row r="46" ht="17" customHeight="1">
      <c r="A46" s="37">
        <f>'Asset Register'!A46</f>
        <v/>
      </c>
      <c r="B46" s="34">
        <f>'Asset Register'!E46</f>
        <v/>
      </c>
      <c r="C46" s="40">
        <f>'Asset Register'!C46</f>
        <v/>
      </c>
      <c r="D46" s="33">
        <f>'Asset Register'!D46</f>
        <v/>
      </c>
      <c r="E46" s="33">
        <f>'Asset Register'!J46</f>
        <v/>
      </c>
      <c r="F46" s="41">
        <f>IFERROR(IF(IF('Asset Register'!C46="",0,MAX(MIN(Settings!$B$5-YEAR('Asset Register'!C46)+1,27),0))&lt;1,0,IF(AND('Asset Register'!M46&lt;&gt;"",YEAR('Asset Register'!M46)&lt;Settings!$B$5),0,INDEX('Schedule by Year'!$D46:$AD46,1,IF('Asset Register'!C46="",0,MAX(MIN(Settings!$B$5-YEAR('Asset Register'!C46)+1,27),0))))),0)</f>
        <v/>
      </c>
      <c r="G46" s="33">
        <f>IFERROR(IF(IF('Asset Register'!C46="",0,MAX(MIN(Settings!$B$5-YEAR('Asset Register'!C46)+1,27),0))&lt;=1,0,SUM(OFFSET('Schedule by Year'!$D46,0,0,1,IF('Asset Register'!C46="",0,MAX(MIN(Settings!$B$5-YEAR('Asset Register'!C46)+1,27),0))-1))),0)</f>
        <v/>
      </c>
      <c r="H46" s="34">
        <f>IF(Settings!$B$6="Schedule C (active)","Sch C, line 13",IF(Settings!$B$6="Schedule E (passive)","Sch E, line 18","Ask CPA"))</f>
        <v/>
      </c>
    </row>
    <row r="47" ht="17" customHeight="1">
      <c r="A47" s="37">
        <f>'Asset Register'!A47</f>
        <v/>
      </c>
      <c r="B47" s="34">
        <f>'Asset Register'!E47</f>
        <v/>
      </c>
      <c r="C47" s="40">
        <f>'Asset Register'!C47</f>
        <v/>
      </c>
      <c r="D47" s="33">
        <f>'Asset Register'!D47</f>
        <v/>
      </c>
      <c r="E47" s="33">
        <f>'Asset Register'!J47</f>
        <v/>
      </c>
      <c r="F47" s="41">
        <f>IFERROR(IF(IF('Asset Register'!C47="",0,MAX(MIN(Settings!$B$5-YEAR('Asset Register'!C47)+1,27),0))&lt;1,0,IF(AND('Asset Register'!M47&lt;&gt;"",YEAR('Asset Register'!M47)&lt;Settings!$B$5),0,INDEX('Schedule by Year'!$D47:$AD47,1,IF('Asset Register'!C47="",0,MAX(MIN(Settings!$B$5-YEAR('Asset Register'!C47)+1,27),0))))),0)</f>
        <v/>
      </c>
      <c r="G47" s="33">
        <f>IFERROR(IF(IF('Asset Register'!C47="",0,MAX(MIN(Settings!$B$5-YEAR('Asset Register'!C47)+1,27),0))&lt;=1,0,SUM(OFFSET('Schedule by Year'!$D47,0,0,1,IF('Asset Register'!C47="",0,MAX(MIN(Settings!$B$5-YEAR('Asset Register'!C47)+1,27),0))-1))),0)</f>
        <v/>
      </c>
      <c r="H47" s="34">
        <f>IF(Settings!$B$6="Schedule C (active)","Sch C, line 13",IF(Settings!$B$6="Schedule E (passive)","Sch E, line 18","Ask CPA"))</f>
        <v/>
      </c>
    </row>
    <row r="48" ht="17" customHeight="1">
      <c r="A48" s="37">
        <f>'Asset Register'!A48</f>
        <v/>
      </c>
      <c r="B48" s="34">
        <f>'Asset Register'!E48</f>
        <v/>
      </c>
      <c r="C48" s="40">
        <f>'Asset Register'!C48</f>
        <v/>
      </c>
      <c r="D48" s="33">
        <f>'Asset Register'!D48</f>
        <v/>
      </c>
      <c r="E48" s="33">
        <f>'Asset Register'!J48</f>
        <v/>
      </c>
      <c r="F48" s="41">
        <f>IFERROR(IF(IF('Asset Register'!C48="",0,MAX(MIN(Settings!$B$5-YEAR('Asset Register'!C48)+1,27),0))&lt;1,0,IF(AND('Asset Register'!M48&lt;&gt;"",YEAR('Asset Register'!M48)&lt;Settings!$B$5),0,INDEX('Schedule by Year'!$D48:$AD48,1,IF('Asset Register'!C48="",0,MAX(MIN(Settings!$B$5-YEAR('Asset Register'!C48)+1,27),0))))),0)</f>
        <v/>
      </c>
      <c r="G48" s="33">
        <f>IFERROR(IF(IF('Asset Register'!C48="",0,MAX(MIN(Settings!$B$5-YEAR('Asset Register'!C48)+1,27),0))&lt;=1,0,SUM(OFFSET('Schedule by Year'!$D48,0,0,1,IF('Asset Register'!C48="",0,MAX(MIN(Settings!$B$5-YEAR('Asset Register'!C48)+1,27),0))-1))),0)</f>
        <v/>
      </c>
      <c r="H48" s="34">
        <f>IF(Settings!$B$6="Schedule C (active)","Sch C, line 13",IF(Settings!$B$6="Schedule E (passive)","Sch E, line 18","Ask CPA"))</f>
        <v/>
      </c>
    </row>
    <row r="49" ht="17" customHeight="1">
      <c r="A49" s="37">
        <f>'Asset Register'!A49</f>
        <v/>
      </c>
      <c r="B49" s="34">
        <f>'Asset Register'!E49</f>
        <v/>
      </c>
      <c r="C49" s="40">
        <f>'Asset Register'!C49</f>
        <v/>
      </c>
      <c r="D49" s="33">
        <f>'Asset Register'!D49</f>
        <v/>
      </c>
      <c r="E49" s="33">
        <f>'Asset Register'!J49</f>
        <v/>
      </c>
      <c r="F49" s="41">
        <f>IFERROR(IF(IF('Asset Register'!C49="",0,MAX(MIN(Settings!$B$5-YEAR('Asset Register'!C49)+1,27),0))&lt;1,0,IF(AND('Asset Register'!M49&lt;&gt;"",YEAR('Asset Register'!M49)&lt;Settings!$B$5),0,INDEX('Schedule by Year'!$D49:$AD49,1,IF('Asset Register'!C49="",0,MAX(MIN(Settings!$B$5-YEAR('Asset Register'!C49)+1,27),0))))),0)</f>
        <v/>
      </c>
      <c r="G49" s="33">
        <f>IFERROR(IF(IF('Asset Register'!C49="",0,MAX(MIN(Settings!$B$5-YEAR('Asset Register'!C49)+1,27),0))&lt;=1,0,SUM(OFFSET('Schedule by Year'!$D49,0,0,1,IF('Asset Register'!C49="",0,MAX(MIN(Settings!$B$5-YEAR('Asset Register'!C49)+1,27),0))-1))),0)</f>
        <v/>
      </c>
      <c r="H49" s="34">
        <f>IF(Settings!$B$6="Schedule C (active)","Sch C, line 13",IF(Settings!$B$6="Schedule E (passive)","Sch E, line 18","Ask CPA"))</f>
        <v/>
      </c>
    </row>
    <row r="50" ht="17" customHeight="1">
      <c r="A50" s="37">
        <f>'Asset Register'!A50</f>
        <v/>
      </c>
      <c r="B50" s="34">
        <f>'Asset Register'!E50</f>
        <v/>
      </c>
      <c r="C50" s="40">
        <f>'Asset Register'!C50</f>
        <v/>
      </c>
      <c r="D50" s="33">
        <f>'Asset Register'!D50</f>
        <v/>
      </c>
      <c r="E50" s="33">
        <f>'Asset Register'!J50</f>
        <v/>
      </c>
      <c r="F50" s="41">
        <f>IFERROR(IF(IF('Asset Register'!C50="",0,MAX(MIN(Settings!$B$5-YEAR('Asset Register'!C50)+1,27),0))&lt;1,0,IF(AND('Asset Register'!M50&lt;&gt;"",YEAR('Asset Register'!M50)&lt;Settings!$B$5),0,INDEX('Schedule by Year'!$D50:$AD50,1,IF('Asset Register'!C50="",0,MAX(MIN(Settings!$B$5-YEAR('Asset Register'!C50)+1,27),0))))),0)</f>
        <v/>
      </c>
      <c r="G50" s="33">
        <f>IFERROR(IF(IF('Asset Register'!C50="",0,MAX(MIN(Settings!$B$5-YEAR('Asset Register'!C50)+1,27),0))&lt;=1,0,SUM(OFFSET('Schedule by Year'!$D50,0,0,1,IF('Asset Register'!C50="",0,MAX(MIN(Settings!$B$5-YEAR('Asset Register'!C50)+1,27),0))-1))),0)</f>
        <v/>
      </c>
      <c r="H50" s="34">
        <f>IF(Settings!$B$6="Schedule C (active)","Sch C, line 13",IF(Settings!$B$6="Schedule E (passive)","Sch E, line 18","Ask CPA"))</f>
        <v/>
      </c>
    </row>
    <row r="51" ht="17" customHeight="1">
      <c r="A51" s="37">
        <f>'Asset Register'!A51</f>
        <v/>
      </c>
      <c r="B51" s="34">
        <f>'Asset Register'!E51</f>
        <v/>
      </c>
      <c r="C51" s="40">
        <f>'Asset Register'!C51</f>
        <v/>
      </c>
      <c r="D51" s="33">
        <f>'Asset Register'!D51</f>
        <v/>
      </c>
      <c r="E51" s="33">
        <f>'Asset Register'!J51</f>
        <v/>
      </c>
      <c r="F51" s="41">
        <f>IFERROR(IF(IF('Asset Register'!C51="",0,MAX(MIN(Settings!$B$5-YEAR('Asset Register'!C51)+1,27),0))&lt;1,0,IF(AND('Asset Register'!M51&lt;&gt;"",YEAR('Asset Register'!M51)&lt;Settings!$B$5),0,INDEX('Schedule by Year'!$D51:$AD51,1,IF('Asset Register'!C51="",0,MAX(MIN(Settings!$B$5-YEAR('Asset Register'!C51)+1,27),0))))),0)</f>
        <v/>
      </c>
      <c r="G51" s="33">
        <f>IFERROR(IF(IF('Asset Register'!C51="",0,MAX(MIN(Settings!$B$5-YEAR('Asset Register'!C51)+1,27),0))&lt;=1,0,SUM(OFFSET('Schedule by Year'!$D51,0,0,1,IF('Asset Register'!C51="",0,MAX(MIN(Settings!$B$5-YEAR('Asset Register'!C51)+1,27),0))-1))),0)</f>
        <v/>
      </c>
      <c r="H51" s="34">
        <f>IF(Settings!$B$6="Schedule C (active)","Sch C, line 13",IF(Settings!$B$6="Schedule E (passive)","Sch E, line 18","Ask CPA"))</f>
        <v/>
      </c>
    </row>
    <row r="52" ht="17" customHeight="1">
      <c r="A52" s="37">
        <f>'Asset Register'!A52</f>
        <v/>
      </c>
      <c r="B52" s="34">
        <f>'Asset Register'!E52</f>
        <v/>
      </c>
      <c r="C52" s="40">
        <f>'Asset Register'!C52</f>
        <v/>
      </c>
      <c r="D52" s="33">
        <f>'Asset Register'!D52</f>
        <v/>
      </c>
      <c r="E52" s="33">
        <f>'Asset Register'!J52</f>
        <v/>
      </c>
      <c r="F52" s="41">
        <f>IFERROR(IF(IF('Asset Register'!C52="",0,MAX(MIN(Settings!$B$5-YEAR('Asset Register'!C52)+1,27),0))&lt;1,0,IF(AND('Asset Register'!M52&lt;&gt;"",YEAR('Asset Register'!M52)&lt;Settings!$B$5),0,INDEX('Schedule by Year'!$D52:$AD52,1,IF('Asset Register'!C52="",0,MAX(MIN(Settings!$B$5-YEAR('Asset Register'!C52)+1,27),0))))),0)</f>
        <v/>
      </c>
      <c r="G52" s="33">
        <f>IFERROR(IF(IF('Asset Register'!C52="",0,MAX(MIN(Settings!$B$5-YEAR('Asset Register'!C52)+1,27),0))&lt;=1,0,SUM(OFFSET('Schedule by Year'!$D52,0,0,1,IF('Asset Register'!C52="",0,MAX(MIN(Settings!$B$5-YEAR('Asset Register'!C52)+1,27),0))-1))),0)</f>
        <v/>
      </c>
      <c r="H52" s="34">
        <f>IF(Settings!$B$6="Schedule C (active)","Sch C, line 13",IF(Settings!$B$6="Schedule E (passive)","Sch E, line 18","Ask CPA"))</f>
        <v/>
      </c>
    </row>
    <row r="53" ht="17" customHeight="1">
      <c r="A53" s="37">
        <f>'Asset Register'!A53</f>
        <v/>
      </c>
      <c r="B53" s="34">
        <f>'Asset Register'!E53</f>
        <v/>
      </c>
      <c r="C53" s="40">
        <f>'Asset Register'!C53</f>
        <v/>
      </c>
      <c r="D53" s="33">
        <f>'Asset Register'!D53</f>
        <v/>
      </c>
      <c r="E53" s="33">
        <f>'Asset Register'!J53</f>
        <v/>
      </c>
      <c r="F53" s="41">
        <f>IFERROR(IF(IF('Asset Register'!C53="",0,MAX(MIN(Settings!$B$5-YEAR('Asset Register'!C53)+1,27),0))&lt;1,0,IF(AND('Asset Register'!M53&lt;&gt;"",YEAR('Asset Register'!M53)&lt;Settings!$B$5),0,INDEX('Schedule by Year'!$D53:$AD53,1,IF('Asset Register'!C53="",0,MAX(MIN(Settings!$B$5-YEAR('Asset Register'!C53)+1,27),0))))),0)</f>
        <v/>
      </c>
      <c r="G53" s="33">
        <f>IFERROR(IF(IF('Asset Register'!C53="",0,MAX(MIN(Settings!$B$5-YEAR('Asset Register'!C53)+1,27),0))&lt;=1,0,SUM(OFFSET('Schedule by Year'!$D53,0,0,1,IF('Asset Register'!C53="",0,MAX(MIN(Settings!$B$5-YEAR('Asset Register'!C53)+1,27),0))-1))),0)</f>
        <v/>
      </c>
      <c r="H53" s="34">
        <f>IF(Settings!$B$6="Schedule C (active)","Sch C, line 13",IF(Settings!$B$6="Schedule E (passive)","Sch E, line 18","Ask CPA"))</f>
        <v/>
      </c>
    </row>
    <row r="54" ht="17" customHeight="1">
      <c r="A54" s="37">
        <f>'Asset Register'!A54</f>
        <v/>
      </c>
      <c r="B54" s="34">
        <f>'Asset Register'!E54</f>
        <v/>
      </c>
      <c r="C54" s="40">
        <f>'Asset Register'!C54</f>
        <v/>
      </c>
      <c r="D54" s="33">
        <f>'Asset Register'!D54</f>
        <v/>
      </c>
      <c r="E54" s="33">
        <f>'Asset Register'!J54</f>
        <v/>
      </c>
      <c r="F54" s="41">
        <f>IFERROR(IF(IF('Asset Register'!C54="",0,MAX(MIN(Settings!$B$5-YEAR('Asset Register'!C54)+1,27),0))&lt;1,0,IF(AND('Asset Register'!M54&lt;&gt;"",YEAR('Asset Register'!M54)&lt;Settings!$B$5),0,INDEX('Schedule by Year'!$D54:$AD54,1,IF('Asset Register'!C54="",0,MAX(MIN(Settings!$B$5-YEAR('Asset Register'!C54)+1,27),0))))),0)</f>
        <v/>
      </c>
      <c r="G54" s="33">
        <f>IFERROR(IF(IF('Asset Register'!C54="",0,MAX(MIN(Settings!$B$5-YEAR('Asset Register'!C54)+1,27),0))&lt;=1,0,SUM(OFFSET('Schedule by Year'!$D54,0,0,1,IF('Asset Register'!C54="",0,MAX(MIN(Settings!$B$5-YEAR('Asset Register'!C54)+1,27),0))-1))),0)</f>
        <v/>
      </c>
      <c r="H54" s="34">
        <f>IF(Settings!$B$6="Schedule C (active)","Sch C, line 13",IF(Settings!$B$6="Schedule E (passive)","Sch E, line 18","Ask CPA"))</f>
        <v/>
      </c>
    </row>
    <row r="55" ht="17" customHeight="1">
      <c r="A55" s="37">
        <f>'Asset Register'!A55</f>
        <v/>
      </c>
      <c r="B55" s="34">
        <f>'Asset Register'!E55</f>
        <v/>
      </c>
      <c r="C55" s="40">
        <f>'Asset Register'!C55</f>
        <v/>
      </c>
      <c r="D55" s="33">
        <f>'Asset Register'!D55</f>
        <v/>
      </c>
      <c r="E55" s="33">
        <f>'Asset Register'!J55</f>
        <v/>
      </c>
      <c r="F55" s="41">
        <f>IFERROR(IF(IF('Asset Register'!C55="",0,MAX(MIN(Settings!$B$5-YEAR('Asset Register'!C55)+1,27),0))&lt;1,0,IF(AND('Asset Register'!M55&lt;&gt;"",YEAR('Asset Register'!M55)&lt;Settings!$B$5),0,INDEX('Schedule by Year'!$D55:$AD55,1,IF('Asset Register'!C55="",0,MAX(MIN(Settings!$B$5-YEAR('Asset Register'!C55)+1,27),0))))),0)</f>
        <v/>
      </c>
      <c r="G55" s="33">
        <f>IFERROR(IF(IF('Asset Register'!C55="",0,MAX(MIN(Settings!$B$5-YEAR('Asset Register'!C55)+1,27),0))&lt;=1,0,SUM(OFFSET('Schedule by Year'!$D55,0,0,1,IF('Asset Register'!C55="",0,MAX(MIN(Settings!$B$5-YEAR('Asset Register'!C55)+1,27),0))-1))),0)</f>
        <v/>
      </c>
      <c r="H55" s="34">
        <f>IF(Settings!$B$6="Schedule C (active)","Sch C, line 13",IF(Settings!$B$6="Schedule E (passive)","Sch E, line 18","Ask CPA"))</f>
        <v/>
      </c>
    </row>
    <row r="56" ht="17" customHeight="1">
      <c r="A56" s="37">
        <f>'Asset Register'!A56</f>
        <v/>
      </c>
      <c r="B56" s="34">
        <f>'Asset Register'!E56</f>
        <v/>
      </c>
      <c r="C56" s="40">
        <f>'Asset Register'!C56</f>
        <v/>
      </c>
      <c r="D56" s="33">
        <f>'Asset Register'!D56</f>
        <v/>
      </c>
      <c r="E56" s="33">
        <f>'Asset Register'!J56</f>
        <v/>
      </c>
      <c r="F56" s="41">
        <f>IFERROR(IF(IF('Asset Register'!C56="",0,MAX(MIN(Settings!$B$5-YEAR('Asset Register'!C56)+1,27),0))&lt;1,0,IF(AND('Asset Register'!M56&lt;&gt;"",YEAR('Asset Register'!M56)&lt;Settings!$B$5),0,INDEX('Schedule by Year'!$D56:$AD56,1,IF('Asset Register'!C56="",0,MAX(MIN(Settings!$B$5-YEAR('Asset Register'!C56)+1,27),0))))),0)</f>
        <v/>
      </c>
      <c r="G56" s="33">
        <f>IFERROR(IF(IF('Asset Register'!C56="",0,MAX(MIN(Settings!$B$5-YEAR('Asset Register'!C56)+1,27),0))&lt;=1,0,SUM(OFFSET('Schedule by Year'!$D56,0,0,1,IF('Asset Register'!C56="",0,MAX(MIN(Settings!$B$5-YEAR('Asset Register'!C56)+1,27),0))-1))),0)</f>
        <v/>
      </c>
      <c r="H56" s="34">
        <f>IF(Settings!$B$6="Schedule C (active)","Sch C, line 13",IF(Settings!$B$6="Schedule E (passive)","Sch E, line 18","Ask CPA"))</f>
        <v/>
      </c>
    </row>
    <row r="57" ht="17" customHeight="1">
      <c r="A57" s="37">
        <f>'Asset Register'!A57</f>
        <v/>
      </c>
      <c r="B57" s="34">
        <f>'Asset Register'!E57</f>
        <v/>
      </c>
      <c r="C57" s="40">
        <f>'Asset Register'!C57</f>
        <v/>
      </c>
      <c r="D57" s="33">
        <f>'Asset Register'!D57</f>
        <v/>
      </c>
      <c r="E57" s="33">
        <f>'Asset Register'!J57</f>
        <v/>
      </c>
      <c r="F57" s="41">
        <f>IFERROR(IF(IF('Asset Register'!C57="",0,MAX(MIN(Settings!$B$5-YEAR('Asset Register'!C57)+1,27),0))&lt;1,0,IF(AND('Asset Register'!M57&lt;&gt;"",YEAR('Asset Register'!M57)&lt;Settings!$B$5),0,INDEX('Schedule by Year'!$D57:$AD57,1,IF('Asset Register'!C57="",0,MAX(MIN(Settings!$B$5-YEAR('Asset Register'!C57)+1,27),0))))),0)</f>
        <v/>
      </c>
      <c r="G57" s="33">
        <f>IFERROR(IF(IF('Asset Register'!C57="",0,MAX(MIN(Settings!$B$5-YEAR('Asset Register'!C57)+1,27),0))&lt;=1,0,SUM(OFFSET('Schedule by Year'!$D57,0,0,1,IF('Asset Register'!C57="",0,MAX(MIN(Settings!$B$5-YEAR('Asset Register'!C57)+1,27),0))-1))),0)</f>
        <v/>
      </c>
      <c r="H57" s="34">
        <f>IF(Settings!$B$6="Schedule C (active)","Sch C, line 13",IF(Settings!$B$6="Schedule E (passive)","Sch E, line 18","Ask CPA"))</f>
        <v/>
      </c>
    </row>
    <row r="58" ht="17" customHeight="1">
      <c r="A58" s="37">
        <f>'Asset Register'!A58</f>
        <v/>
      </c>
      <c r="B58" s="34">
        <f>'Asset Register'!E58</f>
        <v/>
      </c>
      <c r="C58" s="40">
        <f>'Asset Register'!C58</f>
        <v/>
      </c>
      <c r="D58" s="33">
        <f>'Asset Register'!D58</f>
        <v/>
      </c>
      <c r="E58" s="33">
        <f>'Asset Register'!J58</f>
        <v/>
      </c>
      <c r="F58" s="41">
        <f>IFERROR(IF(IF('Asset Register'!C58="",0,MAX(MIN(Settings!$B$5-YEAR('Asset Register'!C58)+1,27),0))&lt;1,0,IF(AND('Asset Register'!M58&lt;&gt;"",YEAR('Asset Register'!M58)&lt;Settings!$B$5),0,INDEX('Schedule by Year'!$D58:$AD58,1,IF('Asset Register'!C58="",0,MAX(MIN(Settings!$B$5-YEAR('Asset Register'!C58)+1,27),0))))),0)</f>
        <v/>
      </c>
      <c r="G58" s="33">
        <f>IFERROR(IF(IF('Asset Register'!C58="",0,MAX(MIN(Settings!$B$5-YEAR('Asset Register'!C58)+1,27),0))&lt;=1,0,SUM(OFFSET('Schedule by Year'!$D58,0,0,1,IF('Asset Register'!C58="",0,MAX(MIN(Settings!$B$5-YEAR('Asset Register'!C58)+1,27),0))-1))),0)</f>
        <v/>
      </c>
      <c r="H58" s="34">
        <f>IF(Settings!$B$6="Schedule C (active)","Sch C, line 13",IF(Settings!$B$6="Schedule E (passive)","Sch E, line 18","Ask CPA"))</f>
        <v/>
      </c>
    </row>
    <row r="59" ht="17" customHeight="1">
      <c r="A59" s="37">
        <f>'Asset Register'!A59</f>
        <v/>
      </c>
      <c r="B59" s="34">
        <f>'Asset Register'!E59</f>
        <v/>
      </c>
      <c r="C59" s="40">
        <f>'Asset Register'!C59</f>
        <v/>
      </c>
      <c r="D59" s="33">
        <f>'Asset Register'!D59</f>
        <v/>
      </c>
      <c r="E59" s="33">
        <f>'Asset Register'!J59</f>
        <v/>
      </c>
      <c r="F59" s="41">
        <f>IFERROR(IF(IF('Asset Register'!C59="",0,MAX(MIN(Settings!$B$5-YEAR('Asset Register'!C59)+1,27),0))&lt;1,0,IF(AND('Asset Register'!M59&lt;&gt;"",YEAR('Asset Register'!M59)&lt;Settings!$B$5),0,INDEX('Schedule by Year'!$D59:$AD59,1,IF('Asset Register'!C59="",0,MAX(MIN(Settings!$B$5-YEAR('Asset Register'!C59)+1,27),0))))),0)</f>
        <v/>
      </c>
      <c r="G59" s="33">
        <f>IFERROR(IF(IF('Asset Register'!C59="",0,MAX(MIN(Settings!$B$5-YEAR('Asset Register'!C59)+1,27),0))&lt;=1,0,SUM(OFFSET('Schedule by Year'!$D59,0,0,1,IF('Asset Register'!C59="",0,MAX(MIN(Settings!$B$5-YEAR('Asset Register'!C59)+1,27),0))-1))),0)</f>
        <v/>
      </c>
      <c r="H59" s="34">
        <f>IF(Settings!$B$6="Schedule C (active)","Sch C, line 13",IF(Settings!$B$6="Schedule E (passive)","Sch E, line 18","Ask CPA"))</f>
        <v/>
      </c>
    </row>
    <row r="60" ht="17" customHeight="1">
      <c r="A60" s="37">
        <f>'Asset Register'!A60</f>
        <v/>
      </c>
      <c r="B60" s="34">
        <f>'Asset Register'!E60</f>
        <v/>
      </c>
      <c r="C60" s="40">
        <f>'Asset Register'!C60</f>
        <v/>
      </c>
      <c r="D60" s="33">
        <f>'Asset Register'!D60</f>
        <v/>
      </c>
      <c r="E60" s="33">
        <f>'Asset Register'!J60</f>
        <v/>
      </c>
      <c r="F60" s="41">
        <f>IFERROR(IF(IF('Asset Register'!C60="",0,MAX(MIN(Settings!$B$5-YEAR('Asset Register'!C60)+1,27),0))&lt;1,0,IF(AND('Asset Register'!M60&lt;&gt;"",YEAR('Asset Register'!M60)&lt;Settings!$B$5),0,INDEX('Schedule by Year'!$D60:$AD60,1,IF('Asset Register'!C60="",0,MAX(MIN(Settings!$B$5-YEAR('Asset Register'!C60)+1,27),0))))),0)</f>
        <v/>
      </c>
      <c r="G60" s="33">
        <f>IFERROR(IF(IF('Asset Register'!C60="",0,MAX(MIN(Settings!$B$5-YEAR('Asset Register'!C60)+1,27),0))&lt;=1,0,SUM(OFFSET('Schedule by Year'!$D60,0,0,1,IF('Asset Register'!C60="",0,MAX(MIN(Settings!$B$5-YEAR('Asset Register'!C60)+1,27),0))-1))),0)</f>
        <v/>
      </c>
      <c r="H60" s="34">
        <f>IF(Settings!$B$6="Schedule C (active)","Sch C, line 13",IF(Settings!$B$6="Schedule E (passive)","Sch E, line 18","Ask CPA"))</f>
        <v/>
      </c>
    </row>
    <row r="61" ht="17" customHeight="1">
      <c r="A61" s="37">
        <f>'Asset Register'!A61</f>
        <v/>
      </c>
      <c r="B61" s="34">
        <f>'Asset Register'!E61</f>
        <v/>
      </c>
      <c r="C61" s="40">
        <f>'Asset Register'!C61</f>
        <v/>
      </c>
      <c r="D61" s="33">
        <f>'Asset Register'!D61</f>
        <v/>
      </c>
      <c r="E61" s="33">
        <f>'Asset Register'!J61</f>
        <v/>
      </c>
      <c r="F61" s="41">
        <f>IFERROR(IF(IF('Asset Register'!C61="",0,MAX(MIN(Settings!$B$5-YEAR('Asset Register'!C61)+1,27),0))&lt;1,0,IF(AND('Asset Register'!M61&lt;&gt;"",YEAR('Asset Register'!M61)&lt;Settings!$B$5),0,INDEX('Schedule by Year'!$D61:$AD61,1,IF('Asset Register'!C61="",0,MAX(MIN(Settings!$B$5-YEAR('Asset Register'!C61)+1,27),0))))),0)</f>
        <v/>
      </c>
      <c r="G61" s="33">
        <f>IFERROR(IF(IF('Asset Register'!C61="",0,MAX(MIN(Settings!$B$5-YEAR('Asset Register'!C61)+1,27),0))&lt;=1,0,SUM(OFFSET('Schedule by Year'!$D61,0,0,1,IF('Asset Register'!C61="",0,MAX(MIN(Settings!$B$5-YEAR('Asset Register'!C61)+1,27),0))-1))),0)</f>
        <v/>
      </c>
      <c r="H61" s="34">
        <f>IF(Settings!$B$6="Schedule C (active)","Sch C, line 13",IF(Settings!$B$6="Schedule E (passive)","Sch E, line 18","Ask CPA"))</f>
        <v/>
      </c>
    </row>
    <row r="62" ht="17" customHeight="1">
      <c r="A62" s="37">
        <f>'Asset Register'!A62</f>
        <v/>
      </c>
      <c r="B62" s="34">
        <f>'Asset Register'!E62</f>
        <v/>
      </c>
      <c r="C62" s="40">
        <f>'Asset Register'!C62</f>
        <v/>
      </c>
      <c r="D62" s="33">
        <f>'Asset Register'!D62</f>
        <v/>
      </c>
      <c r="E62" s="33">
        <f>'Asset Register'!J62</f>
        <v/>
      </c>
      <c r="F62" s="41">
        <f>IFERROR(IF(IF('Asset Register'!C62="",0,MAX(MIN(Settings!$B$5-YEAR('Asset Register'!C62)+1,27),0))&lt;1,0,IF(AND('Asset Register'!M62&lt;&gt;"",YEAR('Asset Register'!M62)&lt;Settings!$B$5),0,INDEX('Schedule by Year'!$D62:$AD62,1,IF('Asset Register'!C62="",0,MAX(MIN(Settings!$B$5-YEAR('Asset Register'!C62)+1,27),0))))),0)</f>
        <v/>
      </c>
      <c r="G62" s="33">
        <f>IFERROR(IF(IF('Asset Register'!C62="",0,MAX(MIN(Settings!$B$5-YEAR('Asset Register'!C62)+1,27),0))&lt;=1,0,SUM(OFFSET('Schedule by Year'!$D62,0,0,1,IF('Asset Register'!C62="",0,MAX(MIN(Settings!$B$5-YEAR('Asset Register'!C62)+1,27),0))-1))),0)</f>
        <v/>
      </c>
      <c r="H62" s="34">
        <f>IF(Settings!$B$6="Schedule C (active)","Sch C, line 13",IF(Settings!$B$6="Schedule E (passive)","Sch E, line 18","Ask CPA"))</f>
        <v/>
      </c>
    </row>
    <row r="63" ht="17" customHeight="1">
      <c r="A63" s="37">
        <f>'Asset Register'!A63</f>
        <v/>
      </c>
      <c r="B63" s="34">
        <f>'Asset Register'!E63</f>
        <v/>
      </c>
      <c r="C63" s="40">
        <f>'Asset Register'!C63</f>
        <v/>
      </c>
      <c r="D63" s="33">
        <f>'Asset Register'!D63</f>
        <v/>
      </c>
      <c r="E63" s="33">
        <f>'Asset Register'!J63</f>
        <v/>
      </c>
      <c r="F63" s="41">
        <f>IFERROR(IF(IF('Asset Register'!C63="",0,MAX(MIN(Settings!$B$5-YEAR('Asset Register'!C63)+1,27),0))&lt;1,0,IF(AND('Asset Register'!M63&lt;&gt;"",YEAR('Asset Register'!M63)&lt;Settings!$B$5),0,INDEX('Schedule by Year'!$D63:$AD63,1,IF('Asset Register'!C63="",0,MAX(MIN(Settings!$B$5-YEAR('Asset Register'!C63)+1,27),0))))),0)</f>
        <v/>
      </c>
      <c r="G63" s="33">
        <f>IFERROR(IF(IF('Asset Register'!C63="",0,MAX(MIN(Settings!$B$5-YEAR('Asset Register'!C63)+1,27),0))&lt;=1,0,SUM(OFFSET('Schedule by Year'!$D63,0,0,1,IF('Asset Register'!C63="",0,MAX(MIN(Settings!$B$5-YEAR('Asset Register'!C63)+1,27),0))-1))),0)</f>
        <v/>
      </c>
      <c r="H63" s="34">
        <f>IF(Settings!$B$6="Schedule C (active)","Sch C, line 13",IF(Settings!$B$6="Schedule E (passive)","Sch E, line 18","Ask CPA"))</f>
        <v/>
      </c>
    </row>
    <row r="64" ht="17" customHeight="1">
      <c r="A64" s="37">
        <f>'Asset Register'!A64</f>
        <v/>
      </c>
      <c r="B64" s="34">
        <f>'Asset Register'!E64</f>
        <v/>
      </c>
      <c r="C64" s="40">
        <f>'Asset Register'!C64</f>
        <v/>
      </c>
      <c r="D64" s="33">
        <f>'Asset Register'!D64</f>
        <v/>
      </c>
      <c r="E64" s="33">
        <f>'Asset Register'!J64</f>
        <v/>
      </c>
      <c r="F64" s="41">
        <f>IFERROR(IF(IF('Asset Register'!C64="",0,MAX(MIN(Settings!$B$5-YEAR('Asset Register'!C64)+1,27),0))&lt;1,0,IF(AND('Asset Register'!M64&lt;&gt;"",YEAR('Asset Register'!M64)&lt;Settings!$B$5),0,INDEX('Schedule by Year'!$D64:$AD64,1,IF('Asset Register'!C64="",0,MAX(MIN(Settings!$B$5-YEAR('Asset Register'!C64)+1,27),0))))),0)</f>
        <v/>
      </c>
      <c r="G64" s="33">
        <f>IFERROR(IF(IF('Asset Register'!C64="",0,MAX(MIN(Settings!$B$5-YEAR('Asset Register'!C64)+1,27),0))&lt;=1,0,SUM(OFFSET('Schedule by Year'!$D64,0,0,1,IF('Asset Register'!C64="",0,MAX(MIN(Settings!$B$5-YEAR('Asset Register'!C64)+1,27),0))-1))),0)</f>
        <v/>
      </c>
      <c r="H64" s="34">
        <f>IF(Settings!$B$6="Schedule C (active)","Sch C, line 13",IF(Settings!$B$6="Schedule E (passive)","Sch E, line 18","Ask CPA"))</f>
        <v/>
      </c>
    </row>
    <row r="65" ht="17" customHeight="1">
      <c r="A65" s="37">
        <f>'Asset Register'!A65</f>
        <v/>
      </c>
      <c r="B65" s="34">
        <f>'Asset Register'!E65</f>
        <v/>
      </c>
      <c r="C65" s="40">
        <f>'Asset Register'!C65</f>
        <v/>
      </c>
      <c r="D65" s="33">
        <f>'Asset Register'!D65</f>
        <v/>
      </c>
      <c r="E65" s="33">
        <f>'Asset Register'!J65</f>
        <v/>
      </c>
      <c r="F65" s="41">
        <f>IFERROR(IF(IF('Asset Register'!C65="",0,MAX(MIN(Settings!$B$5-YEAR('Asset Register'!C65)+1,27),0))&lt;1,0,IF(AND('Asset Register'!M65&lt;&gt;"",YEAR('Asset Register'!M65)&lt;Settings!$B$5),0,INDEX('Schedule by Year'!$D65:$AD65,1,IF('Asset Register'!C65="",0,MAX(MIN(Settings!$B$5-YEAR('Asset Register'!C65)+1,27),0))))),0)</f>
        <v/>
      </c>
      <c r="G65" s="33">
        <f>IFERROR(IF(IF('Asset Register'!C65="",0,MAX(MIN(Settings!$B$5-YEAR('Asset Register'!C65)+1,27),0))&lt;=1,0,SUM(OFFSET('Schedule by Year'!$D65,0,0,1,IF('Asset Register'!C65="",0,MAX(MIN(Settings!$B$5-YEAR('Asset Register'!C65)+1,27),0))-1))),0)</f>
        <v/>
      </c>
      <c r="H65" s="34">
        <f>IF(Settings!$B$6="Schedule C (active)","Sch C, line 13",IF(Settings!$B$6="Schedule E (passive)","Sch E, line 18","Ask CPA"))</f>
        <v/>
      </c>
    </row>
    <row r="66" ht="17" customHeight="1">
      <c r="A66" s="37">
        <f>'Asset Register'!A66</f>
        <v/>
      </c>
      <c r="B66" s="34">
        <f>'Asset Register'!E66</f>
        <v/>
      </c>
      <c r="C66" s="40">
        <f>'Asset Register'!C66</f>
        <v/>
      </c>
      <c r="D66" s="33">
        <f>'Asset Register'!D66</f>
        <v/>
      </c>
      <c r="E66" s="33">
        <f>'Asset Register'!J66</f>
        <v/>
      </c>
      <c r="F66" s="41">
        <f>IFERROR(IF(IF('Asset Register'!C66="",0,MAX(MIN(Settings!$B$5-YEAR('Asset Register'!C66)+1,27),0))&lt;1,0,IF(AND('Asset Register'!M66&lt;&gt;"",YEAR('Asset Register'!M66)&lt;Settings!$B$5),0,INDEX('Schedule by Year'!$D66:$AD66,1,IF('Asset Register'!C66="",0,MAX(MIN(Settings!$B$5-YEAR('Asset Register'!C66)+1,27),0))))),0)</f>
        <v/>
      </c>
      <c r="G66" s="33">
        <f>IFERROR(IF(IF('Asset Register'!C66="",0,MAX(MIN(Settings!$B$5-YEAR('Asset Register'!C66)+1,27),0))&lt;=1,0,SUM(OFFSET('Schedule by Year'!$D66,0,0,1,IF('Asset Register'!C66="",0,MAX(MIN(Settings!$B$5-YEAR('Asset Register'!C66)+1,27),0))-1))),0)</f>
        <v/>
      </c>
      <c r="H66" s="34">
        <f>IF(Settings!$B$6="Schedule C (active)","Sch C, line 13",IF(Settings!$B$6="Schedule E (passive)","Sch E, line 18","Ask CPA"))</f>
        <v/>
      </c>
    </row>
    <row r="67" ht="17" customHeight="1">
      <c r="A67" s="37">
        <f>'Asset Register'!A67</f>
        <v/>
      </c>
      <c r="B67" s="34">
        <f>'Asset Register'!E67</f>
        <v/>
      </c>
      <c r="C67" s="40">
        <f>'Asset Register'!C67</f>
        <v/>
      </c>
      <c r="D67" s="33">
        <f>'Asset Register'!D67</f>
        <v/>
      </c>
      <c r="E67" s="33">
        <f>'Asset Register'!J67</f>
        <v/>
      </c>
      <c r="F67" s="41">
        <f>IFERROR(IF(IF('Asset Register'!C67="",0,MAX(MIN(Settings!$B$5-YEAR('Asset Register'!C67)+1,27),0))&lt;1,0,IF(AND('Asset Register'!M67&lt;&gt;"",YEAR('Asset Register'!M67)&lt;Settings!$B$5),0,INDEX('Schedule by Year'!$D67:$AD67,1,IF('Asset Register'!C67="",0,MAX(MIN(Settings!$B$5-YEAR('Asset Register'!C67)+1,27),0))))),0)</f>
        <v/>
      </c>
      <c r="G67" s="33">
        <f>IFERROR(IF(IF('Asset Register'!C67="",0,MAX(MIN(Settings!$B$5-YEAR('Asset Register'!C67)+1,27),0))&lt;=1,0,SUM(OFFSET('Schedule by Year'!$D67,0,0,1,IF('Asset Register'!C67="",0,MAX(MIN(Settings!$B$5-YEAR('Asset Register'!C67)+1,27),0))-1))),0)</f>
        <v/>
      </c>
      <c r="H67" s="34">
        <f>IF(Settings!$B$6="Schedule C (active)","Sch C, line 13",IF(Settings!$B$6="Schedule E (passive)","Sch E, line 18","Ask CPA"))</f>
        <v/>
      </c>
    </row>
    <row r="68" ht="17" customHeight="1">
      <c r="A68" s="37">
        <f>'Asset Register'!A68</f>
        <v/>
      </c>
      <c r="B68" s="34">
        <f>'Asset Register'!E68</f>
        <v/>
      </c>
      <c r="C68" s="40">
        <f>'Asset Register'!C68</f>
        <v/>
      </c>
      <c r="D68" s="33">
        <f>'Asset Register'!D68</f>
        <v/>
      </c>
      <c r="E68" s="33">
        <f>'Asset Register'!J68</f>
        <v/>
      </c>
      <c r="F68" s="41">
        <f>IFERROR(IF(IF('Asset Register'!C68="",0,MAX(MIN(Settings!$B$5-YEAR('Asset Register'!C68)+1,27),0))&lt;1,0,IF(AND('Asset Register'!M68&lt;&gt;"",YEAR('Asset Register'!M68)&lt;Settings!$B$5),0,INDEX('Schedule by Year'!$D68:$AD68,1,IF('Asset Register'!C68="",0,MAX(MIN(Settings!$B$5-YEAR('Asset Register'!C68)+1,27),0))))),0)</f>
        <v/>
      </c>
      <c r="G68" s="33">
        <f>IFERROR(IF(IF('Asset Register'!C68="",0,MAX(MIN(Settings!$B$5-YEAR('Asset Register'!C68)+1,27),0))&lt;=1,0,SUM(OFFSET('Schedule by Year'!$D68,0,0,1,IF('Asset Register'!C68="",0,MAX(MIN(Settings!$B$5-YEAR('Asset Register'!C68)+1,27),0))-1))),0)</f>
        <v/>
      </c>
      <c r="H68" s="34">
        <f>IF(Settings!$B$6="Schedule C (active)","Sch C, line 13",IF(Settings!$B$6="Schedule E (passive)","Sch E, line 18","Ask CPA"))</f>
        <v/>
      </c>
    </row>
    <row r="69" ht="17" customHeight="1">
      <c r="A69" s="37">
        <f>'Asset Register'!A69</f>
        <v/>
      </c>
      <c r="B69" s="34">
        <f>'Asset Register'!E69</f>
        <v/>
      </c>
      <c r="C69" s="40">
        <f>'Asset Register'!C69</f>
        <v/>
      </c>
      <c r="D69" s="33">
        <f>'Asset Register'!D69</f>
        <v/>
      </c>
      <c r="E69" s="33">
        <f>'Asset Register'!J69</f>
        <v/>
      </c>
      <c r="F69" s="41">
        <f>IFERROR(IF(IF('Asset Register'!C69="",0,MAX(MIN(Settings!$B$5-YEAR('Asset Register'!C69)+1,27),0))&lt;1,0,IF(AND('Asset Register'!M69&lt;&gt;"",YEAR('Asset Register'!M69)&lt;Settings!$B$5),0,INDEX('Schedule by Year'!$D69:$AD69,1,IF('Asset Register'!C69="",0,MAX(MIN(Settings!$B$5-YEAR('Asset Register'!C69)+1,27),0))))),0)</f>
        <v/>
      </c>
      <c r="G69" s="33">
        <f>IFERROR(IF(IF('Asset Register'!C69="",0,MAX(MIN(Settings!$B$5-YEAR('Asset Register'!C69)+1,27),0))&lt;=1,0,SUM(OFFSET('Schedule by Year'!$D69,0,0,1,IF('Asset Register'!C69="",0,MAX(MIN(Settings!$B$5-YEAR('Asset Register'!C69)+1,27),0))-1))),0)</f>
        <v/>
      </c>
      <c r="H69" s="34">
        <f>IF(Settings!$B$6="Schedule C (active)","Sch C, line 13",IF(Settings!$B$6="Schedule E (passive)","Sch E, line 18","Ask CPA"))</f>
        <v/>
      </c>
    </row>
    <row r="70" ht="17" customHeight="1">
      <c r="A70" s="37">
        <f>'Asset Register'!A70</f>
        <v/>
      </c>
      <c r="B70" s="34">
        <f>'Asset Register'!E70</f>
        <v/>
      </c>
      <c r="C70" s="40">
        <f>'Asset Register'!C70</f>
        <v/>
      </c>
      <c r="D70" s="33">
        <f>'Asset Register'!D70</f>
        <v/>
      </c>
      <c r="E70" s="33">
        <f>'Asset Register'!J70</f>
        <v/>
      </c>
      <c r="F70" s="41">
        <f>IFERROR(IF(IF('Asset Register'!C70="",0,MAX(MIN(Settings!$B$5-YEAR('Asset Register'!C70)+1,27),0))&lt;1,0,IF(AND('Asset Register'!M70&lt;&gt;"",YEAR('Asset Register'!M70)&lt;Settings!$B$5),0,INDEX('Schedule by Year'!$D70:$AD70,1,IF('Asset Register'!C70="",0,MAX(MIN(Settings!$B$5-YEAR('Asset Register'!C70)+1,27),0))))),0)</f>
        <v/>
      </c>
      <c r="G70" s="33">
        <f>IFERROR(IF(IF('Asset Register'!C70="",0,MAX(MIN(Settings!$B$5-YEAR('Asset Register'!C70)+1,27),0))&lt;=1,0,SUM(OFFSET('Schedule by Year'!$D70,0,0,1,IF('Asset Register'!C70="",0,MAX(MIN(Settings!$B$5-YEAR('Asset Register'!C70)+1,27),0))-1))),0)</f>
        <v/>
      </c>
      <c r="H70" s="34">
        <f>IF(Settings!$B$6="Schedule C (active)","Sch C, line 13",IF(Settings!$B$6="Schedule E (passive)","Sch E, line 18","Ask CPA"))</f>
        <v/>
      </c>
    </row>
    <row r="71" ht="17" customHeight="1">
      <c r="A71" s="37">
        <f>'Asset Register'!A71</f>
        <v/>
      </c>
      <c r="B71" s="34">
        <f>'Asset Register'!E71</f>
        <v/>
      </c>
      <c r="C71" s="40">
        <f>'Asset Register'!C71</f>
        <v/>
      </c>
      <c r="D71" s="33">
        <f>'Asset Register'!D71</f>
        <v/>
      </c>
      <c r="E71" s="33">
        <f>'Asset Register'!J71</f>
        <v/>
      </c>
      <c r="F71" s="41">
        <f>IFERROR(IF(IF('Asset Register'!C71="",0,MAX(MIN(Settings!$B$5-YEAR('Asset Register'!C71)+1,27),0))&lt;1,0,IF(AND('Asset Register'!M71&lt;&gt;"",YEAR('Asset Register'!M71)&lt;Settings!$B$5),0,INDEX('Schedule by Year'!$D71:$AD71,1,IF('Asset Register'!C71="",0,MAX(MIN(Settings!$B$5-YEAR('Asset Register'!C71)+1,27),0))))),0)</f>
        <v/>
      </c>
      <c r="G71" s="33">
        <f>IFERROR(IF(IF('Asset Register'!C71="",0,MAX(MIN(Settings!$B$5-YEAR('Asset Register'!C71)+1,27),0))&lt;=1,0,SUM(OFFSET('Schedule by Year'!$D71,0,0,1,IF('Asset Register'!C71="",0,MAX(MIN(Settings!$B$5-YEAR('Asset Register'!C71)+1,27),0))-1))),0)</f>
        <v/>
      </c>
      <c r="H71" s="34">
        <f>IF(Settings!$B$6="Schedule C (active)","Sch C, line 13",IF(Settings!$B$6="Schedule E (passive)","Sch E, line 18","Ask CPA"))</f>
        <v/>
      </c>
    </row>
    <row r="72" ht="17" customHeight="1">
      <c r="A72" s="37">
        <f>'Asset Register'!A72</f>
        <v/>
      </c>
      <c r="B72" s="34">
        <f>'Asset Register'!E72</f>
        <v/>
      </c>
      <c r="C72" s="40">
        <f>'Asset Register'!C72</f>
        <v/>
      </c>
      <c r="D72" s="33">
        <f>'Asset Register'!D72</f>
        <v/>
      </c>
      <c r="E72" s="33">
        <f>'Asset Register'!J72</f>
        <v/>
      </c>
      <c r="F72" s="41">
        <f>IFERROR(IF(IF('Asset Register'!C72="",0,MAX(MIN(Settings!$B$5-YEAR('Asset Register'!C72)+1,27),0))&lt;1,0,IF(AND('Asset Register'!M72&lt;&gt;"",YEAR('Asset Register'!M72)&lt;Settings!$B$5),0,INDEX('Schedule by Year'!$D72:$AD72,1,IF('Asset Register'!C72="",0,MAX(MIN(Settings!$B$5-YEAR('Asset Register'!C72)+1,27),0))))),0)</f>
        <v/>
      </c>
      <c r="G72" s="33">
        <f>IFERROR(IF(IF('Asset Register'!C72="",0,MAX(MIN(Settings!$B$5-YEAR('Asset Register'!C72)+1,27),0))&lt;=1,0,SUM(OFFSET('Schedule by Year'!$D72,0,0,1,IF('Asset Register'!C72="",0,MAX(MIN(Settings!$B$5-YEAR('Asset Register'!C72)+1,27),0))-1))),0)</f>
        <v/>
      </c>
      <c r="H72" s="34">
        <f>IF(Settings!$B$6="Schedule C (active)","Sch C, line 13",IF(Settings!$B$6="Schedule E (passive)","Sch E, line 18","Ask CPA"))</f>
        <v/>
      </c>
    </row>
    <row r="73" ht="17" customHeight="1">
      <c r="A73" s="37">
        <f>'Asset Register'!A73</f>
        <v/>
      </c>
      <c r="B73" s="34">
        <f>'Asset Register'!E73</f>
        <v/>
      </c>
      <c r="C73" s="40">
        <f>'Asset Register'!C73</f>
        <v/>
      </c>
      <c r="D73" s="33">
        <f>'Asset Register'!D73</f>
        <v/>
      </c>
      <c r="E73" s="33">
        <f>'Asset Register'!J73</f>
        <v/>
      </c>
      <c r="F73" s="41">
        <f>IFERROR(IF(IF('Asset Register'!C73="",0,MAX(MIN(Settings!$B$5-YEAR('Asset Register'!C73)+1,27),0))&lt;1,0,IF(AND('Asset Register'!M73&lt;&gt;"",YEAR('Asset Register'!M73)&lt;Settings!$B$5),0,INDEX('Schedule by Year'!$D73:$AD73,1,IF('Asset Register'!C73="",0,MAX(MIN(Settings!$B$5-YEAR('Asset Register'!C73)+1,27),0))))),0)</f>
        <v/>
      </c>
      <c r="G73" s="33">
        <f>IFERROR(IF(IF('Asset Register'!C73="",0,MAX(MIN(Settings!$B$5-YEAR('Asset Register'!C73)+1,27),0))&lt;=1,0,SUM(OFFSET('Schedule by Year'!$D73,0,0,1,IF('Asset Register'!C73="",0,MAX(MIN(Settings!$B$5-YEAR('Asset Register'!C73)+1,27),0))-1))),0)</f>
        <v/>
      </c>
      <c r="H73" s="34">
        <f>IF(Settings!$B$6="Schedule C (active)","Sch C, line 13",IF(Settings!$B$6="Schedule E (passive)","Sch E, line 18","Ask CPA"))</f>
        <v/>
      </c>
    </row>
    <row r="74" ht="17" customHeight="1">
      <c r="A74" s="37">
        <f>'Asset Register'!A74</f>
        <v/>
      </c>
      <c r="B74" s="34">
        <f>'Asset Register'!E74</f>
        <v/>
      </c>
      <c r="C74" s="40">
        <f>'Asset Register'!C74</f>
        <v/>
      </c>
      <c r="D74" s="33">
        <f>'Asset Register'!D74</f>
        <v/>
      </c>
      <c r="E74" s="33">
        <f>'Asset Register'!J74</f>
        <v/>
      </c>
      <c r="F74" s="41">
        <f>IFERROR(IF(IF('Asset Register'!C74="",0,MAX(MIN(Settings!$B$5-YEAR('Asset Register'!C74)+1,27),0))&lt;1,0,IF(AND('Asset Register'!M74&lt;&gt;"",YEAR('Asset Register'!M74)&lt;Settings!$B$5),0,INDEX('Schedule by Year'!$D74:$AD74,1,IF('Asset Register'!C74="",0,MAX(MIN(Settings!$B$5-YEAR('Asset Register'!C74)+1,27),0))))),0)</f>
        <v/>
      </c>
      <c r="G74" s="33">
        <f>IFERROR(IF(IF('Asset Register'!C74="",0,MAX(MIN(Settings!$B$5-YEAR('Asset Register'!C74)+1,27),0))&lt;=1,0,SUM(OFFSET('Schedule by Year'!$D74,0,0,1,IF('Asset Register'!C74="",0,MAX(MIN(Settings!$B$5-YEAR('Asset Register'!C74)+1,27),0))-1))),0)</f>
        <v/>
      </c>
      <c r="H74" s="34">
        <f>IF(Settings!$B$6="Schedule C (active)","Sch C, line 13",IF(Settings!$B$6="Schedule E (passive)","Sch E, line 18","Ask CPA"))</f>
        <v/>
      </c>
    </row>
    <row r="75" ht="17" customHeight="1">
      <c r="A75" s="37">
        <f>'Asset Register'!A75</f>
        <v/>
      </c>
      <c r="B75" s="34">
        <f>'Asset Register'!E75</f>
        <v/>
      </c>
      <c r="C75" s="40">
        <f>'Asset Register'!C75</f>
        <v/>
      </c>
      <c r="D75" s="33">
        <f>'Asset Register'!D75</f>
        <v/>
      </c>
      <c r="E75" s="33">
        <f>'Asset Register'!J75</f>
        <v/>
      </c>
      <c r="F75" s="41">
        <f>IFERROR(IF(IF('Asset Register'!C75="",0,MAX(MIN(Settings!$B$5-YEAR('Asset Register'!C75)+1,27),0))&lt;1,0,IF(AND('Asset Register'!M75&lt;&gt;"",YEAR('Asset Register'!M75)&lt;Settings!$B$5),0,INDEX('Schedule by Year'!$D75:$AD75,1,IF('Asset Register'!C75="",0,MAX(MIN(Settings!$B$5-YEAR('Asset Register'!C75)+1,27),0))))),0)</f>
        <v/>
      </c>
      <c r="G75" s="33">
        <f>IFERROR(IF(IF('Asset Register'!C75="",0,MAX(MIN(Settings!$B$5-YEAR('Asset Register'!C75)+1,27),0))&lt;=1,0,SUM(OFFSET('Schedule by Year'!$D75,0,0,1,IF('Asset Register'!C75="",0,MAX(MIN(Settings!$B$5-YEAR('Asset Register'!C75)+1,27),0))-1))),0)</f>
        <v/>
      </c>
      <c r="H75" s="34">
        <f>IF(Settings!$B$6="Schedule C (active)","Sch C, line 13",IF(Settings!$B$6="Schedule E (passive)","Sch E, line 18","Ask CPA"))</f>
        <v/>
      </c>
    </row>
    <row r="76" ht="17" customHeight="1">
      <c r="A76" s="37">
        <f>'Asset Register'!A76</f>
        <v/>
      </c>
      <c r="B76" s="34">
        <f>'Asset Register'!E76</f>
        <v/>
      </c>
      <c r="C76" s="40">
        <f>'Asset Register'!C76</f>
        <v/>
      </c>
      <c r="D76" s="33">
        <f>'Asset Register'!D76</f>
        <v/>
      </c>
      <c r="E76" s="33">
        <f>'Asset Register'!J76</f>
        <v/>
      </c>
      <c r="F76" s="41">
        <f>IFERROR(IF(IF('Asset Register'!C76="",0,MAX(MIN(Settings!$B$5-YEAR('Asset Register'!C76)+1,27),0))&lt;1,0,IF(AND('Asset Register'!M76&lt;&gt;"",YEAR('Asset Register'!M76)&lt;Settings!$B$5),0,INDEX('Schedule by Year'!$D76:$AD76,1,IF('Asset Register'!C76="",0,MAX(MIN(Settings!$B$5-YEAR('Asset Register'!C76)+1,27),0))))),0)</f>
        <v/>
      </c>
      <c r="G76" s="33">
        <f>IFERROR(IF(IF('Asset Register'!C76="",0,MAX(MIN(Settings!$B$5-YEAR('Asset Register'!C76)+1,27),0))&lt;=1,0,SUM(OFFSET('Schedule by Year'!$D76,0,0,1,IF('Asset Register'!C76="",0,MAX(MIN(Settings!$B$5-YEAR('Asset Register'!C76)+1,27),0))-1))),0)</f>
        <v/>
      </c>
      <c r="H76" s="34">
        <f>IF(Settings!$B$6="Schedule C (active)","Sch C, line 13",IF(Settings!$B$6="Schedule E (passive)","Sch E, line 18","Ask CPA"))</f>
        <v/>
      </c>
    </row>
    <row r="77" ht="17" customHeight="1">
      <c r="A77" s="37">
        <f>'Asset Register'!A77</f>
        <v/>
      </c>
      <c r="B77" s="34">
        <f>'Asset Register'!E77</f>
        <v/>
      </c>
      <c r="C77" s="40">
        <f>'Asset Register'!C77</f>
        <v/>
      </c>
      <c r="D77" s="33">
        <f>'Asset Register'!D77</f>
        <v/>
      </c>
      <c r="E77" s="33">
        <f>'Asset Register'!J77</f>
        <v/>
      </c>
      <c r="F77" s="41">
        <f>IFERROR(IF(IF('Asset Register'!C77="",0,MAX(MIN(Settings!$B$5-YEAR('Asset Register'!C77)+1,27),0))&lt;1,0,IF(AND('Asset Register'!M77&lt;&gt;"",YEAR('Asset Register'!M77)&lt;Settings!$B$5),0,INDEX('Schedule by Year'!$D77:$AD77,1,IF('Asset Register'!C77="",0,MAX(MIN(Settings!$B$5-YEAR('Asset Register'!C77)+1,27),0))))),0)</f>
        <v/>
      </c>
      <c r="G77" s="33">
        <f>IFERROR(IF(IF('Asset Register'!C77="",0,MAX(MIN(Settings!$B$5-YEAR('Asset Register'!C77)+1,27),0))&lt;=1,0,SUM(OFFSET('Schedule by Year'!$D77,0,0,1,IF('Asset Register'!C77="",0,MAX(MIN(Settings!$B$5-YEAR('Asset Register'!C77)+1,27),0))-1))),0)</f>
        <v/>
      </c>
      <c r="H77" s="34">
        <f>IF(Settings!$B$6="Schedule C (active)","Sch C, line 13",IF(Settings!$B$6="Schedule E (passive)","Sch E, line 18","Ask CPA"))</f>
        <v/>
      </c>
    </row>
    <row r="78" ht="17" customHeight="1">
      <c r="A78" s="37">
        <f>'Asset Register'!A78</f>
        <v/>
      </c>
      <c r="B78" s="34">
        <f>'Asset Register'!E78</f>
        <v/>
      </c>
      <c r="C78" s="40">
        <f>'Asset Register'!C78</f>
        <v/>
      </c>
      <c r="D78" s="33">
        <f>'Asset Register'!D78</f>
        <v/>
      </c>
      <c r="E78" s="33">
        <f>'Asset Register'!J78</f>
        <v/>
      </c>
      <c r="F78" s="41">
        <f>IFERROR(IF(IF('Asset Register'!C78="",0,MAX(MIN(Settings!$B$5-YEAR('Asset Register'!C78)+1,27),0))&lt;1,0,IF(AND('Asset Register'!M78&lt;&gt;"",YEAR('Asset Register'!M78)&lt;Settings!$B$5),0,INDEX('Schedule by Year'!$D78:$AD78,1,IF('Asset Register'!C78="",0,MAX(MIN(Settings!$B$5-YEAR('Asset Register'!C78)+1,27),0))))),0)</f>
        <v/>
      </c>
      <c r="G78" s="33">
        <f>IFERROR(IF(IF('Asset Register'!C78="",0,MAX(MIN(Settings!$B$5-YEAR('Asset Register'!C78)+1,27),0))&lt;=1,0,SUM(OFFSET('Schedule by Year'!$D78,0,0,1,IF('Asset Register'!C78="",0,MAX(MIN(Settings!$B$5-YEAR('Asset Register'!C78)+1,27),0))-1))),0)</f>
        <v/>
      </c>
      <c r="H78" s="34">
        <f>IF(Settings!$B$6="Schedule C (active)","Sch C, line 13",IF(Settings!$B$6="Schedule E (passive)","Sch E, line 18","Ask CPA"))</f>
        <v/>
      </c>
    </row>
    <row r="79" ht="17" customHeight="1">
      <c r="A79" s="37">
        <f>'Asset Register'!A79</f>
        <v/>
      </c>
      <c r="B79" s="34">
        <f>'Asset Register'!E79</f>
        <v/>
      </c>
      <c r="C79" s="40">
        <f>'Asset Register'!C79</f>
        <v/>
      </c>
      <c r="D79" s="33">
        <f>'Asset Register'!D79</f>
        <v/>
      </c>
      <c r="E79" s="33">
        <f>'Asset Register'!J79</f>
        <v/>
      </c>
      <c r="F79" s="41">
        <f>IFERROR(IF(IF('Asset Register'!C79="",0,MAX(MIN(Settings!$B$5-YEAR('Asset Register'!C79)+1,27),0))&lt;1,0,IF(AND('Asset Register'!M79&lt;&gt;"",YEAR('Asset Register'!M79)&lt;Settings!$B$5),0,INDEX('Schedule by Year'!$D79:$AD79,1,IF('Asset Register'!C79="",0,MAX(MIN(Settings!$B$5-YEAR('Asset Register'!C79)+1,27),0))))),0)</f>
        <v/>
      </c>
      <c r="G79" s="33">
        <f>IFERROR(IF(IF('Asset Register'!C79="",0,MAX(MIN(Settings!$B$5-YEAR('Asset Register'!C79)+1,27),0))&lt;=1,0,SUM(OFFSET('Schedule by Year'!$D79,0,0,1,IF('Asset Register'!C79="",0,MAX(MIN(Settings!$B$5-YEAR('Asset Register'!C79)+1,27),0))-1))),0)</f>
        <v/>
      </c>
      <c r="H79" s="34">
        <f>IF(Settings!$B$6="Schedule C (active)","Sch C, line 13",IF(Settings!$B$6="Schedule E (passive)","Sch E, line 18","Ask CPA"))</f>
        <v/>
      </c>
    </row>
    <row r="80" ht="17" customHeight="1">
      <c r="A80" s="37">
        <f>'Asset Register'!A80</f>
        <v/>
      </c>
      <c r="B80" s="34">
        <f>'Asset Register'!E80</f>
        <v/>
      </c>
      <c r="C80" s="40">
        <f>'Asset Register'!C80</f>
        <v/>
      </c>
      <c r="D80" s="33">
        <f>'Asset Register'!D80</f>
        <v/>
      </c>
      <c r="E80" s="33">
        <f>'Asset Register'!J80</f>
        <v/>
      </c>
      <c r="F80" s="41">
        <f>IFERROR(IF(IF('Asset Register'!C80="",0,MAX(MIN(Settings!$B$5-YEAR('Asset Register'!C80)+1,27),0))&lt;1,0,IF(AND('Asset Register'!M80&lt;&gt;"",YEAR('Asset Register'!M80)&lt;Settings!$B$5),0,INDEX('Schedule by Year'!$D80:$AD80,1,IF('Asset Register'!C80="",0,MAX(MIN(Settings!$B$5-YEAR('Asset Register'!C80)+1,27),0))))),0)</f>
        <v/>
      </c>
      <c r="G80" s="33">
        <f>IFERROR(IF(IF('Asset Register'!C80="",0,MAX(MIN(Settings!$B$5-YEAR('Asset Register'!C80)+1,27),0))&lt;=1,0,SUM(OFFSET('Schedule by Year'!$D80,0,0,1,IF('Asset Register'!C80="",0,MAX(MIN(Settings!$B$5-YEAR('Asset Register'!C80)+1,27),0))-1))),0)</f>
        <v/>
      </c>
      <c r="H80" s="34">
        <f>IF(Settings!$B$6="Schedule C (active)","Sch C, line 13",IF(Settings!$B$6="Schedule E (passive)","Sch E, line 18","Ask CPA"))</f>
        <v/>
      </c>
    </row>
    <row r="81" ht="17" customHeight="1">
      <c r="A81" s="37">
        <f>'Asset Register'!A81</f>
        <v/>
      </c>
      <c r="B81" s="34">
        <f>'Asset Register'!E81</f>
        <v/>
      </c>
      <c r="C81" s="40">
        <f>'Asset Register'!C81</f>
        <v/>
      </c>
      <c r="D81" s="33">
        <f>'Asset Register'!D81</f>
        <v/>
      </c>
      <c r="E81" s="33">
        <f>'Asset Register'!J81</f>
        <v/>
      </c>
      <c r="F81" s="41">
        <f>IFERROR(IF(IF('Asset Register'!C81="",0,MAX(MIN(Settings!$B$5-YEAR('Asset Register'!C81)+1,27),0))&lt;1,0,IF(AND('Asset Register'!M81&lt;&gt;"",YEAR('Asset Register'!M81)&lt;Settings!$B$5),0,INDEX('Schedule by Year'!$D81:$AD81,1,IF('Asset Register'!C81="",0,MAX(MIN(Settings!$B$5-YEAR('Asset Register'!C81)+1,27),0))))),0)</f>
        <v/>
      </c>
      <c r="G81" s="33">
        <f>IFERROR(IF(IF('Asset Register'!C81="",0,MAX(MIN(Settings!$B$5-YEAR('Asset Register'!C81)+1,27),0))&lt;=1,0,SUM(OFFSET('Schedule by Year'!$D81,0,0,1,IF('Asset Register'!C81="",0,MAX(MIN(Settings!$B$5-YEAR('Asset Register'!C81)+1,27),0))-1))),0)</f>
        <v/>
      </c>
      <c r="H81" s="34">
        <f>IF(Settings!$B$6="Schedule C (active)","Sch C, line 13",IF(Settings!$B$6="Schedule E (passive)","Sch E, line 18","Ask CPA"))</f>
        <v/>
      </c>
    </row>
    <row r="82" ht="17" customHeight="1">
      <c r="A82" s="37">
        <f>'Asset Register'!A82</f>
        <v/>
      </c>
      <c r="B82" s="34">
        <f>'Asset Register'!E82</f>
        <v/>
      </c>
      <c r="C82" s="40">
        <f>'Asset Register'!C82</f>
        <v/>
      </c>
      <c r="D82" s="33">
        <f>'Asset Register'!D82</f>
        <v/>
      </c>
      <c r="E82" s="33">
        <f>'Asset Register'!J82</f>
        <v/>
      </c>
      <c r="F82" s="41">
        <f>IFERROR(IF(IF('Asset Register'!C82="",0,MAX(MIN(Settings!$B$5-YEAR('Asset Register'!C82)+1,27),0))&lt;1,0,IF(AND('Asset Register'!M82&lt;&gt;"",YEAR('Asset Register'!M82)&lt;Settings!$B$5),0,INDEX('Schedule by Year'!$D82:$AD82,1,IF('Asset Register'!C82="",0,MAX(MIN(Settings!$B$5-YEAR('Asset Register'!C82)+1,27),0))))),0)</f>
        <v/>
      </c>
      <c r="G82" s="33">
        <f>IFERROR(IF(IF('Asset Register'!C82="",0,MAX(MIN(Settings!$B$5-YEAR('Asset Register'!C82)+1,27),0))&lt;=1,0,SUM(OFFSET('Schedule by Year'!$D82,0,0,1,IF('Asset Register'!C82="",0,MAX(MIN(Settings!$B$5-YEAR('Asset Register'!C82)+1,27),0))-1))),0)</f>
        <v/>
      </c>
      <c r="H82" s="34">
        <f>IF(Settings!$B$6="Schedule C (active)","Sch C, line 13",IF(Settings!$B$6="Schedule E (passive)","Sch E, line 18","Ask CPA"))</f>
        <v/>
      </c>
    </row>
    <row r="83" ht="17" customHeight="1">
      <c r="A83" s="37">
        <f>'Asset Register'!A83</f>
        <v/>
      </c>
      <c r="B83" s="34">
        <f>'Asset Register'!E83</f>
        <v/>
      </c>
      <c r="C83" s="40">
        <f>'Asset Register'!C83</f>
        <v/>
      </c>
      <c r="D83" s="33">
        <f>'Asset Register'!D83</f>
        <v/>
      </c>
      <c r="E83" s="33">
        <f>'Asset Register'!J83</f>
        <v/>
      </c>
      <c r="F83" s="41">
        <f>IFERROR(IF(IF('Asset Register'!C83="",0,MAX(MIN(Settings!$B$5-YEAR('Asset Register'!C83)+1,27),0))&lt;1,0,IF(AND('Asset Register'!M83&lt;&gt;"",YEAR('Asset Register'!M83)&lt;Settings!$B$5),0,INDEX('Schedule by Year'!$D83:$AD83,1,IF('Asset Register'!C83="",0,MAX(MIN(Settings!$B$5-YEAR('Asset Register'!C83)+1,27),0))))),0)</f>
        <v/>
      </c>
      <c r="G83" s="33">
        <f>IFERROR(IF(IF('Asset Register'!C83="",0,MAX(MIN(Settings!$B$5-YEAR('Asset Register'!C83)+1,27),0))&lt;=1,0,SUM(OFFSET('Schedule by Year'!$D83,0,0,1,IF('Asset Register'!C83="",0,MAX(MIN(Settings!$B$5-YEAR('Asset Register'!C83)+1,27),0))-1))),0)</f>
        <v/>
      </c>
      <c r="H83" s="34">
        <f>IF(Settings!$B$6="Schedule C (active)","Sch C, line 13",IF(Settings!$B$6="Schedule E (passive)","Sch E, line 18","Ask CPA"))</f>
        <v/>
      </c>
    </row>
    <row r="84" ht="17" customHeight="1">
      <c r="A84" s="37">
        <f>'Asset Register'!A84</f>
        <v/>
      </c>
      <c r="B84" s="34">
        <f>'Asset Register'!E84</f>
        <v/>
      </c>
      <c r="C84" s="40">
        <f>'Asset Register'!C84</f>
        <v/>
      </c>
      <c r="D84" s="33">
        <f>'Asset Register'!D84</f>
        <v/>
      </c>
      <c r="E84" s="33">
        <f>'Asset Register'!J84</f>
        <v/>
      </c>
      <c r="F84" s="41">
        <f>IFERROR(IF(IF('Asset Register'!C84="",0,MAX(MIN(Settings!$B$5-YEAR('Asset Register'!C84)+1,27),0))&lt;1,0,IF(AND('Asset Register'!M84&lt;&gt;"",YEAR('Asset Register'!M84)&lt;Settings!$B$5),0,INDEX('Schedule by Year'!$D84:$AD84,1,IF('Asset Register'!C84="",0,MAX(MIN(Settings!$B$5-YEAR('Asset Register'!C84)+1,27),0))))),0)</f>
        <v/>
      </c>
      <c r="G84" s="33">
        <f>IFERROR(IF(IF('Asset Register'!C84="",0,MAX(MIN(Settings!$B$5-YEAR('Asset Register'!C84)+1,27),0))&lt;=1,0,SUM(OFFSET('Schedule by Year'!$D84,0,0,1,IF('Asset Register'!C84="",0,MAX(MIN(Settings!$B$5-YEAR('Asset Register'!C84)+1,27),0))-1))),0)</f>
        <v/>
      </c>
      <c r="H84" s="34">
        <f>IF(Settings!$B$6="Schedule C (active)","Sch C, line 13",IF(Settings!$B$6="Schedule E (passive)","Sch E, line 18","Ask CPA"))</f>
        <v/>
      </c>
    </row>
    <row r="85" ht="17" customHeight="1">
      <c r="A85" s="37">
        <f>'Asset Register'!A85</f>
        <v/>
      </c>
      <c r="B85" s="34">
        <f>'Asset Register'!E85</f>
        <v/>
      </c>
      <c r="C85" s="40">
        <f>'Asset Register'!C85</f>
        <v/>
      </c>
      <c r="D85" s="33">
        <f>'Asset Register'!D85</f>
        <v/>
      </c>
      <c r="E85" s="33">
        <f>'Asset Register'!J85</f>
        <v/>
      </c>
      <c r="F85" s="41">
        <f>IFERROR(IF(IF('Asset Register'!C85="",0,MAX(MIN(Settings!$B$5-YEAR('Asset Register'!C85)+1,27),0))&lt;1,0,IF(AND('Asset Register'!M85&lt;&gt;"",YEAR('Asset Register'!M85)&lt;Settings!$B$5),0,INDEX('Schedule by Year'!$D85:$AD85,1,IF('Asset Register'!C85="",0,MAX(MIN(Settings!$B$5-YEAR('Asset Register'!C85)+1,27),0))))),0)</f>
        <v/>
      </c>
      <c r="G85" s="33">
        <f>IFERROR(IF(IF('Asset Register'!C85="",0,MAX(MIN(Settings!$B$5-YEAR('Asset Register'!C85)+1,27),0))&lt;=1,0,SUM(OFFSET('Schedule by Year'!$D85,0,0,1,IF('Asset Register'!C85="",0,MAX(MIN(Settings!$B$5-YEAR('Asset Register'!C85)+1,27),0))-1))),0)</f>
        <v/>
      </c>
      <c r="H85" s="34">
        <f>IF(Settings!$B$6="Schedule C (active)","Sch C, line 13",IF(Settings!$B$6="Schedule E (passive)","Sch E, line 18","Ask CPA"))</f>
        <v/>
      </c>
    </row>
    <row r="86" ht="17" customHeight="1">
      <c r="A86" s="37">
        <f>'Asset Register'!A86</f>
        <v/>
      </c>
      <c r="B86" s="34">
        <f>'Asset Register'!E86</f>
        <v/>
      </c>
      <c r="C86" s="40">
        <f>'Asset Register'!C86</f>
        <v/>
      </c>
      <c r="D86" s="33">
        <f>'Asset Register'!D86</f>
        <v/>
      </c>
      <c r="E86" s="33">
        <f>'Asset Register'!J86</f>
        <v/>
      </c>
      <c r="F86" s="41">
        <f>IFERROR(IF(IF('Asset Register'!C86="",0,MAX(MIN(Settings!$B$5-YEAR('Asset Register'!C86)+1,27),0))&lt;1,0,IF(AND('Asset Register'!M86&lt;&gt;"",YEAR('Asset Register'!M86)&lt;Settings!$B$5),0,INDEX('Schedule by Year'!$D86:$AD86,1,IF('Asset Register'!C86="",0,MAX(MIN(Settings!$B$5-YEAR('Asset Register'!C86)+1,27),0))))),0)</f>
        <v/>
      </c>
      <c r="G86" s="33">
        <f>IFERROR(IF(IF('Asset Register'!C86="",0,MAX(MIN(Settings!$B$5-YEAR('Asset Register'!C86)+1,27),0))&lt;=1,0,SUM(OFFSET('Schedule by Year'!$D86,0,0,1,IF('Asset Register'!C86="",0,MAX(MIN(Settings!$B$5-YEAR('Asset Register'!C86)+1,27),0))-1))),0)</f>
        <v/>
      </c>
      <c r="H86" s="34">
        <f>IF(Settings!$B$6="Schedule C (active)","Sch C, line 13",IF(Settings!$B$6="Schedule E (passive)","Sch E, line 18","Ask CPA"))</f>
        <v/>
      </c>
    </row>
    <row r="87" ht="17" customHeight="1">
      <c r="A87" s="37">
        <f>'Asset Register'!A87</f>
        <v/>
      </c>
      <c r="B87" s="34">
        <f>'Asset Register'!E87</f>
        <v/>
      </c>
      <c r="C87" s="40">
        <f>'Asset Register'!C87</f>
        <v/>
      </c>
      <c r="D87" s="33">
        <f>'Asset Register'!D87</f>
        <v/>
      </c>
      <c r="E87" s="33">
        <f>'Asset Register'!J87</f>
        <v/>
      </c>
      <c r="F87" s="41">
        <f>IFERROR(IF(IF('Asset Register'!C87="",0,MAX(MIN(Settings!$B$5-YEAR('Asset Register'!C87)+1,27),0))&lt;1,0,IF(AND('Asset Register'!M87&lt;&gt;"",YEAR('Asset Register'!M87)&lt;Settings!$B$5),0,INDEX('Schedule by Year'!$D87:$AD87,1,IF('Asset Register'!C87="",0,MAX(MIN(Settings!$B$5-YEAR('Asset Register'!C87)+1,27),0))))),0)</f>
        <v/>
      </c>
      <c r="G87" s="33">
        <f>IFERROR(IF(IF('Asset Register'!C87="",0,MAX(MIN(Settings!$B$5-YEAR('Asset Register'!C87)+1,27),0))&lt;=1,0,SUM(OFFSET('Schedule by Year'!$D87,0,0,1,IF('Asset Register'!C87="",0,MAX(MIN(Settings!$B$5-YEAR('Asset Register'!C87)+1,27),0))-1))),0)</f>
        <v/>
      </c>
      <c r="H87" s="34">
        <f>IF(Settings!$B$6="Schedule C (active)","Sch C, line 13",IF(Settings!$B$6="Schedule E (passive)","Sch E, line 18","Ask CPA"))</f>
        <v/>
      </c>
    </row>
    <row r="88" ht="17" customHeight="1">
      <c r="A88" s="37">
        <f>'Asset Register'!A88</f>
        <v/>
      </c>
      <c r="B88" s="34">
        <f>'Asset Register'!E88</f>
        <v/>
      </c>
      <c r="C88" s="40">
        <f>'Asset Register'!C88</f>
        <v/>
      </c>
      <c r="D88" s="33">
        <f>'Asset Register'!D88</f>
        <v/>
      </c>
      <c r="E88" s="33">
        <f>'Asset Register'!J88</f>
        <v/>
      </c>
      <c r="F88" s="41">
        <f>IFERROR(IF(IF('Asset Register'!C88="",0,MAX(MIN(Settings!$B$5-YEAR('Asset Register'!C88)+1,27),0))&lt;1,0,IF(AND('Asset Register'!M88&lt;&gt;"",YEAR('Asset Register'!M88)&lt;Settings!$B$5),0,INDEX('Schedule by Year'!$D88:$AD88,1,IF('Asset Register'!C88="",0,MAX(MIN(Settings!$B$5-YEAR('Asset Register'!C88)+1,27),0))))),0)</f>
        <v/>
      </c>
      <c r="G88" s="33">
        <f>IFERROR(IF(IF('Asset Register'!C88="",0,MAX(MIN(Settings!$B$5-YEAR('Asset Register'!C88)+1,27),0))&lt;=1,0,SUM(OFFSET('Schedule by Year'!$D88,0,0,1,IF('Asset Register'!C88="",0,MAX(MIN(Settings!$B$5-YEAR('Asset Register'!C88)+1,27),0))-1))),0)</f>
        <v/>
      </c>
      <c r="H88" s="34">
        <f>IF(Settings!$B$6="Schedule C (active)","Sch C, line 13",IF(Settings!$B$6="Schedule E (passive)","Sch E, line 18","Ask CPA"))</f>
        <v/>
      </c>
    </row>
    <row r="89" ht="17" customHeight="1">
      <c r="A89" s="37">
        <f>'Asset Register'!A89</f>
        <v/>
      </c>
      <c r="B89" s="34">
        <f>'Asset Register'!E89</f>
        <v/>
      </c>
      <c r="C89" s="40">
        <f>'Asset Register'!C89</f>
        <v/>
      </c>
      <c r="D89" s="33">
        <f>'Asset Register'!D89</f>
        <v/>
      </c>
      <c r="E89" s="33">
        <f>'Asset Register'!J89</f>
        <v/>
      </c>
      <c r="F89" s="41">
        <f>IFERROR(IF(IF('Asset Register'!C89="",0,MAX(MIN(Settings!$B$5-YEAR('Asset Register'!C89)+1,27),0))&lt;1,0,IF(AND('Asset Register'!M89&lt;&gt;"",YEAR('Asset Register'!M89)&lt;Settings!$B$5),0,INDEX('Schedule by Year'!$D89:$AD89,1,IF('Asset Register'!C89="",0,MAX(MIN(Settings!$B$5-YEAR('Asset Register'!C89)+1,27),0))))),0)</f>
        <v/>
      </c>
      <c r="G89" s="33">
        <f>IFERROR(IF(IF('Asset Register'!C89="",0,MAX(MIN(Settings!$B$5-YEAR('Asset Register'!C89)+1,27),0))&lt;=1,0,SUM(OFFSET('Schedule by Year'!$D89,0,0,1,IF('Asset Register'!C89="",0,MAX(MIN(Settings!$B$5-YEAR('Asset Register'!C89)+1,27),0))-1))),0)</f>
        <v/>
      </c>
      <c r="H89" s="34">
        <f>IF(Settings!$B$6="Schedule C (active)","Sch C, line 13",IF(Settings!$B$6="Schedule E (passive)","Sch E, line 18","Ask CPA"))</f>
        <v/>
      </c>
    </row>
    <row r="90" ht="17" customHeight="1">
      <c r="A90" s="37">
        <f>'Asset Register'!A90</f>
        <v/>
      </c>
      <c r="B90" s="34">
        <f>'Asset Register'!E90</f>
        <v/>
      </c>
      <c r="C90" s="40">
        <f>'Asset Register'!C90</f>
        <v/>
      </c>
      <c r="D90" s="33">
        <f>'Asset Register'!D90</f>
        <v/>
      </c>
      <c r="E90" s="33">
        <f>'Asset Register'!J90</f>
        <v/>
      </c>
      <c r="F90" s="41">
        <f>IFERROR(IF(IF('Asset Register'!C90="",0,MAX(MIN(Settings!$B$5-YEAR('Asset Register'!C90)+1,27),0))&lt;1,0,IF(AND('Asset Register'!M90&lt;&gt;"",YEAR('Asset Register'!M90)&lt;Settings!$B$5),0,INDEX('Schedule by Year'!$D90:$AD90,1,IF('Asset Register'!C90="",0,MAX(MIN(Settings!$B$5-YEAR('Asset Register'!C90)+1,27),0))))),0)</f>
        <v/>
      </c>
      <c r="G90" s="33">
        <f>IFERROR(IF(IF('Asset Register'!C90="",0,MAX(MIN(Settings!$B$5-YEAR('Asset Register'!C90)+1,27),0))&lt;=1,0,SUM(OFFSET('Schedule by Year'!$D90,0,0,1,IF('Asset Register'!C90="",0,MAX(MIN(Settings!$B$5-YEAR('Asset Register'!C90)+1,27),0))-1))),0)</f>
        <v/>
      </c>
      <c r="H90" s="34">
        <f>IF(Settings!$B$6="Schedule C (active)","Sch C, line 13",IF(Settings!$B$6="Schedule E (passive)","Sch E, line 18","Ask CPA"))</f>
        <v/>
      </c>
    </row>
    <row r="91" ht="17" customHeight="1">
      <c r="A91" s="37">
        <f>'Asset Register'!A91</f>
        <v/>
      </c>
      <c r="B91" s="34">
        <f>'Asset Register'!E91</f>
        <v/>
      </c>
      <c r="C91" s="40">
        <f>'Asset Register'!C91</f>
        <v/>
      </c>
      <c r="D91" s="33">
        <f>'Asset Register'!D91</f>
        <v/>
      </c>
      <c r="E91" s="33">
        <f>'Asset Register'!J91</f>
        <v/>
      </c>
      <c r="F91" s="41">
        <f>IFERROR(IF(IF('Asset Register'!C91="",0,MAX(MIN(Settings!$B$5-YEAR('Asset Register'!C91)+1,27),0))&lt;1,0,IF(AND('Asset Register'!M91&lt;&gt;"",YEAR('Asset Register'!M91)&lt;Settings!$B$5),0,INDEX('Schedule by Year'!$D91:$AD91,1,IF('Asset Register'!C91="",0,MAX(MIN(Settings!$B$5-YEAR('Asset Register'!C91)+1,27),0))))),0)</f>
        <v/>
      </c>
      <c r="G91" s="33">
        <f>IFERROR(IF(IF('Asset Register'!C91="",0,MAX(MIN(Settings!$B$5-YEAR('Asset Register'!C91)+1,27),0))&lt;=1,0,SUM(OFFSET('Schedule by Year'!$D91,0,0,1,IF('Asset Register'!C91="",0,MAX(MIN(Settings!$B$5-YEAR('Asset Register'!C91)+1,27),0))-1))),0)</f>
        <v/>
      </c>
      <c r="H91" s="34">
        <f>IF(Settings!$B$6="Schedule C (active)","Sch C, line 13",IF(Settings!$B$6="Schedule E (passive)","Sch E, line 18","Ask CPA"))</f>
        <v/>
      </c>
    </row>
    <row r="92" ht="17" customHeight="1">
      <c r="A92" s="37">
        <f>'Asset Register'!A92</f>
        <v/>
      </c>
      <c r="B92" s="34">
        <f>'Asset Register'!E92</f>
        <v/>
      </c>
      <c r="C92" s="40">
        <f>'Asset Register'!C92</f>
        <v/>
      </c>
      <c r="D92" s="33">
        <f>'Asset Register'!D92</f>
        <v/>
      </c>
      <c r="E92" s="33">
        <f>'Asset Register'!J92</f>
        <v/>
      </c>
      <c r="F92" s="41">
        <f>IFERROR(IF(IF('Asset Register'!C92="",0,MAX(MIN(Settings!$B$5-YEAR('Asset Register'!C92)+1,27),0))&lt;1,0,IF(AND('Asset Register'!M92&lt;&gt;"",YEAR('Asset Register'!M92)&lt;Settings!$B$5),0,INDEX('Schedule by Year'!$D92:$AD92,1,IF('Asset Register'!C92="",0,MAX(MIN(Settings!$B$5-YEAR('Asset Register'!C92)+1,27),0))))),0)</f>
        <v/>
      </c>
      <c r="G92" s="33">
        <f>IFERROR(IF(IF('Asset Register'!C92="",0,MAX(MIN(Settings!$B$5-YEAR('Asset Register'!C92)+1,27),0))&lt;=1,0,SUM(OFFSET('Schedule by Year'!$D92,0,0,1,IF('Asset Register'!C92="",0,MAX(MIN(Settings!$B$5-YEAR('Asset Register'!C92)+1,27),0))-1))),0)</f>
        <v/>
      </c>
      <c r="H92" s="34">
        <f>IF(Settings!$B$6="Schedule C (active)","Sch C, line 13",IF(Settings!$B$6="Schedule E (passive)","Sch E, line 18","Ask CPA"))</f>
        <v/>
      </c>
    </row>
    <row r="93" ht="17" customHeight="1">
      <c r="A93" s="37">
        <f>'Asset Register'!A93</f>
        <v/>
      </c>
      <c r="B93" s="34">
        <f>'Asset Register'!E93</f>
        <v/>
      </c>
      <c r="C93" s="40">
        <f>'Asset Register'!C93</f>
        <v/>
      </c>
      <c r="D93" s="33">
        <f>'Asset Register'!D93</f>
        <v/>
      </c>
      <c r="E93" s="33">
        <f>'Asset Register'!J93</f>
        <v/>
      </c>
      <c r="F93" s="41">
        <f>IFERROR(IF(IF('Asset Register'!C93="",0,MAX(MIN(Settings!$B$5-YEAR('Asset Register'!C93)+1,27),0))&lt;1,0,IF(AND('Asset Register'!M93&lt;&gt;"",YEAR('Asset Register'!M93)&lt;Settings!$B$5),0,INDEX('Schedule by Year'!$D93:$AD93,1,IF('Asset Register'!C93="",0,MAX(MIN(Settings!$B$5-YEAR('Asset Register'!C93)+1,27),0))))),0)</f>
        <v/>
      </c>
      <c r="G93" s="33">
        <f>IFERROR(IF(IF('Asset Register'!C93="",0,MAX(MIN(Settings!$B$5-YEAR('Asset Register'!C93)+1,27),0))&lt;=1,0,SUM(OFFSET('Schedule by Year'!$D93,0,0,1,IF('Asset Register'!C93="",0,MAX(MIN(Settings!$B$5-YEAR('Asset Register'!C93)+1,27),0))-1))),0)</f>
        <v/>
      </c>
      <c r="H93" s="34">
        <f>IF(Settings!$B$6="Schedule C (active)","Sch C, line 13",IF(Settings!$B$6="Schedule E (passive)","Sch E, line 18","Ask CPA"))</f>
        <v/>
      </c>
    </row>
    <row r="94" ht="17" customHeight="1">
      <c r="A94" s="37">
        <f>'Asset Register'!A94</f>
        <v/>
      </c>
      <c r="B94" s="34">
        <f>'Asset Register'!E94</f>
        <v/>
      </c>
      <c r="C94" s="40">
        <f>'Asset Register'!C94</f>
        <v/>
      </c>
      <c r="D94" s="33">
        <f>'Asset Register'!D94</f>
        <v/>
      </c>
      <c r="E94" s="33">
        <f>'Asset Register'!J94</f>
        <v/>
      </c>
      <c r="F94" s="41">
        <f>IFERROR(IF(IF('Asset Register'!C94="",0,MAX(MIN(Settings!$B$5-YEAR('Asset Register'!C94)+1,27),0))&lt;1,0,IF(AND('Asset Register'!M94&lt;&gt;"",YEAR('Asset Register'!M94)&lt;Settings!$B$5),0,INDEX('Schedule by Year'!$D94:$AD94,1,IF('Asset Register'!C94="",0,MAX(MIN(Settings!$B$5-YEAR('Asset Register'!C94)+1,27),0))))),0)</f>
        <v/>
      </c>
      <c r="G94" s="33">
        <f>IFERROR(IF(IF('Asset Register'!C94="",0,MAX(MIN(Settings!$B$5-YEAR('Asset Register'!C94)+1,27),0))&lt;=1,0,SUM(OFFSET('Schedule by Year'!$D94,0,0,1,IF('Asset Register'!C94="",0,MAX(MIN(Settings!$B$5-YEAR('Asset Register'!C94)+1,27),0))-1))),0)</f>
        <v/>
      </c>
      <c r="H94" s="34">
        <f>IF(Settings!$B$6="Schedule C (active)","Sch C, line 13",IF(Settings!$B$6="Schedule E (passive)","Sch E, line 18","Ask CPA"))</f>
        <v/>
      </c>
    </row>
    <row r="95" ht="17" customHeight="1">
      <c r="A95" s="37">
        <f>'Asset Register'!A95</f>
        <v/>
      </c>
      <c r="B95" s="34">
        <f>'Asset Register'!E95</f>
        <v/>
      </c>
      <c r="C95" s="40">
        <f>'Asset Register'!C95</f>
        <v/>
      </c>
      <c r="D95" s="33">
        <f>'Asset Register'!D95</f>
        <v/>
      </c>
      <c r="E95" s="33">
        <f>'Asset Register'!J95</f>
        <v/>
      </c>
      <c r="F95" s="41">
        <f>IFERROR(IF(IF('Asset Register'!C95="",0,MAX(MIN(Settings!$B$5-YEAR('Asset Register'!C95)+1,27),0))&lt;1,0,IF(AND('Asset Register'!M95&lt;&gt;"",YEAR('Asset Register'!M95)&lt;Settings!$B$5),0,INDEX('Schedule by Year'!$D95:$AD95,1,IF('Asset Register'!C95="",0,MAX(MIN(Settings!$B$5-YEAR('Asset Register'!C95)+1,27),0))))),0)</f>
        <v/>
      </c>
      <c r="G95" s="33">
        <f>IFERROR(IF(IF('Asset Register'!C95="",0,MAX(MIN(Settings!$B$5-YEAR('Asset Register'!C95)+1,27),0))&lt;=1,0,SUM(OFFSET('Schedule by Year'!$D95,0,0,1,IF('Asset Register'!C95="",0,MAX(MIN(Settings!$B$5-YEAR('Asset Register'!C95)+1,27),0))-1))),0)</f>
        <v/>
      </c>
      <c r="H95" s="34">
        <f>IF(Settings!$B$6="Schedule C (active)","Sch C, line 13",IF(Settings!$B$6="Schedule E (passive)","Sch E, line 18","Ask CPA"))</f>
        <v/>
      </c>
    </row>
    <row r="96" ht="17" customHeight="1">
      <c r="A96" s="37">
        <f>'Asset Register'!A96</f>
        <v/>
      </c>
      <c r="B96" s="34">
        <f>'Asset Register'!E96</f>
        <v/>
      </c>
      <c r="C96" s="40">
        <f>'Asset Register'!C96</f>
        <v/>
      </c>
      <c r="D96" s="33">
        <f>'Asset Register'!D96</f>
        <v/>
      </c>
      <c r="E96" s="33">
        <f>'Asset Register'!J96</f>
        <v/>
      </c>
      <c r="F96" s="41">
        <f>IFERROR(IF(IF('Asset Register'!C96="",0,MAX(MIN(Settings!$B$5-YEAR('Asset Register'!C96)+1,27),0))&lt;1,0,IF(AND('Asset Register'!M96&lt;&gt;"",YEAR('Asset Register'!M96)&lt;Settings!$B$5),0,INDEX('Schedule by Year'!$D96:$AD96,1,IF('Asset Register'!C96="",0,MAX(MIN(Settings!$B$5-YEAR('Asset Register'!C96)+1,27),0))))),0)</f>
        <v/>
      </c>
      <c r="G96" s="33">
        <f>IFERROR(IF(IF('Asset Register'!C96="",0,MAX(MIN(Settings!$B$5-YEAR('Asset Register'!C96)+1,27),0))&lt;=1,0,SUM(OFFSET('Schedule by Year'!$D96,0,0,1,IF('Asset Register'!C96="",0,MAX(MIN(Settings!$B$5-YEAR('Asset Register'!C96)+1,27),0))-1))),0)</f>
        <v/>
      </c>
      <c r="H96" s="34">
        <f>IF(Settings!$B$6="Schedule C (active)","Sch C, line 13",IF(Settings!$B$6="Schedule E (passive)","Sch E, line 18","Ask CPA"))</f>
        <v/>
      </c>
    </row>
    <row r="97" ht="17" customHeight="1">
      <c r="A97" s="37">
        <f>'Asset Register'!A97</f>
        <v/>
      </c>
      <c r="B97" s="34">
        <f>'Asset Register'!E97</f>
        <v/>
      </c>
      <c r="C97" s="40">
        <f>'Asset Register'!C97</f>
        <v/>
      </c>
      <c r="D97" s="33">
        <f>'Asset Register'!D97</f>
        <v/>
      </c>
      <c r="E97" s="33">
        <f>'Asset Register'!J97</f>
        <v/>
      </c>
      <c r="F97" s="41">
        <f>IFERROR(IF(IF('Asset Register'!C97="",0,MAX(MIN(Settings!$B$5-YEAR('Asset Register'!C97)+1,27),0))&lt;1,0,IF(AND('Asset Register'!M97&lt;&gt;"",YEAR('Asset Register'!M97)&lt;Settings!$B$5),0,INDEX('Schedule by Year'!$D97:$AD97,1,IF('Asset Register'!C97="",0,MAX(MIN(Settings!$B$5-YEAR('Asset Register'!C97)+1,27),0))))),0)</f>
        <v/>
      </c>
      <c r="G97" s="33">
        <f>IFERROR(IF(IF('Asset Register'!C97="",0,MAX(MIN(Settings!$B$5-YEAR('Asset Register'!C97)+1,27),0))&lt;=1,0,SUM(OFFSET('Schedule by Year'!$D97,0,0,1,IF('Asset Register'!C97="",0,MAX(MIN(Settings!$B$5-YEAR('Asset Register'!C97)+1,27),0))-1))),0)</f>
        <v/>
      </c>
      <c r="H97" s="34">
        <f>IF(Settings!$B$6="Schedule C (active)","Sch C, line 13",IF(Settings!$B$6="Schedule E (passive)","Sch E, line 18","Ask CPA"))</f>
        <v/>
      </c>
    </row>
    <row r="98" ht="17" customHeight="1">
      <c r="A98" s="37">
        <f>'Asset Register'!A98</f>
        <v/>
      </c>
      <c r="B98" s="34">
        <f>'Asset Register'!E98</f>
        <v/>
      </c>
      <c r="C98" s="40">
        <f>'Asset Register'!C98</f>
        <v/>
      </c>
      <c r="D98" s="33">
        <f>'Asset Register'!D98</f>
        <v/>
      </c>
      <c r="E98" s="33">
        <f>'Asset Register'!J98</f>
        <v/>
      </c>
      <c r="F98" s="41">
        <f>IFERROR(IF(IF('Asset Register'!C98="",0,MAX(MIN(Settings!$B$5-YEAR('Asset Register'!C98)+1,27),0))&lt;1,0,IF(AND('Asset Register'!M98&lt;&gt;"",YEAR('Asset Register'!M98)&lt;Settings!$B$5),0,INDEX('Schedule by Year'!$D98:$AD98,1,IF('Asset Register'!C98="",0,MAX(MIN(Settings!$B$5-YEAR('Asset Register'!C98)+1,27),0))))),0)</f>
        <v/>
      </c>
      <c r="G98" s="33">
        <f>IFERROR(IF(IF('Asset Register'!C98="",0,MAX(MIN(Settings!$B$5-YEAR('Asset Register'!C98)+1,27),0))&lt;=1,0,SUM(OFFSET('Schedule by Year'!$D98,0,0,1,IF('Asset Register'!C98="",0,MAX(MIN(Settings!$B$5-YEAR('Asset Register'!C98)+1,27),0))-1))),0)</f>
        <v/>
      </c>
      <c r="H98" s="34">
        <f>IF(Settings!$B$6="Schedule C (active)","Sch C, line 13",IF(Settings!$B$6="Schedule E (passive)","Sch E, line 18","Ask CPA"))</f>
        <v/>
      </c>
    </row>
    <row r="99" ht="17" customHeight="1">
      <c r="A99" s="37">
        <f>'Asset Register'!A99</f>
        <v/>
      </c>
      <c r="B99" s="34">
        <f>'Asset Register'!E99</f>
        <v/>
      </c>
      <c r="C99" s="40">
        <f>'Asset Register'!C99</f>
        <v/>
      </c>
      <c r="D99" s="33">
        <f>'Asset Register'!D99</f>
        <v/>
      </c>
      <c r="E99" s="33">
        <f>'Asset Register'!J99</f>
        <v/>
      </c>
      <c r="F99" s="41">
        <f>IFERROR(IF(IF('Asset Register'!C99="",0,MAX(MIN(Settings!$B$5-YEAR('Asset Register'!C99)+1,27),0))&lt;1,0,IF(AND('Asset Register'!M99&lt;&gt;"",YEAR('Asset Register'!M99)&lt;Settings!$B$5),0,INDEX('Schedule by Year'!$D99:$AD99,1,IF('Asset Register'!C99="",0,MAX(MIN(Settings!$B$5-YEAR('Asset Register'!C99)+1,27),0))))),0)</f>
        <v/>
      </c>
      <c r="G99" s="33">
        <f>IFERROR(IF(IF('Asset Register'!C99="",0,MAX(MIN(Settings!$B$5-YEAR('Asset Register'!C99)+1,27),0))&lt;=1,0,SUM(OFFSET('Schedule by Year'!$D99,0,0,1,IF('Asset Register'!C99="",0,MAX(MIN(Settings!$B$5-YEAR('Asset Register'!C99)+1,27),0))-1))),0)</f>
        <v/>
      </c>
      <c r="H99" s="34">
        <f>IF(Settings!$B$6="Schedule C (active)","Sch C, line 13",IF(Settings!$B$6="Schedule E (passive)","Sch E, line 18","Ask CPA"))</f>
        <v/>
      </c>
    </row>
    <row r="100" ht="17" customHeight="1">
      <c r="A100" s="37">
        <f>'Asset Register'!A100</f>
        <v/>
      </c>
      <c r="B100" s="34">
        <f>'Asset Register'!E100</f>
        <v/>
      </c>
      <c r="C100" s="40">
        <f>'Asset Register'!C100</f>
        <v/>
      </c>
      <c r="D100" s="33">
        <f>'Asset Register'!D100</f>
        <v/>
      </c>
      <c r="E100" s="33">
        <f>'Asset Register'!J100</f>
        <v/>
      </c>
      <c r="F100" s="41">
        <f>IFERROR(IF(IF('Asset Register'!C100="",0,MAX(MIN(Settings!$B$5-YEAR('Asset Register'!C100)+1,27),0))&lt;1,0,IF(AND('Asset Register'!M100&lt;&gt;"",YEAR('Asset Register'!M100)&lt;Settings!$B$5),0,INDEX('Schedule by Year'!$D100:$AD100,1,IF('Asset Register'!C100="",0,MAX(MIN(Settings!$B$5-YEAR('Asset Register'!C100)+1,27),0))))),0)</f>
        <v/>
      </c>
      <c r="G100" s="33">
        <f>IFERROR(IF(IF('Asset Register'!C100="",0,MAX(MIN(Settings!$B$5-YEAR('Asset Register'!C100)+1,27),0))&lt;=1,0,SUM(OFFSET('Schedule by Year'!$D100,0,0,1,IF('Asset Register'!C100="",0,MAX(MIN(Settings!$B$5-YEAR('Asset Register'!C100)+1,27),0))-1))),0)</f>
        <v/>
      </c>
      <c r="H100" s="34">
        <f>IF(Settings!$B$6="Schedule C (active)","Sch C, line 13",IF(Settings!$B$6="Schedule E (passive)","Sch E, line 18","Ask CPA"))</f>
        <v/>
      </c>
    </row>
    <row r="101" ht="17" customHeight="1">
      <c r="A101" s="37">
        <f>'Asset Register'!A101</f>
        <v/>
      </c>
      <c r="B101" s="34">
        <f>'Asset Register'!E101</f>
        <v/>
      </c>
      <c r="C101" s="40">
        <f>'Asset Register'!C101</f>
        <v/>
      </c>
      <c r="D101" s="33">
        <f>'Asset Register'!D101</f>
        <v/>
      </c>
      <c r="E101" s="33">
        <f>'Asset Register'!J101</f>
        <v/>
      </c>
      <c r="F101" s="41">
        <f>IFERROR(IF(IF('Asset Register'!C101="",0,MAX(MIN(Settings!$B$5-YEAR('Asset Register'!C101)+1,27),0))&lt;1,0,IF(AND('Asset Register'!M101&lt;&gt;"",YEAR('Asset Register'!M101)&lt;Settings!$B$5),0,INDEX('Schedule by Year'!$D101:$AD101,1,IF('Asset Register'!C101="",0,MAX(MIN(Settings!$B$5-YEAR('Asset Register'!C101)+1,27),0))))),0)</f>
        <v/>
      </c>
      <c r="G101" s="33">
        <f>IFERROR(IF(IF('Asset Register'!C101="",0,MAX(MIN(Settings!$B$5-YEAR('Asset Register'!C101)+1,27),0))&lt;=1,0,SUM(OFFSET('Schedule by Year'!$D101,0,0,1,IF('Asset Register'!C101="",0,MAX(MIN(Settings!$B$5-YEAR('Asset Register'!C101)+1,27),0))-1))),0)</f>
        <v/>
      </c>
      <c r="H101" s="34">
        <f>IF(Settings!$B$6="Schedule C (active)","Sch C, line 13",IF(Settings!$B$6="Schedule E (passive)","Sch E, line 18","Ask CPA"))</f>
        <v/>
      </c>
    </row>
    <row r="102" ht="17" customHeight="1">
      <c r="A102" s="37">
        <f>'Asset Register'!A102</f>
        <v/>
      </c>
      <c r="B102" s="34">
        <f>'Asset Register'!E102</f>
        <v/>
      </c>
      <c r="C102" s="40">
        <f>'Asset Register'!C102</f>
        <v/>
      </c>
      <c r="D102" s="33">
        <f>'Asset Register'!D102</f>
        <v/>
      </c>
      <c r="E102" s="33">
        <f>'Asset Register'!J102</f>
        <v/>
      </c>
      <c r="F102" s="41">
        <f>IFERROR(IF(IF('Asset Register'!C102="",0,MAX(MIN(Settings!$B$5-YEAR('Asset Register'!C102)+1,27),0))&lt;1,0,IF(AND('Asset Register'!M102&lt;&gt;"",YEAR('Asset Register'!M102)&lt;Settings!$B$5),0,INDEX('Schedule by Year'!$D102:$AD102,1,IF('Asset Register'!C102="",0,MAX(MIN(Settings!$B$5-YEAR('Asset Register'!C102)+1,27),0))))),0)</f>
        <v/>
      </c>
      <c r="G102" s="33">
        <f>IFERROR(IF(IF('Asset Register'!C102="",0,MAX(MIN(Settings!$B$5-YEAR('Asset Register'!C102)+1,27),0))&lt;=1,0,SUM(OFFSET('Schedule by Year'!$D102,0,0,1,IF('Asset Register'!C102="",0,MAX(MIN(Settings!$B$5-YEAR('Asset Register'!C102)+1,27),0))-1))),0)</f>
        <v/>
      </c>
      <c r="H102" s="34">
        <f>IF(Settings!$B$6="Schedule C (active)","Sch C, line 13",IF(Settings!$B$6="Schedule E (passive)","Sch E, line 18","Ask CPA"))</f>
        <v/>
      </c>
    </row>
    <row r="103" ht="17" customHeight="1">
      <c r="A103" s="37">
        <f>'Asset Register'!A103</f>
        <v/>
      </c>
      <c r="B103" s="34">
        <f>'Asset Register'!E103</f>
        <v/>
      </c>
      <c r="C103" s="40">
        <f>'Asset Register'!C103</f>
        <v/>
      </c>
      <c r="D103" s="33">
        <f>'Asset Register'!D103</f>
        <v/>
      </c>
      <c r="E103" s="33">
        <f>'Asset Register'!J103</f>
        <v/>
      </c>
      <c r="F103" s="41">
        <f>IFERROR(IF(IF('Asset Register'!C103="",0,MAX(MIN(Settings!$B$5-YEAR('Asset Register'!C103)+1,27),0))&lt;1,0,IF(AND('Asset Register'!M103&lt;&gt;"",YEAR('Asset Register'!M103)&lt;Settings!$B$5),0,INDEX('Schedule by Year'!$D103:$AD103,1,IF('Asset Register'!C103="",0,MAX(MIN(Settings!$B$5-YEAR('Asset Register'!C103)+1,27),0))))),0)</f>
        <v/>
      </c>
      <c r="G103" s="33">
        <f>IFERROR(IF(IF('Asset Register'!C103="",0,MAX(MIN(Settings!$B$5-YEAR('Asset Register'!C103)+1,27),0))&lt;=1,0,SUM(OFFSET('Schedule by Year'!$D103,0,0,1,IF('Asset Register'!C103="",0,MAX(MIN(Settings!$B$5-YEAR('Asset Register'!C103)+1,27),0))-1))),0)</f>
        <v/>
      </c>
      <c r="H103" s="34">
        <f>IF(Settings!$B$6="Schedule C (active)","Sch C, line 13",IF(Settings!$B$6="Schedule E (passive)","Sch E, line 18","Ask CPA"))</f>
        <v/>
      </c>
    </row>
    <row r="104" ht="17" customHeight="1">
      <c r="A104" s="37">
        <f>'Asset Register'!A104</f>
        <v/>
      </c>
      <c r="B104" s="34">
        <f>'Asset Register'!E104</f>
        <v/>
      </c>
      <c r="C104" s="40">
        <f>'Asset Register'!C104</f>
        <v/>
      </c>
      <c r="D104" s="33">
        <f>'Asset Register'!D104</f>
        <v/>
      </c>
      <c r="E104" s="33">
        <f>'Asset Register'!J104</f>
        <v/>
      </c>
      <c r="F104" s="41">
        <f>IFERROR(IF(IF('Asset Register'!C104="",0,MAX(MIN(Settings!$B$5-YEAR('Asset Register'!C104)+1,27),0))&lt;1,0,IF(AND('Asset Register'!M104&lt;&gt;"",YEAR('Asset Register'!M104)&lt;Settings!$B$5),0,INDEX('Schedule by Year'!$D104:$AD104,1,IF('Asset Register'!C104="",0,MAX(MIN(Settings!$B$5-YEAR('Asset Register'!C104)+1,27),0))))),0)</f>
        <v/>
      </c>
      <c r="G104" s="33">
        <f>IFERROR(IF(IF('Asset Register'!C104="",0,MAX(MIN(Settings!$B$5-YEAR('Asset Register'!C104)+1,27),0))&lt;=1,0,SUM(OFFSET('Schedule by Year'!$D104,0,0,1,IF('Asset Register'!C104="",0,MAX(MIN(Settings!$B$5-YEAR('Asset Register'!C104)+1,27),0))-1))),0)</f>
        <v/>
      </c>
      <c r="H104" s="34">
        <f>IF(Settings!$B$6="Schedule C (active)","Sch C, line 13",IF(Settings!$B$6="Schedule E (passive)","Sch E, line 18","Ask CPA"))</f>
        <v/>
      </c>
    </row>
    <row r="105" ht="17" customHeight="1">
      <c r="A105" s="37">
        <f>'Asset Register'!A105</f>
        <v/>
      </c>
      <c r="B105" s="34">
        <f>'Asset Register'!E105</f>
        <v/>
      </c>
      <c r="C105" s="40">
        <f>'Asset Register'!C105</f>
        <v/>
      </c>
      <c r="D105" s="33">
        <f>'Asset Register'!D105</f>
        <v/>
      </c>
      <c r="E105" s="33">
        <f>'Asset Register'!J105</f>
        <v/>
      </c>
      <c r="F105" s="41">
        <f>IFERROR(IF(IF('Asset Register'!C105="",0,MAX(MIN(Settings!$B$5-YEAR('Asset Register'!C105)+1,27),0))&lt;1,0,IF(AND('Asset Register'!M105&lt;&gt;"",YEAR('Asset Register'!M105)&lt;Settings!$B$5),0,INDEX('Schedule by Year'!$D105:$AD105,1,IF('Asset Register'!C105="",0,MAX(MIN(Settings!$B$5-YEAR('Asset Register'!C105)+1,27),0))))),0)</f>
        <v/>
      </c>
      <c r="G105" s="33">
        <f>IFERROR(IF(IF('Asset Register'!C105="",0,MAX(MIN(Settings!$B$5-YEAR('Asset Register'!C105)+1,27),0))&lt;=1,0,SUM(OFFSET('Schedule by Year'!$D105,0,0,1,IF('Asset Register'!C105="",0,MAX(MIN(Settings!$B$5-YEAR('Asset Register'!C105)+1,27),0))-1))),0)</f>
        <v/>
      </c>
      <c r="H105" s="34">
        <f>IF(Settings!$B$6="Schedule C (active)","Sch C, line 13",IF(Settings!$B$6="Schedule E (passive)","Sch E, line 18","Ask CPA"))</f>
        <v/>
      </c>
    </row>
    <row r="106" ht="17" customHeight="1">
      <c r="A106" s="37">
        <f>'Asset Register'!A106</f>
        <v/>
      </c>
      <c r="B106" s="34">
        <f>'Asset Register'!E106</f>
        <v/>
      </c>
      <c r="C106" s="40">
        <f>'Asset Register'!C106</f>
        <v/>
      </c>
      <c r="D106" s="33">
        <f>'Asset Register'!D106</f>
        <v/>
      </c>
      <c r="E106" s="33">
        <f>'Asset Register'!J106</f>
        <v/>
      </c>
      <c r="F106" s="41">
        <f>IFERROR(IF(IF('Asset Register'!C106="",0,MAX(MIN(Settings!$B$5-YEAR('Asset Register'!C106)+1,27),0))&lt;1,0,IF(AND('Asset Register'!M106&lt;&gt;"",YEAR('Asset Register'!M106)&lt;Settings!$B$5),0,INDEX('Schedule by Year'!$D106:$AD106,1,IF('Asset Register'!C106="",0,MAX(MIN(Settings!$B$5-YEAR('Asset Register'!C106)+1,27),0))))),0)</f>
        <v/>
      </c>
      <c r="G106" s="33">
        <f>IFERROR(IF(IF('Asset Register'!C106="",0,MAX(MIN(Settings!$B$5-YEAR('Asset Register'!C106)+1,27),0))&lt;=1,0,SUM(OFFSET('Schedule by Year'!$D106,0,0,1,IF('Asset Register'!C106="",0,MAX(MIN(Settings!$B$5-YEAR('Asset Register'!C106)+1,27),0))-1))),0)</f>
        <v/>
      </c>
      <c r="H106" s="34">
        <f>IF(Settings!$B$6="Schedule C (active)","Sch C, line 13",IF(Settings!$B$6="Schedule E (passive)","Sch E, line 18","Ask CPA"))</f>
        <v/>
      </c>
    </row>
    <row r="107" ht="17" customHeight="1">
      <c r="A107" s="37">
        <f>'Asset Register'!A107</f>
        <v/>
      </c>
      <c r="B107" s="34">
        <f>'Asset Register'!E107</f>
        <v/>
      </c>
      <c r="C107" s="40">
        <f>'Asset Register'!C107</f>
        <v/>
      </c>
      <c r="D107" s="33">
        <f>'Asset Register'!D107</f>
        <v/>
      </c>
      <c r="E107" s="33">
        <f>'Asset Register'!J107</f>
        <v/>
      </c>
      <c r="F107" s="41">
        <f>IFERROR(IF(IF('Asset Register'!C107="",0,MAX(MIN(Settings!$B$5-YEAR('Asset Register'!C107)+1,27),0))&lt;1,0,IF(AND('Asset Register'!M107&lt;&gt;"",YEAR('Asset Register'!M107)&lt;Settings!$B$5),0,INDEX('Schedule by Year'!$D107:$AD107,1,IF('Asset Register'!C107="",0,MAX(MIN(Settings!$B$5-YEAR('Asset Register'!C107)+1,27),0))))),0)</f>
        <v/>
      </c>
      <c r="G107" s="33">
        <f>IFERROR(IF(IF('Asset Register'!C107="",0,MAX(MIN(Settings!$B$5-YEAR('Asset Register'!C107)+1,27),0))&lt;=1,0,SUM(OFFSET('Schedule by Year'!$D107,0,0,1,IF('Asset Register'!C107="",0,MAX(MIN(Settings!$B$5-YEAR('Asset Register'!C107)+1,27),0))-1))),0)</f>
        <v/>
      </c>
      <c r="H107" s="34">
        <f>IF(Settings!$B$6="Schedule C (active)","Sch C, line 13",IF(Settings!$B$6="Schedule E (passive)","Sch E, line 18","Ask CPA"))</f>
        <v/>
      </c>
    </row>
    <row r="108" ht="26" customHeight="1">
      <c r="A108" s="35" t="inlineStr">
        <is>
          <t>Portfolio total →</t>
        </is>
      </c>
      <c r="F108" s="42">
        <f>SUM(F8:F107)</f>
        <v/>
      </c>
      <c r="G108" s="42">
        <f>SUM(G8:G107)</f>
        <v/>
      </c>
      <c r="H108" s="43" t="inlineStr">
        <is>
          <t>↓ drop on form</t>
        </is>
      </c>
    </row>
    <row r="110" ht="36" customHeight="1">
      <c r="A110" s="20" t="inlineStr">
        <is>
          <t>ⓘ  Schedule line mapping reads from Settings!B6.  Active business hosts (substantial services — daily cleaning, meals, concierge) file Schedule C; most STR landlords file Schedule E.  When in doubt, ask your CPA — the choice drives whether self-employment tax (15.3%) applies.</t>
        </is>
      </c>
    </row>
  </sheetData>
  <mergeCells count="6">
    <mergeCell ref="J2:L2"/>
    <mergeCell ref="D2:I2"/>
    <mergeCell ref="A108:E108"/>
    <mergeCell ref="A110:L110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HYPERLINK("#'Current Year Summary'!A1", "← BACK")</f>
        <v/>
      </c>
      <c r="B2" s="17" t="n"/>
      <c r="C2" s="17" t="n"/>
      <c r="D2" s="24" t="inlineStr">
        <is>
          <t>FORM 4562 WORKSHEET</t>
        </is>
      </c>
      <c r="J2" s="25">
        <f>HYPERLINK("#'Settings'!A1",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7" t="inlineStr">
        <is>
          <t>Mirror of IRS Form 4562 — Parts I (§179), II (Bonus), III (MACRS), and Part V (Listed Property — vehicles).  Print + hand to your CPA.</t>
        </is>
      </c>
    </row>
    <row r="6" ht="22" customHeight="1">
      <c r="A6" s="44" t="inlineStr">
        <is>
          <t>PART I — §179 ELECTION TO EXPENSE</t>
        </is>
      </c>
    </row>
    <row r="7" ht="18" customHeight="1">
      <c r="A7" s="45" t="inlineStr">
        <is>
          <t>1</t>
        </is>
      </c>
      <c r="B7" s="46" t="inlineStr">
        <is>
          <t>Total §179 elected (sum from Asset Register col H):</t>
        </is>
      </c>
      <c r="C7" s="47">
        <f>SUM('Asset Register'!H8:H107)</f>
        <v/>
      </c>
    </row>
    <row r="9" ht="22" customHeight="1">
      <c r="A9" s="44" t="inlineStr">
        <is>
          <t>PART II — SPECIAL DEPRECIATION (BONUS)</t>
        </is>
      </c>
    </row>
    <row r="10" ht="18" customHeight="1">
      <c r="A10" s="45" t="inlineStr">
        <is>
          <t>14</t>
        </is>
      </c>
      <c r="B10" s="46" t="inlineStr">
        <is>
          <t>Total Bonus depreciation (sum from Asset Register col I):</t>
        </is>
      </c>
      <c r="C10" s="47">
        <f>SUM('Asset Register'!I8:I107)</f>
        <v/>
      </c>
    </row>
    <row r="12" ht="22" customHeight="1">
      <c r="A12" s="44" t="inlineStr">
        <is>
          <t>PART III — MACRS DEPRECIATION (current year)</t>
        </is>
      </c>
    </row>
    <row r="13" ht="18" customHeight="1">
      <c r="A13" s="45" t="inlineStr">
        <is>
          <t>17</t>
        </is>
      </c>
      <c r="B13" s="15" t="inlineStr">
        <is>
          <t>MACRS deduction for assets placed in service prior years:</t>
        </is>
      </c>
      <c r="C13" s="33">
        <f>'Current Year Summary'!F109</f>
        <v/>
      </c>
    </row>
    <row r="14" ht="18" customHeight="1">
      <c r="A14" s="45" t="inlineStr">
        <is>
          <t>19a-i</t>
        </is>
      </c>
      <c r="B14" s="15" t="inlineStr">
        <is>
          <t>MACRS deduction for current-year placements (subset of 17):</t>
        </is>
      </c>
      <c r="C14" s="33">
        <f>SUMIFS('Current Year Summary'!F8:F107,'Asset Register'!C8:C107,"&gt;="&amp;DATE(Settings!$B$5,1,1))</f>
        <v/>
      </c>
    </row>
    <row r="15" ht="18" customHeight="1">
      <c r="A15" s="45" t="inlineStr">
        <is>
          <t>TOT</t>
        </is>
      </c>
      <c r="B15" s="46" t="inlineStr">
        <is>
          <t>GRAND TOTAL CURRENT-YEAR DEPRECIATION:</t>
        </is>
      </c>
      <c r="C15" s="47">
        <f>'Current Year Summary'!F109+SUM('Asset Register'!I8:I107)</f>
        <v/>
      </c>
    </row>
    <row r="17" ht="22" customHeight="1">
      <c r="A17" s="44" t="inlineStr">
        <is>
          <t>PART V — LISTED PROPERTY (VEHICLES) — §280F</t>
        </is>
      </c>
    </row>
    <row r="19" ht="28" customHeight="1">
      <c r="B19" s="29" t="inlineStr">
        <is>
          <t>Vehicle (Asset name)</t>
        </is>
      </c>
      <c r="C19" s="29" t="inlineStr">
        <is>
          <t>Date placed in service</t>
        </is>
      </c>
      <c r="D19" s="29" t="inlineStr">
        <is>
          <t>Total miles (Y)</t>
        </is>
      </c>
      <c r="E19" s="29" t="inlineStr">
        <is>
          <t>Business miles (Y)</t>
        </is>
      </c>
      <c r="F19" s="29" t="inlineStr">
        <is>
          <t>Commuting miles (Y)</t>
        </is>
      </c>
      <c r="G19" s="29" t="inlineStr">
        <is>
          <t>Other personal (Y)</t>
        </is>
      </c>
      <c r="H19" s="29" t="inlineStr">
        <is>
          <t>Business-use %</t>
        </is>
      </c>
      <c r="I19" s="29" t="inlineStr">
        <is>
          <t>Evidence kept?</t>
        </is>
      </c>
    </row>
    <row r="20" ht="17" customHeight="1">
      <c r="B20" s="30" t="inlineStr">
        <is>
          <t>Ford F-150 (heavy truck &gt;6,000lb)</t>
        </is>
      </c>
      <c r="C20" s="31" t="n">
        <v>45306</v>
      </c>
      <c r="D20" s="48" t="n">
        <v>12500</v>
      </c>
      <c r="E20" s="48" t="n">
        <v>9750</v>
      </c>
      <c r="F20" s="48" t="n">
        <v>1500</v>
      </c>
      <c r="G20" s="48" t="n">
        <v>1250</v>
      </c>
      <c r="H20" s="49" t="n">
        <v>0.78</v>
      </c>
      <c r="I20" s="30" t="inlineStr">
        <is>
          <t>Y</t>
        </is>
      </c>
    </row>
    <row r="21" ht="17" customHeight="1">
      <c r="B21" s="30" t="n"/>
      <c r="C21" s="31" t="n"/>
      <c r="D21" s="48" t="n"/>
      <c r="E21" s="48" t="n"/>
      <c r="F21" s="48" t="n"/>
      <c r="G21" s="48" t="n"/>
      <c r="H21" s="49" t="n"/>
      <c r="I21" s="30" t="n"/>
    </row>
    <row r="22" ht="17" customHeight="1">
      <c r="B22" s="30" t="n"/>
      <c r="C22" s="31" t="n"/>
      <c r="D22" s="48" t="n"/>
      <c r="E22" s="48" t="n"/>
      <c r="F22" s="48" t="n"/>
      <c r="G22" s="48" t="n"/>
      <c r="H22" s="49" t="n"/>
      <c r="I22" s="30" t="n"/>
    </row>
    <row r="23" ht="17" customHeight="1">
      <c r="B23" s="30" t="n"/>
      <c r="C23" s="31" t="n"/>
      <c r="D23" s="48" t="n"/>
      <c r="E23" s="48" t="n"/>
      <c r="F23" s="48" t="n"/>
      <c r="G23" s="48" t="n"/>
      <c r="H23" s="49" t="n"/>
      <c r="I23" s="30" t="n"/>
    </row>
    <row r="24" ht="17" customHeight="1">
      <c r="B24" s="30" t="n"/>
      <c r="C24" s="31" t="n"/>
      <c r="D24" s="48" t="n"/>
      <c r="E24" s="48" t="n"/>
      <c r="F24" s="48" t="n"/>
      <c r="G24" s="48" t="n"/>
      <c r="H24" s="49" t="n"/>
      <c r="I24" s="30" t="n"/>
    </row>
    <row r="26" ht="36" customHeight="1">
      <c r="A26" s="20" t="inlineStr">
        <is>
          <t>ⓘ  Listed-property §280F rule: vehicles must be used &gt; 50% for qualified business use to claim §179 or bonus depreciation in Year 1.  If business-use % drops to ≤ 50% in a later year, prior accelerated depreciation can be recaptured as ordinary income.  Investment use (e.g., bank trips for STR deposits) is deductible but does NOT count toward the 50% test.</t>
        </is>
      </c>
    </row>
    <row r="28" ht="36" customHeight="1">
      <c r="A28" s="20" t="inlineStr">
        <is>
          <t>ⓘ  Pull total / business / commuting miles from your TAX-001 Mileage Log if you maintain one.  Otherwise enter manual year-end totals.  Evidence-kept = log, calendar entries, receipts, contractor agreements supporting the business-use percentage.</t>
        </is>
      </c>
    </row>
  </sheetData>
  <mergeCells count="10">
    <mergeCell ref="A26:L26"/>
    <mergeCell ref="J2:L2"/>
    <mergeCell ref="D2:I2"/>
    <mergeCell ref="A28:L28"/>
    <mergeCell ref="A6:C6"/>
    <mergeCell ref="A17:C17"/>
    <mergeCell ref="A9:C9"/>
    <mergeCell ref="A12:C12"/>
    <mergeCell ref="A2:C2"/>
    <mergeCell ref="A4:L4"/>
  </mergeCells>
  <dataValidations count="1">
    <dataValidation sqref="I20:I24" showDropDown="0" showInputMessage="0" showErrorMessage="0" allowBlank="1" type="list">
      <formula1>"Y,N"</formula1>
    </dataValidation>
  </dataValidations>
  <pageMargins left="0.5" right="0.5" top="0.5" bottom="0.5" header="0.5" footer="0.5"/>
  <pageSetup orientation="portrait" paperSize="1" fitToHeight="1" fitToWidth="1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HYPERLINK("#'Form 4562 Worksheet'!A1", "← BACK")</f>
        <v/>
      </c>
      <c r="B2" s="17" t="n"/>
      <c r="C2" s="17" t="n"/>
      <c r="D2" s="2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50" t="inlineStr">
        <is>
          <t>Active tax year · property list · Schedule C/E classification · MACRS percentage table (IRS Pub 946 Tables A-1 / A-6).</t>
        </is>
      </c>
    </row>
    <row r="5" ht="22" customHeight="1">
      <c r="A5" s="51" t="inlineStr">
        <is>
          <t>Active tax year:</t>
        </is>
      </c>
      <c r="B5" s="52" t="n">
        <v>2026</v>
      </c>
    </row>
    <row r="6" ht="22" customHeight="1">
      <c r="A6" s="51" t="inlineStr">
        <is>
          <t>Schedule classification:</t>
        </is>
      </c>
      <c r="B6" s="30" t="inlineStr">
        <is>
          <t>Schedule E (passive)</t>
        </is>
      </c>
    </row>
    <row r="7">
      <c r="A7" s="53" t="inlineStr">
        <is>
          <t>Property list:</t>
        </is>
      </c>
      <c r="B7" s="30" t="inlineStr">
        <is>
          <t>Smokies Ridge Cabin</t>
        </is>
      </c>
    </row>
    <row r="8">
      <c r="B8" s="30" t="inlineStr">
        <is>
          <t>Creek Side Lodge</t>
        </is>
      </c>
    </row>
    <row r="9">
      <c r="B9" s="30" t="inlineStr">
        <is>
          <t>Lakehouse A</t>
        </is>
      </c>
    </row>
    <row r="10">
      <c r="B10" s="30" t="n"/>
    </row>
    <row r="11">
      <c r="B11" s="30" t="n"/>
    </row>
    <row r="12">
      <c r="B12" s="30" t="n"/>
    </row>
    <row r="13">
      <c r="B13" s="30" t="n"/>
    </row>
    <row r="14">
      <c r="B14" s="30" t="n"/>
    </row>
    <row r="15">
      <c r="B15" s="30" t="n"/>
    </row>
    <row r="16">
      <c r="B16" s="30" t="n"/>
    </row>
    <row r="18" ht="28" customHeight="1">
      <c r="A18" s="54" t="inlineStr">
        <is>
          <t>📅  MACRS percentage tables current as of IRS Pub 946 (2024 rev).  Tables A-1 / A-6 — half-year + mid-month conventions.  Update if IRS revises.</t>
        </is>
      </c>
    </row>
    <row r="20" ht="22" customHeight="1">
      <c r="A20" s="55" t="inlineStr">
        <is>
          <t>MACRS Percentage Table</t>
        </is>
      </c>
    </row>
    <row r="21" ht="22" customHeight="1">
      <c r="A21" s="56" t="inlineStr">
        <is>
          <t>Class</t>
        </is>
      </c>
      <c r="B21" s="56" t="inlineStr">
        <is>
          <t>Recovery (yr)</t>
        </is>
      </c>
      <c r="C21" s="56" t="inlineStr">
        <is>
          <t>Y1</t>
        </is>
      </c>
      <c r="D21" s="56" t="inlineStr">
        <is>
          <t>Y2</t>
        </is>
      </c>
      <c r="E21" s="56" t="inlineStr">
        <is>
          <t>Y3</t>
        </is>
      </c>
      <c r="F21" s="56" t="inlineStr">
        <is>
          <t>Y4</t>
        </is>
      </c>
      <c r="G21" s="56" t="inlineStr">
        <is>
          <t>Y5</t>
        </is>
      </c>
      <c r="H21" s="56" t="inlineStr">
        <is>
          <t>Y6</t>
        </is>
      </c>
      <c r="I21" s="56" t="inlineStr">
        <is>
          <t>Y7</t>
        </is>
      </c>
      <c r="J21" s="56" t="inlineStr">
        <is>
          <t>Y8</t>
        </is>
      </c>
      <c r="K21" s="56" t="inlineStr">
        <is>
          <t>Y9</t>
        </is>
      </c>
      <c r="L21" s="56" t="inlineStr">
        <is>
          <t>Y10</t>
        </is>
      </c>
      <c r="M21" s="56" t="inlineStr">
        <is>
          <t>Y11</t>
        </is>
      </c>
      <c r="N21" s="56" t="inlineStr">
        <is>
          <t>Y12</t>
        </is>
      </c>
      <c r="O21" s="56" t="inlineStr">
        <is>
          <t>Y13</t>
        </is>
      </c>
      <c r="P21" s="56" t="inlineStr">
        <is>
          <t>Y14</t>
        </is>
      </c>
      <c r="Q21" s="56" t="inlineStr">
        <is>
          <t>Y15</t>
        </is>
      </c>
      <c r="R21" s="56" t="inlineStr">
        <is>
          <t>Y16</t>
        </is>
      </c>
      <c r="S21" s="56" t="inlineStr">
        <is>
          <t>Y17</t>
        </is>
      </c>
      <c r="T21" s="56" t="inlineStr">
        <is>
          <t>Y18</t>
        </is>
      </c>
      <c r="U21" s="56" t="inlineStr">
        <is>
          <t>Y19</t>
        </is>
      </c>
      <c r="V21" s="56" t="inlineStr">
        <is>
          <t>Y20</t>
        </is>
      </c>
      <c r="W21" s="56" t="inlineStr">
        <is>
          <t>Y21</t>
        </is>
      </c>
      <c r="X21" s="56" t="inlineStr">
        <is>
          <t>Y22</t>
        </is>
      </c>
      <c r="Y21" s="56" t="inlineStr">
        <is>
          <t>Y23</t>
        </is>
      </c>
      <c r="Z21" s="56" t="inlineStr">
        <is>
          <t>Y24</t>
        </is>
      </c>
      <c r="AA21" s="56" t="inlineStr">
        <is>
          <t>Y25</t>
        </is>
      </c>
      <c r="AB21" s="56" t="inlineStr">
        <is>
          <t>Y26</t>
        </is>
      </c>
      <c r="AC21" s="56" t="inlineStr">
        <is>
          <t>Y27</t>
        </is>
      </c>
    </row>
    <row r="22" ht="16" customHeight="1">
      <c r="A22" s="57" t="inlineStr">
        <is>
          <t>5</t>
        </is>
      </c>
      <c r="B22" s="58" t="inlineStr">
        <is>
          <t>5</t>
        </is>
      </c>
      <c r="C22" s="59" t="n">
        <v>0.2</v>
      </c>
      <c r="D22" s="59" t="n">
        <v>0.32</v>
      </c>
      <c r="E22" s="59" t="n">
        <v>0.192</v>
      </c>
      <c r="F22" s="59" t="n">
        <v>0.1152</v>
      </c>
      <c r="G22" s="59" t="n">
        <v>0.1152</v>
      </c>
      <c r="H22" s="59" t="n">
        <v>0.0576</v>
      </c>
      <c r="I22" s="59" t="n">
        <v>0</v>
      </c>
      <c r="J22" s="59" t="n">
        <v>0</v>
      </c>
      <c r="K22" s="59" t="n">
        <v>0</v>
      </c>
      <c r="L22" s="59" t="n">
        <v>0</v>
      </c>
      <c r="M22" s="59" t="n">
        <v>0</v>
      </c>
      <c r="N22" s="59" t="n">
        <v>0</v>
      </c>
      <c r="O22" s="59" t="n">
        <v>0</v>
      </c>
      <c r="P22" s="59" t="n">
        <v>0</v>
      </c>
      <c r="Q22" s="59" t="n">
        <v>0</v>
      </c>
      <c r="R22" s="59" t="n">
        <v>0</v>
      </c>
      <c r="S22" s="59" t="n">
        <v>0</v>
      </c>
      <c r="T22" s="59" t="n">
        <v>0</v>
      </c>
      <c r="U22" s="59" t="n">
        <v>0</v>
      </c>
      <c r="V22" s="59" t="n">
        <v>0</v>
      </c>
      <c r="W22" s="59" t="n">
        <v>0</v>
      </c>
      <c r="X22" s="59" t="n">
        <v>0</v>
      </c>
      <c r="Y22" s="59" t="n">
        <v>0</v>
      </c>
      <c r="Z22" s="59" t="n">
        <v>0</v>
      </c>
      <c r="AA22" s="59" t="n">
        <v>0</v>
      </c>
      <c r="AB22" s="59" t="n">
        <v>0</v>
      </c>
      <c r="AC22" s="59" t="n">
        <v>0</v>
      </c>
    </row>
    <row r="23" ht="16" customHeight="1">
      <c r="A23" s="57" t="inlineStr">
        <is>
          <t>7</t>
        </is>
      </c>
      <c r="B23" s="58" t="inlineStr">
        <is>
          <t>7</t>
        </is>
      </c>
      <c r="C23" s="60" t="n">
        <v>0.1429</v>
      </c>
      <c r="D23" s="60" t="n">
        <v>0.2449</v>
      </c>
      <c r="E23" s="60" t="n">
        <v>0.1749</v>
      </c>
      <c r="F23" s="60" t="n">
        <v>0.1249</v>
      </c>
      <c r="G23" s="60" t="n">
        <v>0.0893</v>
      </c>
      <c r="H23" s="60" t="n">
        <v>0.0892</v>
      </c>
      <c r="I23" s="60" t="n">
        <v>0.0893</v>
      </c>
      <c r="J23" s="60" t="n">
        <v>0.0446</v>
      </c>
      <c r="K23" s="60" t="n">
        <v>0</v>
      </c>
      <c r="L23" s="60" t="n">
        <v>0</v>
      </c>
      <c r="M23" s="60" t="n">
        <v>0</v>
      </c>
      <c r="N23" s="60" t="n">
        <v>0</v>
      </c>
      <c r="O23" s="60" t="n">
        <v>0</v>
      </c>
      <c r="P23" s="60" t="n">
        <v>0</v>
      </c>
      <c r="Q23" s="60" t="n">
        <v>0</v>
      </c>
      <c r="R23" s="60" t="n">
        <v>0</v>
      </c>
      <c r="S23" s="60" t="n">
        <v>0</v>
      </c>
      <c r="T23" s="60" t="n">
        <v>0</v>
      </c>
      <c r="U23" s="60" t="n">
        <v>0</v>
      </c>
      <c r="V23" s="60" t="n">
        <v>0</v>
      </c>
      <c r="W23" s="60" t="n">
        <v>0</v>
      </c>
      <c r="X23" s="60" t="n">
        <v>0</v>
      </c>
      <c r="Y23" s="60" t="n">
        <v>0</v>
      </c>
      <c r="Z23" s="60" t="n">
        <v>0</v>
      </c>
      <c r="AA23" s="60" t="n">
        <v>0</v>
      </c>
      <c r="AB23" s="60" t="n">
        <v>0</v>
      </c>
      <c r="AC23" s="60" t="n">
        <v>0</v>
      </c>
    </row>
    <row r="24" ht="16" customHeight="1">
      <c r="A24" s="57" t="inlineStr">
        <is>
          <t>15</t>
        </is>
      </c>
      <c r="B24" s="58" t="inlineStr">
        <is>
          <t>15</t>
        </is>
      </c>
      <c r="C24" s="59" t="n">
        <v>0.05</v>
      </c>
      <c r="D24" s="59" t="n">
        <v>0.095</v>
      </c>
      <c r="E24" s="59" t="n">
        <v>0.08550000000000001</v>
      </c>
      <c r="F24" s="59" t="n">
        <v>0.077</v>
      </c>
      <c r="G24" s="59" t="n">
        <v>0.0693</v>
      </c>
      <c r="H24" s="59" t="n">
        <v>0.0623</v>
      </c>
      <c r="I24" s="59" t="n">
        <v>0.059</v>
      </c>
      <c r="J24" s="59" t="n">
        <v>0.059</v>
      </c>
      <c r="K24" s="59" t="n">
        <v>0.0591</v>
      </c>
      <c r="L24" s="59" t="n">
        <v>0.059</v>
      </c>
      <c r="M24" s="59" t="n">
        <v>0.0591</v>
      </c>
      <c r="N24" s="59" t="n">
        <v>0.059</v>
      </c>
      <c r="O24" s="59" t="n">
        <v>0.0591</v>
      </c>
      <c r="P24" s="59" t="n">
        <v>0.059</v>
      </c>
      <c r="Q24" s="59" t="n">
        <v>0.0591</v>
      </c>
      <c r="R24" s="59" t="n">
        <v>0.0295</v>
      </c>
      <c r="S24" s="59" t="n">
        <v>0</v>
      </c>
      <c r="T24" s="59" t="n">
        <v>0</v>
      </c>
      <c r="U24" s="59" t="n">
        <v>0</v>
      </c>
      <c r="V24" s="59" t="n">
        <v>0</v>
      </c>
      <c r="W24" s="59" t="n">
        <v>0</v>
      </c>
      <c r="X24" s="59" t="n">
        <v>0</v>
      </c>
      <c r="Y24" s="59" t="n">
        <v>0</v>
      </c>
      <c r="Z24" s="59" t="n">
        <v>0</v>
      </c>
      <c r="AA24" s="59" t="n">
        <v>0</v>
      </c>
      <c r="AB24" s="59" t="n">
        <v>0</v>
      </c>
      <c r="AC24" s="59" t="n">
        <v>0</v>
      </c>
    </row>
    <row r="25" ht="16" customHeight="1">
      <c r="A25" s="57" t="inlineStr">
        <is>
          <t>27.5</t>
        </is>
      </c>
      <c r="B25" s="58" t="inlineStr">
        <is>
          <t>27.5</t>
        </is>
      </c>
      <c r="C25" s="60" t="n">
        <v>0.03485</v>
      </c>
      <c r="D25" s="60" t="n">
        <v>0.03636</v>
      </c>
      <c r="E25" s="60" t="n">
        <v>0.03636</v>
      </c>
      <c r="F25" s="60" t="n">
        <v>0.03636</v>
      </c>
      <c r="G25" s="60" t="n">
        <v>0.03636</v>
      </c>
      <c r="H25" s="60" t="n">
        <v>0.03636</v>
      </c>
      <c r="I25" s="60" t="n">
        <v>0.03636</v>
      </c>
      <c r="J25" s="60" t="n">
        <v>0.03636</v>
      </c>
      <c r="K25" s="60" t="n">
        <v>0.03636</v>
      </c>
      <c r="L25" s="60" t="n">
        <v>0.03636</v>
      </c>
      <c r="M25" s="60" t="n">
        <v>0.03636</v>
      </c>
      <c r="N25" s="60" t="n">
        <v>0.03636</v>
      </c>
      <c r="O25" s="60" t="n">
        <v>0.03636</v>
      </c>
      <c r="P25" s="60" t="n">
        <v>0.03636</v>
      </c>
      <c r="Q25" s="60" t="n">
        <v>0.03636</v>
      </c>
      <c r="R25" s="60" t="n">
        <v>0.03636</v>
      </c>
      <c r="S25" s="60" t="n">
        <v>0.03636</v>
      </c>
      <c r="T25" s="60" t="n">
        <v>0.03636</v>
      </c>
      <c r="U25" s="60" t="n">
        <v>0.03636</v>
      </c>
      <c r="V25" s="60" t="n">
        <v>0.03636</v>
      </c>
      <c r="W25" s="60" t="n">
        <v>0.03636</v>
      </c>
      <c r="X25" s="60" t="n">
        <v>0.03636</v>
      </c>
      <c r="Y25" s="60" t="n">
        <v>0.03636</v>
      </c>
      <c r="Z25" s="60" t="n">
        <v>0.03636</v>
      </c>
      <c r="AA25" s="60" t="n">
        <v>0.03636</v>
      </c>
      <c r="AB25" s="60" t="n">
        <v>0.03636</v>
      </c>
      <c r="AC25" s="60" t="n">
        <v>0.03636</v>
      </c>
    </row>
    <row r="26" ht="16" customHeight="1">
      <c r="A26" s="57" t="inlineStr">
        <is>
          <t>39</t>
        </is>
      </c>
      <c r="B26" s="58" t="inlineStr">
        <is>
          <t>39</t>
        </is>
      </c>
      <c r="C26" s="59" t="n">
        <v>0.02461</v>
      </c>
      <c r="D26" s="59" t="n">
        <v>0.02564</v>
      </c>
      <c r="E26" s="59" t="n">
        <v>0.02564</v>
      </c>
      <c r="F26" s="59" t="n">
        <v>0.02564</v>
      </c>
      <c r="G26" s="59" t="n">
        <v>0.02564</v>
      </c>
      <c r="H26" s="59" t="n">
        <v>0.02564</v>
      </c>
      <c r="I26" s="59" t="n">
        <v>0.02564</v>
      </c>
      <c r="J26" s="59" t="n">
        <v>0.02564</v>
      </c>
      <c r="K26" s="59" t="n">
        <v>0.02564</v>
      </c>
      <c r="L26" s="59" t="n">
        <v>0.02564</v>
      </c>
      <c r="M26" s="59" t="n">
        <v>0.02564</v>
      </c>
      <c r="N26" s="59" t="n">
        <v>0.02564</v>
      </c>
      <c r="O26" s="59" t="n">
        <v>0.02564</v>
      </c>
      <c r="P26" s="59" t="n">
        <v>0.02564</v>
      </c>
      <c r="Q26" s="59" t="n">
        <v>0.02564</v>
      </c>
      <c r="R26" s="59" t="n">
        <v>0.02564</v>
      </c>
      <c r="S26" s="59" t="n">
        <v>0.02564</v>
      </c>
      <c r="T26" s="59" t="n">
        <v>0.02564</v>
      </c>
      <c r="U26" s="59" t="n">
        <v>0.02564</v>
      </c>
      <c r="V26" s="59" t="n">
        <v>0.02564</v>
      </c>
      <c r="W26" s="59" t="n">
        <v>0.02564</v>
      </c>
      <c r="X26" s="59" t="n">
        <v>0.02564</v>
      </c>
      <c r="Y26" s="59" t="n">
        <v>0.02564</v>
      </c>
      <c r="Z26" s="59" t="n">
        <v>0.02564</v>
      </c>
      <c r="AA26" s="59" t="n">
        <v>0.02564</v>
      </c>
      <c r="AB26" s="59" t="n">
        <v>0.02564</v>
      </c>
      <c r="AC26" s="59" t="n">
        <v>0.02564</v>
      </c>
    </row>
    <row r="27" ht="16" customHeight="1">
      <c r="A27" s="57" t="inlineStr">
        <is>
          <t>Land</t>
        </is>
      </c>
      <c r="B27" s="58" t="inlineStr">
        <is>
          <t>n/a</t>
        </is>
      </c>
      <c r="C27" s="60" t="n">
        <v>0</v>
      </c>
      <c r="D27" s="60" t="n">
        <v>0</v>
      </c>
      <c r="E27" s="60" t="n">
        <v>0</v>
      </c>
      <c r="F27" s="60" t="n">
        <v>0</v>
      </c>
      <c r="G27" s="60" t="n">
        <v>0</v>
      </c>
      <c r="H27" s="60" t="n">
        <v>0</v>
      </c>
      <c r="I27" s="60" t="n">
        <v>0</v>
      </c>
      <c r="J27" s="60" t="n">
        <v>0</v>
      </c>
      <c r="K27" s="60" t="n">
        <v>0</v>
      </c>
      <c r="L27" s="60" t="n">
        <v>0</v>
      </c>
      <c r="M27" s="60" t="n">
        <v>0</v>
      </c>
      <c r="N27" s="60" t="n">
        <v>0</v>
      </c>
      <c r="O27" s="60" t="n">
        <v>0</v>
      </c>
      <c r="P27" s="60" t="n">
        <v>0</v>
      </c>
      <c r="Q27" s="60" t="n">
        <v>0</v>
      </c>
      <c r="R27" s="60" t="n">
        <v>0</v>
      </c>
      <c r="S27" s="60" t="n">
        <v>0</v>
      </c>
      <c r="T27" s="60" t="n">
        <v>0</v>
      </c>
      <c r="U27" s="60" t="n">
        <v>0</v>
      </c>
      <c r="V27" s="60" t="n">
        <v>0</v>
      </c>
      <c r="W27" s="60" t="n">
        <v>0</v>
      </c>
      <c r="X27" s="60" t="n">
        <v>0</v>
      </c>
      <c r="Y27" s="60" t="n">
        <v>0</v>
      </c>
      <c r="Z27" s="60" t="n">
        <v>0</v>
      </c>
      <c r="AA27" s="60" t="n">
        <v>0</v>
      </c>
      <c r="AB27" s="60" t="n">
        <v>0</v>
      </c>
      <c r="AC27" s="60" t="n">
        <v>0</v>
      </c>
    </row>
    <row r="29" ht="8" customHeight="1"/>
    <row r="30" ht="22" customHeight="1">
      <c r="A30" s="55" t="inlineStr">
        <is>
          <t>Year-end Archive</t>
        </is>
      </c>
    </row>
    <row r="31" ht="18" customHeight="1">
      <c r="A31" s="29" t="inlineStr">
        <is>
          <t>Year</t>
        </is>
      </c>
      <c r="B31" s="29" t="inlineStr">
        <is>
          <t>Assets tracked</t>
        </is>
      </c>
      <c r="C31" s="29" t="inlineStr">
        <is>
          <t>Current-year deprec.</t>
        </is>
      </c>
      <c r="D31" s="29" t="inlineStr">
        <is>
          <t>Accumulated</t>
        </is>
      </c>
      <c r="E31" s="29" t="inlineStr">
        <is>
          <t>§179 used</t>
        </is>
      </c>
      <c r="F31" s="29" t="inlineStr">
        <is>
          <t>Bonus used</t>
        </is>
      </c>
    </row>
    <row r="32" ht="16" customHeight="1">
      <c r="A32" s="61" t="n">
        <v>2024</v>
      </c>
      <c r="B32" s="52" t="n"/>
      <c r="C32" s="32" t="n"/>
      <c r="D32" s="32" t="n"/>
      <c r="E32" s="32" t="n"/>
      <c r="F32" s="32" t="n"/>
    </row>
    <row r="33" ht="16" customHeight="1">
      <c r="A33" s="61" t="n">
        <v>2025</v>
      </c>
      <c r="B33" s="52" t="n"/>
      <c r="C33" s="32" t="n"/>
      <c r="D33" s="32" t="n"/>
      <c r="E33" s="32" t="n"/>
      <c r="F33" s="32" t="n"/>
    </row>
    <row r="34" ht="16" customHeight="1">
      <c r="A34" s="61" t="n">
        <v>2026</v>
      </c>
      <c r="B34" s="52" t="n"/>
      <c r="C34" s="32" t="n"/>
      <c r="D34" s="32" t="n"/>
      <c r="E34" s="32" t="n"/>
      <c r="F34" s="32" t="n"/>
    </row>
    <row r="35" ht="16" customHeight="1">
      <c r="A35" s="61" t="n">
        <v>2027</v>
      </c>
      <c r="B35" s="52" t="n"/>
      <c r="C35" s="32" t="n"/>
      <c r="D35" s="32" t="n"/>
      <c r="E35" s="32" t="n"/>
      <c r="F35" s="32" t="n"/>
    </row>
    <row r="36" ht="16" customHeight="1">
      <c r="A36" s="61" t="n">
        <v>2028</v>
      </c>
      <c r="B36" s="52" t="n"/>
      <c r="C36" s="32" t="n"/>
      <c r="D36" s="32" t="n"/>
      <c r="E36" s="32" t="n"/>
      <c r="F36" s="32" t="n"/>
    </row>
    <row r="37" ht="16" customHeight="1">
      <c r="A37" s="61" t="n">
        <v>2029</v>
      </c>
      <c r="B37" s="52" t="n"/>
      <c r="C37" s="32" t="n"/>
      <c r="D37" s="32" t="n"/>
      <c r="E37" s="32" t="n"/>
      <c r="F37" s="32" t="n"/>
    </row>
    <row r="38" ht="16" customHeight="1">
      <c r="A38" s="61" t="n">
        <v>2030</v>
      </c>
      <c r="B38" s="52" t="n"/>
      <c r="C38" s="32" t="n"/>
      <c r="D38" s="32" t="n"/>
      <c r="E38" s="32" t="n"/>
      <c r="F38" s="32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</row>
    <row r="42" ht="18" customHeight="1">
      <c r="A42" s="22" t="inlineStr">
        <is>
          <t>Questions? hello@thestrledger.com</t>
        </is>
      </c>
    </row>
    <row r="43" ht="18" customHeight="1">
      <c r="A43" s="23" t="inlineStr">
        <is>
          <t>TAX-013 · v2.3 · Free updates forever</t>
        </is>
      </c>
    </row>
  </sheetData>
  <mergeCells count="6">
    <mergeCell ref="D2:L2"/>
    <mergeCell ref="A42:L42"/>
    <mergeCell ref="A43:L43"/>
    <mergeCell ref="A18:F18"/>
    <mergeCell ref="A2:C2"/>
    <mergeCell ref="A4:L4"/>
  </mergeCells>
  <dataValidations count="1">
    <dataValidation sqref="B6" showDropDown="0" showInputMessage="0" showErrorMessage="0" allowBlank="1" type="list">
      <formula1>"Schedule E (passive),Schedule C (active),Ask my CPA"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Depreciation Tracker — The STR Ledger</dc:title>
  <dc:description xmlns:dc="http://purl.org/dc/elements/1.1/">Master depreciation register (5/7/15/27.5/39-yr MACRS) for STR hosts. Year-by-year schedule + Form 4562 worksheet + Part V listed property.</dc:description>
  <dcterms:created xmlns:dcterms="http://purl.org/dc/terms/" xmlns:xsi="http://www.w3.org/2001/XMLSchema-instance" xsi:type="dcterms:W3CDTF">2026-05-03T19:04:35Z</dcterms:created>
  <dcterms:modified xmlns:dcterms="http://purl.org/dc/terms/" xmlns:xsi="http://www.w3.org/2001/XMLSchema-instance" xsi:type="dcterms:W3CDTF">2026-05-03T19:04:35Z</dcterms:modified>
</cp:coreProperties>
</file>