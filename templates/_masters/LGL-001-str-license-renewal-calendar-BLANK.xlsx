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Licenses" sheetId="2" state="visible" r:id="rId2"/>
    <sheet xmlns:r="http://schemas.openxmlformats.org/officeDocument/2006/relationships" name="12-Month Calendar" sheetId="3" state="visible" r:id="rId3"/>
    <sheet xmlns:r="http://schemas.openxmlformats.org/officeDocument/2006/relationships" name="Settings" sheetId="4" state="visible" r:id="rId4"/>
  </sheets>
  <definedNames>
    <definedName name="_xlnm.Print_Area" localSheetId="0">'Start'!$A$1:$L$33</definedName>
    <definedName name="_xlnm.Print_Titles" localSheetId="1">'Licenses'!$1:$6</definedName>
    <definedName name="_xlnm.Print_Titles" localSheetId="2">'12-Month Calendar'!$1:$6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&quot;$&quot;#,##0.00"/>
    <numFmt numFmtId="167" formatCode="&quot;$&quot;#,##0;;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28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Calibri"/>
      <b val="1"/>
      <color rgb="00FFFFFF"/>
      <sz val="11"/>
    </font>
    <font>
      <name val="Consolas"/>
      <b val="1"/>
      <color rgb="0012304E"/>
      <sz val="10"/>
    </font>
    <font>
      <name val="Calibri"/>
      <color rgb="002B2B2B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2B2B2B"/>
      <sz val="10"/>
    </font>
    <font>
      <name val="Calibri"/>
      <color rgb="002B2B2B"/>
      <sz val="11"/>
    </font>
    <font>
      <name val="Consolas"/>
      <b val="1"/>
      <color rgb="00FFFFFF"/>
      <sz val="10"/>
    </font>
    <font>
      <name val="Calibri"/>
    </font>
    <font>
      <name val="Georgia"/>
      <b val="1"/>
      <color rgb="0012304E"/>
      <sz val="14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B91C1C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DEDED"/>
      </patternFill>
    </fill>
    <fill>
      <patternFill patternType="solid">
        <fgColor rgb="00FFF7D6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1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" fontId="9" fillId="3" borderId="4" applyAlignment="1" pivotButton="0" quotePrefix="0" xfId="0">
      <alignment horizontal="center" vertical="center"/>
    </xf>
    <xf numFmtId="1" fontId="11" fillId="3" borderId="4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left" vertical="center" indent="2"/>
    </xf>
    <xf numFmtId="0" fontId="14" fillId="6" borderId="0" applyAlignment="1" pivotButton="0" quotePrefix="0" xfId="0">
      <alignment horizontal="left" vertical="center" wrapText="1" indent="1"/>
    </xf>
    <xf numFmtId="0" fontId="15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2" fillId="7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16" fillId="7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20" fillId="3" borderId="0" applyAlignment="1" pivotButton="0" quotePrefix="0" xfId="0">
      <alignment horizontal="left" vertical="center" indent="1"/>
    </xf>
    <xf numFmtId="0" fontId="12" fillId="2" borderId="14" applyAlignment="1" pivotButton="0" quotePrefix="0" xfId="0">
      <alignment horizontal="center" vertical="center"/>
    </xf>
    <xf numFmtId="0" fontId="23" fillId="9" borderId="0" applyAlignment="1" pivotButton="0" quotePrefix="0" xfId="0">
      <alignment horizontal="left" vertical="center"/>
    </xf>
    <xf numFmtId="165" fontId="23" fillId="9" borderId="0" applyAlignment="1" pivotButton="0" quotePrefix="0" xfId="0">
      <alignment horizontal="left" vertical="center"/>
    </xf>
    <xf numFmtId="1" fontId="21" fillId="8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166" fontId="23" fillId="9" borderId="0" applyAlignment="1" pivotButton="0" quotePrefix="0" xfId="0">
      <alignment horizontal="left" vertical="center"/>
    </xf>
    <xf numFmtId="0" fontId="23" fillId="9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 indent="1"/>
    </xf>
    <xf numFmtId="167" fontId="21" fillId="8" borderId="0" applyAlignment="1" pivotButton="0" quotePrefix="0" xfId="0">
      <alignment horizontal="right" vertical="center"/>
    </xf>
    <xf numFmtId="0" fontId="14" fillId="6" borderId="0" applyAlignment="1" pivotButton="0" quotePrefix="0" xfId="0">
      <alignment horizontal="left" vertical="center" indent="1"/>
    </xf>
    <xf numFmtId="167" fontId="21" fillId="6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right" vertical="center" indent="1"/>
    </xf>
    <xf numFmtId="167" fontId="12" fillId="2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" fontId="23" fillId="9" borderId="0" applyAlignment="1" pivotButton="0" quotePrefix="0" xfId="0">
      <alignment horizontal="center" vertical="center"/>
    </xf>
    <xf numFmtId="1" fontId="26" fillId="9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7">
    <dxf>
      <fill>
        <patternFill patternType="solid">
          <fgColor rgb="00166534"/>
        </patternFill>
      </fill>
    </dxf>
    <dxf>
      <font>
        <name val="Calibri"/>
        <b val="1"/>
        <color rgb="00B91C1C"/>
        <sz val="10"/>
      </font>
      <fill>
        <patternFill patternType="solid">
          <fgColor rgb="00FFCCCC"/>
        </patternFill>
      </fill>
    </dxf>
    <dxf>
      <fill>
        <patternFill patternType="solid">
          <fgColor rgb="00E2C884"/>
        </patternFill>
      </fill>
    </dxf>
    <dxf>
      <fill>
        <patternFill patternType="solid">
          <fgColor rgb="00F6EFE2"/>
        </patternFill>
      </fill>
    </dxf>
    <dxf>
      <font>
        <name val="Calibri"/>
        <b val="1"/>
        <color rgb="00FFFFFF"/>
        <sz val="10"/>
      </font>
      <fill>
        <patternFill patternType="solid">
          <fgColor rgb="00B91C1C"/>
        </patternFill>
      </fill>
    </dxf>
    <dxf>
      <font>
        <name val="Calibri"/>
        <b val="1"/>
        <color rgb="0012304E"/>
        <sz val="10"/>
      </font>
      <fill>
        <patternFill patternType="solid">
          <fgColor rgb="00E2C884"/>
        </patternFill>
      </fill>
    </dxf>
    <dxf>
      <font>
        <name val="Calibri"/>
        <b val="1"/>
        <color rgb="0012304E"/>
        <sz val="10"/>
      </font>
      <fill>
        <patternFill patternType="solid">
          <fgColor rgb="00F6EF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STR License Renewal Calendar</t>
        </is>
      </c>
    </row>
    <row r="5" ht="22" customHeight="1">
      <c r="A5" s="4" t="inlineStr">
        <is>
          <t>Never lose a listing to an expired permit.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LGL-001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ACTIVE</t>
        </is>
      </c>
      <c r="B10" s="7" t="n"/>
      <c r="C10" s="8" t="n"/>
      <c r="D10" s="9" t="inlineStr">
        <is>
          <t>EXPIRING &lt;30 DAYS</t>
        </is>
      </c>
      <c r="E10" s="7" t="n"/>
      <c r="F10" s="8" t="n"/>
      <c r="G10" s="10" t="inlineStr">
        <is>
          <t>EXPIRING 30-90</t>
        </is>
      </c>
      <c r="H10" s="7" t="n"/>
      <c r="I10" s="8" t="n"/>
      <c r="J10" s="6" t="inlineStr">
        <is>
          <t>FEES YTD</t>
        </is>
      </c>
      <c r="K10" s="7" t="n"/>
      <c r="L10" s="8" t="n"/>
    </row>
    <row r="11">
      <c r="A11" s="11">
        <f>COUNTIF('Licenses'!H7:H106,"*Active*")</f>
        <v/>
      </c>
      <c r="B11" s="12" t="n"/>
      <c r="C11" s="13" t="n"/>
      <c r="D11" s="14">
        <f>COUNTIFS('Licenses'!G7:G106,"&gt;=0",'Licenses'!G7:G106,"&lt;30")</f>
        <v/>
      </c>
      <c r="E11" s="12" t="n"/>
      <c r="F11" s="13" t="n"/>
      <c r="G11" s="15">
        <f>COUNTIFS('Licenses'!G7:G106,"&gt;=30",'Licenses'!G7:G106,"&lt;90")</f>
        <v/>
      </c>
      <c r="H11" s="12" t="n"/>
      <c r="I11" s="13" t="n"/>
      <c r="J11" s="16">
        <f>SUMPRODUCT((YEAR('Licenses'!E7:E106)=YEAR(TODAY()))*'Licenses'!I7:I106)</f>
        <v/>
      </c>
      <c r="K11" s="12" t="n"/>
      <c r="L11" s="13" t="n"/>
    </row>
    <row r="12">
      <c r="A12" s="17" t="n"/>
      <c r="B12" s="12" t="n"/>
      <c r="C12" s="13" t="n"/>
      <c r="D12" s="17" t="n"/>
      <c r="E12" s="12" t="n"/>
      <c r="F12" s="13" t="n"/>
      <c r="G12" s="17" t="n"/>
      <c r="H12" s="12" t="n"/>
      <c r="I12" s="13" t="n"/>
      <c r="J12" s="17" t="n"/>
      <c r="K12" s="12" t="n"/>
      <c r="L12" s="13" t="n"/>
    </row>
    <row r="13">
      <c r="A13" s="17" t="n"/>
      <c r="B13" s="12" t="n"/>
      <c r="C13" s="13" t="n"/>
      <c r="D13" s="17" t="n"/>
      <c r="E13" s="12" t="n"/>
      <c r="F13" s="13" t="n"/>
      <c r="G13" s="17" t="n"/>
      <c r="H13" s="12" t="n"/>
      <c r="I13" s="13" t="n"/>
      <c r="J13" s="17" t="n"/>
      <c r="K13" s="12" t="n"/>
      <c r="L13" s="13" t="n"/>
    </row>
    <row r="14">
      <c r="A14" s="18" t="inlineStr">
        <is>
          <t>licenses currently in force</t>
        </is>
      </c>
      <c r="B14" s="12" t="n"/>
      <c r="C14" s="13" t="n"/>
      <c r="D14" s="18" t="inlineStr">
        <is>
          <t>renew now — listing risk</t>
        </is>
      </c>
      <c r="E14" s="12" t="n"/>
      <c r="F14" s="13" t="n"/>
      <c r="G14" s="18" t="inlineStr">
        <is>
          <t>schedule renewal soon</t>
        </is>
      </c>
      <c r="H14" s="12" t="n"/>
      <c r="I14" s="13" t="n"/>
      <c r="J14" s="18" t="inlineStr">
        <is>
          <t>renewal fees paid this year</t>
        </is>
      </c>
      <c r="K14" s="12" t="n"/>
      <c r="L14" s="13" t="n"/>
    </row>
    <row r="15">
      <c r="A15" s="19" t="n"/>
      <c r="B15" s="20" t="n"/>
      <c r="C15" s="21" t="n"/>
      <c r="D15" s="19" t="n"/>
      <c r="E15" s="20" t="n"/>
      <c r="F15" s="21" t="n"/>
      <c r="G15" s="19" t="n"/>
      <c r="H15" s="20" t="n"/>
      <c r="I15" s="21" t="n"/>
      <c r="J15" s="19" t="n"/>
      <c r="K15" s="20" t="n"/>
      <c r="L15" s="21" t="n"/>
    </row>
    <row r="17" ht="36" customHeight="1">
      <c r="A17" s="22">
        <f>IF(COUNTIF('Licenses'!H7:H106,"*Expired*")&gt;0,"OPERATING WHILE EXPIRED — STOP. One or more licenses below are past their renewal date. Renew before the next booking starts.","ALL CLEAR — No expired licenses in your portfolio.")</f>
        <v/>
      </c>
    </row>
    <row r="19" ht="22" customHeight="1">
      <c r="A19" s="23" t="inlineStr">
        <is>
          <t>HOW TO USE</t>
        </is>
      </c>
    </row>
    <row r="20">
      <c r="A20" s="24" t="inlineStr">
        <is>
          <t xml:space="preserve">  1. Open Licenses — log every STR-related permit per property (STR permit, business license, sales tax, fire/safety, lottery).
  2. Check the 12-Month Calendar tab to see fee timing across the next year — set aside cash for the high-fee months.
  3. The Status column auto-flips to ⚠ Expired / 🔴 Critical / 🟡 Soon / ✅ Active based on days-to-expiration.</t>
        </is>
      </c>
    </row>
    <row r="21"/>
    <row r="22"/>
    <row r="23"/>
    <row r="25" ht="22" customHeight="1">
      <c r="A25" s="25">
        <f>HYPERLINK("#'Licenses'!A7", "→ Add License")</f>
        <v/>
      </c>
      <c r="B25" s="26" t="n"/>
      <c r="C25" s="26" t="n"/>
      <c r="D25" s="26" t="n"/>
      <c r="E25" s="25">
        <f>HYPERLINK("#'12-Month Calendar'!A1", "12-Month Calendar")</f>
        <v/>
      </c>
      <c r="F25" s="26" t="n"/>
      <c r="G25" s="26" t="n"/>
      <c r="H25" s="26" t="n"/>
      <c r="I25" s="27">
        <f>HYPERLINK("#'Settings'!A1", "Settings")</f>
        <v/>
      </c>
      <c r="J25" s="28" t="n"/>
      <c r="K25" s="28" t="n"/>
      <c r="L25" s="28" t="n"/>
    </row>
    <row r="26" ht="22" customHeight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8" t="n"/>
      <c r="J26" s="28" t="n"/>
      <c r="K26" s="28" t="n"/>
      <c r="L26" s="28" t="n"/>
    </row>
    <row r="27" ht="22" customHeight="1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8" t="n"/>
      <c r="J27" s="28" t="n"/>
      <c r="K27" s="28" t="n"/>
      <c r="L27" s="28" t="n"/>
    </row>
    <row r="29" ht="36" customHeight="1">
      <c r="A29" s="29" t="inlineStr">
        <is>
          <t>Need broader coverage across multi-jurisdiction portfolios? Upgrade to OPS-003 License/Permit Tracker at thestrledger.com/upgrade.</t>
        </is>
      </c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</row>
    <row r="32" ht="18" customHeight="1">
      <c r="A32" s="31" t="inlineStr">
        <is>
          <t>Questions? hello@thestrledger.com</t>
        </is>
      </c>
    </row>
    <row r="33" ht="18" customHeight="1">
      <c r="A33" s="32" t="inlineStr">
        <is>
          <t>LGL-001 · v1.0 · BLANK · Free updates forever</t>
        </is>
      </c>
    </row>
  </sheetData>
  <mergeCells count="25">
    <mergeCell ref="A7:L7"/>
    <mergeCell ref="G10:I10"/>
    <mergeCell ref="D14:F15"/>
    <mergeCell ref="A20:L23"/>
    <mergeCell ref="J14:L15"/>
    <mergeCell ref="D11:F13"/>
    <mergeCell ref="A2:F2"/>
    <mergeCell ref="J11:L13"/>
    <mergeCell ref="A33:L33"/>
    <mergeCell ref="E25:H27"/>
    <mergeCell ref="A5:L5"/>
    <mergeCell ref="A32:L32"/>
    <mergeCell ref="A17:L17"/>
    <mergeCell ref="A4:L4"/>
    <mergeCell ref="A10:C10"/>
    <mergeCell ref="A29:L29"/>
    <mergeCell ref="A19:L19"/>
    <mergeCell ref="D10:F10"/>
    <mergeCell ref="J10:L10"/>
    <mergeCell ref="G14:I15"/>
    <mergeCell ref="A25:D27"/>
    <mergeCell ref="I25:L27"/>
    <mergeCell ref="A14:C15"/>
    <mergeCell ref="A11:C13"/>
    <mergeCell ref="G11:I13"/>
  </mergeCells>
  <conditionalFormatting sqref="A17:L17">
    <cfRule type="expression" priority="1" dxfId="0">
      <formula>COUNTIF('Licenses'!H7:H106,"*Expired*")=0</formula>
    </cfRule>
  </conditionalFormatting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28" customWidth="1" min="10" max="10"/>
    <col width="10" customWidth="1" min="11" max="11"/>
    <col width="30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HYPERLINK("#'Start'!A1", "← BACK")</f>
        <v/>
      </c>
      <c r="B2" s="26" t="n"/>
      <c r="C2" s="26" t="n"/>
      <c r="D2" s="33" t="inlineStr">
        <is>
          <t>LICENSES</t>
        </is>
      </c>
      <c r="J2" s="34">
        <f>HYPERLINK("#'12-Month Calendar'!A1", "NEXT →")</f>
        <v/>
      </c>
      <c r="K2" s="35" t="n"/>
      <c r="L2" s="3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One row per STR-related license. Days-to-expiration and Status auto-calculate from the Expires date — keep that column accurate.</t>
        </is>
      </c>
    </row>
    <row r="5" ht="6" customHeight="1"/>
    <row r="6" ht="28" customHeight="1">
      <c r="A6" s="37" t="inlineStr">
        <is>
          <t>License #</t>
        </is>
      </c>
      <c r="B6" s="37" t="inlineStr">
        <is>
          <t>Property</t>
        </is>
      </c>
      <c r="C6" s="37" t="inlineStr">
        <is>
          <t>Jurisdiction</t>
        </is>
      </c>
      <c r="D6" s="37" t="inlineStr">
        <is>
          <t>Type</t>
        </is>
      </c>
      <c r="E6" s="37" t="inlineStr">
        <is>
          <t>Issued</t>
        </is>
      </c>
      <c r="F6" s="37" t="inlineStr">
        <is>
          <t>Expires</t>
        </is>
      </c>
      <c r="G6" s="37" t="inlineStr">
        <is>
          <t>Days</t>
        </is>
      </c>
      <c r="H6" s="37" t="inlineStr">
        <is>
          <t>Status</t>
        </is>
      </c>
      <c r="I6" s="37" t="inlineStr">
        <is>
          <t>Renewal $</t>
        </is>
      </c>
      <c r="J6" s="37" t="inlineStr">
        <is>
          <t>Process URL</t>
        </is>
      </c>
      <c r="K6" s="37" t="inlineStr">
        <is>
          <t>Lead days</t>
        </is>
      </c>
      <c r="L6" s="37" t="inlineStr">
        <is>
          <t>Notes</t>
        </is>
      </c>
    </row>
    <row r="7" ht="20" customHeight="1">
      <c r="A7" s="38" t="n"/>
      <c r="B7" s="38" t="n"/>
      <c r="C7" s="38" t="n"/>
      <c r="D7" s="38" t="n"/>
      <c r="E7" s="39" t="n"/>
      <c r="F7" s="39" t="n"/>
      <c r="G7" s="40">
        <f>IF(F7&lt;&gt;"",F7-TODAY(),"")</f>
        <v/>
      </c>
      <c r="H7" s="41">
        <f>IF(F7="","",IF(G7&lt;0,"⚠ Expired",IF(G7&lt;30,"🔴 Critical",IF(G7&lt;90,"🟡 Soon","✅ Active"))))</f>
        <v/>
      </c>
      <c r="I7" s="42" t="n"/>
      <c r="J7" s="38" t="n"/>
      <c r="K7" s="43" t="n"/>
      <c r="L7" s="38" t="n"/>
    </row>
    <row r="8" ht="20" customHeight="1">
      <c r="A8" s="38" t="n"/>
      <c r="B8" s="38" t="n"/>
      <c r="C8" s="38" t="n"/>
      <c r="D8" s="38" t="n"/>
      <c r="E8" s="39" t="n"/>
      <c r="F8" s="39" t="n"/>
      <c r="G8" s="40">
        <f>IF(F8&lt;&gt;"",F8-TODAY(),"")</f>
        <v/>
      </c>
      <c r="H8" s="41">
        <f>IF(F8="","",IF(G8&lt;0,"⚠ Expired",IF(G8&lt;30,"🔴 Critical",IF(G8&lt;90,"🟡 Soon","✅ Active"))))</f>
        <v/>
      </c>
      <c r="I8" s="42" t="n"/>
      <c r="J8" s="38" t="n"/>
      <c r="K8" s="43" t="n"/>
      <c r="L8" s="38" t="n"/>
    </row>
    <row r="9" ht="20" customHeight="1">
      <c r="A9" s="38" t="n"/>
      <c r="B9" s="38" t="n"/>
      <c r="C9" s="38" t="n"/>
      <c r="D9" s="38" t="n"/>
      <c r="E9" s="39" t="n"/>
      <c r="F9" s="39" t="n"/>
      <c r="G9" s="40">
        <f>IF(F9&lt;&gt;"",F9-TODAY(),"")</f>
        <v/>
      </c>
      <c r="H9" s="41">
        <f>IF(F9="","",IF(G9&lt;0,"⚠ Expired",IF(G9&lt;30,"🔴 Critical",IF(G9&lt;90,"🟡 Soon","✅ Active"))))</f>
        <v/>
      </c>
      <c r="I9" s="42" t="n"/>
      <c r="J9" s="38" t="n"/>
      <c r="K9" s="43" t="n"/>
      <c r="L9" s="38" t="n"/>
    </row>
    <row r="10" ht="20" customHeight="1">
      <c r="A10" s="38" t="n"/>
      <c r="B10" s="38" t="n"/>
      <c r="C10" s="38" t="n"/>
      <c r="D10" s="38" t="n"/>
      <c r="E10" s="39" t="n"/>
      <c r="F10" s="39" t="n"/>
      <c r="G10" s="40">
        <f>IF(F10&lt;&gt;"",F10-TODAY(),"")</f>
        <v/>
      </c>
      <c r="H10" s="41">
        <f>IF(F10="","",IF(G10&lt;0,"⚠ Expired",IF(G10&lt;30,"🔴 Critical",IF(G10&lt;90,"🟡 Soon","✅ Active"))))</f>
        <v/>
      </c>
      <c r="I10" s="42" t="n"/>
      <c r="J10" s="38" t="n"/>
      <c r="K10" s="43" t="n"/>
      <c r="L10" s="38" t="n"/>
    </row>
    <row r="11" ht="20" customHeight="1">
      <c r="A11" s="38" t="n"/>
      <c r="B11" s="38" t="n"/>
      <c r="C11" s="38" t="n"/>
      <c r="D11" s="38" t="n"/>
      <c r="E11" s="39" t="n"/>
      <c r="F11" s="39" t="n"/>
      <c r="G11" s="40">
        <f>IF(F11&lt;&gt;"",F11-TODAY(),"")</f>
        <v/>
      </c>
      <c r="H11" s="41">
        <f>IF(F11="","",IF(G11&lt;0,"⚠ Expired",IF(G11&lt;30,"🔴 Critical",IF(G11&lt;90,"🟡 Soon","✅ Active"))))</f>
        <v/>
      </c>
      <c r="I11" s="42" t="n"/>
      <c r="J11" s="38" t="n"/>
      <c r="K11" s="43" t="n"/>
      <c r="L11" s="38" t="n"/>
    </row>
    <row r="12" ht="20" customHeight="1">
      <c r="A12" s="38" t="n"/>
      <c r="B12" s="38" t="n"/>
      <c r="C12" s="38" t="n"/>
      <c r="D12" s="38" t="n"/>
      <c r="E12" s="39" t="n"/>
      <c r="F12" s="39" t="n"/>
      <c r="G12" s="40">
        <f>IF(F12&lt;&gt;"",F12-TODAY(),"")</f>
        <v/>
      </c>
      <c r="H12" s="41">
        <f>IF(F12="","",IF(G12&lt;0,"⚠ Expired",IF(G12&lt;30,"🔴 Critical",IF(G12&lt;90,"🟡 Soon","✅ Active"))))</f>
        <v/>
      </c>
      <c r="I12" s="42" t="n"/>
      <c r="J12" s="38" t="n"/>
      <c r="K12" s="43" t="n"/>
      <c r="L12" s="38" t="n"/>
    </row>
    <row r="13" ht="20" customHeight="1">
      <c r="A13" s="38" t="n"/>
      <c r="B13" s="38" t="n"/>
      <c r="C13" s="38" t="n"/>
      <c r="D13" s="38" t="n"/>
      <c r="E13" s="39" t="n"/>
      <c r="F13" s="39" t="n"/>
      <c r="G13" s="40">
        <f>IF(F13&lt;&gt;"",F13-TODAY(),"")</f>
        <v/>
      </c>
      <c r="H13" s="41">
        <f>IF(F13="","",IF(G13&lt;0,"⚠ Expired",IF(G13&lt;30,"🔴 Critical",IF(G13&lt;90,"🟡 Soon","✅ Active"))))</f>
        <v/>
      </c>
      <c r="I13" s="42" t="n"/>
      <c r="J13" s="38" t="n"/>
      <c r="K13" s="43" t="n"/>
      <c r="L13" s="38" t="n"/>
    </row>
    <row r="14" ht="20" customHeight="1">
      <c r="A14" s="38" t="n"/>
      <c r="B14" s="38" t="n"/>
      <c r="C14" s="38" t="n"/>
      <c r="D14" s="38" t="n"/>
      <c r="E14" s="39" t="n"/>
      <c r="F14" s="39" t="n"/>
      <c r="G14" s="40">
        <f>IF(F14&lt;&gt;"",F14-TODAY(),"")</f>
        <v/>
      </c>
      <c r="H14" s="41">
        <f>IF(F14="","",IF(G14&lt;0,"⚠ Expired",IF(G14&lt;30,"🔴 Critical",IF(G14&lt;90,"🟡 Soon","✅ Active"))))</f>
        <v/>
      </c>
      <c r="I14" s="42" t="n"/>
      <c r="J14" s="38" t="n"/>
      <c r="K14" s="43" t="n"/>
      <c r="L14" s="38" t="n"/>
    </row>
    <row r="15" ht="20" customHeight="1">
      <c r="A15" s="38" t="n"/>
      <c r="B15" s="38" t="n"/>
      <c r="C15" s="38" t="n"/>
      <c r="D15" s="38" t="n"/>
      <c r="E15" s="39" t="n"/>
      <c r="F15" s="39" t="n"/>
      <c r="G15" s="40">
        <f>IF(F15&lt;&gt;"",F15-TODAY(),"")</f>
        <v/>
      </c>
      <c r="H15" s="41">
        <f>IF(F15="","",IF(G15&lt;0,"⚠ Expired",IF(G15&lt;30,"🔴 Critical",IF(G15&lt;90,"🟡 Soon","✅ Active"))))</f>
        <v/>
      </c>
      <c r="I15" s="42" t="n"/>
      <c r="J15" s="38" t="n"/>
      <c r="K15" s="43" t="n"/>
      <c r="L15" s="38" t="n"/>
    </row>
    <row r="16" ht="20" customHeight="1">
      <c r="A16" s="38" t="n"/>
      <c r="B16" s="38" t="n"/>
      <c r="C16" s="38" t="n"/>
      <c r="D16" s="38" t="n"/>
      <c r="E16" s="39" t="n"/>
      <c r="F16" s="39" t="n"/>
      <c r="G16" s="40">
        <f>IF(F16&lt;&gt;"",F16-TODAY(),"")</f>
        <v/>
      </c>
      <c r="H16" s="41">
        <f>IF(F16="","",IF(G16&lt;0,"⚠ Expired",IF(G16&lt;30,"🔴 Critical",IF(G16&lt;90,"🟡 Soon","✅ Active"))))</f>
        <v/>
      </c>
      <c r="I16" s="42" t="n"/>
      <c r="J16" s="38" t="n"/>
      <c r="K16" s="43" t="n"/>
      <c r="L16" s="38" t="n"/>
    </row>
    <row r="17" ht="20" customHeight="1">
      <c r="A17" s="38" t="n"/>
      <c r="B17" s="38" t="n"/>
      <c r="C17" s="38" t="n"/>
      <c r="D17" s="38" t="n"/>
      <c r="E17" s="39" t="n"/>
      <c r="F17" s="39" t="n"/>
      <c r="G17" s="40">
        <f>IF(F17&lt;&gt;"",F17-TODAY(),"")</f>
        <v/>
      </c>
      <c r="H17" s="41">
        <f>IF(F17="","",IF(G17&lt;0,"⚠ Expired",IF(G17&lt;30,"🔴 Critical",IF(G17&lt;90,"🟡 Soon","✅ Active"))))</f>
        <v/>
      </c>
      <c r="I17" s="42" t="n"/>
      <c r="J17" s="38" t="n"/>
      <c r="K17" s="43" t="n"/>
      <c r="L17" s="38" t="n"/>
    </row>
    <row r="18" ht="20" customHeight="1">
      <c r="A18" s="38" t="n"/>
      <c r="B18" s="38" t="n"/>
      <c r="C18" s="38" t="n"/>
      <c r="D18" s="38" t="n"/>
      <c r="E18" s="39" t="n"/>
      <c r="F18" s="39" t="n"/>
      <c r="G18" s="40">
        <f>IF(F18&lt;&gt;"",F18-TODAY(),"")</f>
        <v/>
      </c>
      <c r="H18" s="41">
        <f>IF(F18="","",IF(G18&lt;0,"⚠ Expired",IF(G18&lt;30,"🔴 Critical",IF(G18&lt;90,"🟡 Soon","✅ Active"))))</f>
        <v/>
      </c>
      <c r="I18" s="42" t="n"/>
      <c r="J18" s="38" t="n"/>
      <c r="K18" s="43" t="n"/>
      <c r="L18" s="38" t="n"/>
    </row>
    <row r="19" ht="20" customHeight="1">
      <c r="A19" s="38" t="n"/>
      <c r="B19" s="38" t="n"/>
      <c r="C19" s="38" t="n"/>
      <c r="D19" s="38" t="n"/>
      <c r="E19" s="39" t="n"/>
      <c r="F19" s="39" t="n"/>
      <c r="G19" s="40">
        <f>IF(F19&lt;&gt;"",F19-TODAY(),"")</f>
        <v/>
      </c>
      <c r="H19" s="41">
        <f>IF(F19="","",IF(G19&lt;0,"⚠ Expired",IF(G19&lt;30,"🔴 Critical",IF(G19&lt;90,"🟡 Soon","✅ Active"))))</f>
        <v/>
      </c>
      <c r="I19" s="42" t="n"/>
      <c r="J19" s="38" t="n"/>
      <c r="K19" s="43" t="n"/>
      <c r="L19" s="38" t="n"/>
    </row>
    <row r="20" ht="20" customHeight="1">
      <c r="A20" s="38" t="n"/>
      <c r="B20" s="38" t="n"/>
      <c r="C20" s="38" t="n"/>
      <c r="D20" s="38" t="n"/>
      <c r="E20" s="39" t="n"/>
      <c r="F20" s="39" t="n"/>
      <c r="G20" s="40">
        <f>IF(F20&lt;&gt;"",F20-TODAY(),"")</f>
        <v/>
      </c>
      <c r="H20" s="41">
        <f>IF(F20="","",IF(G20&lt;0,"⚠ Expired",IF(G20&lt;30,"🔴 Critical",IF(G20&lt;90,"🟡 Soon","✅ Active"))))</f>
        <v/>
      </c>
      <c r="I20" s="42" t="n"/>
      <c r="J20" s="38" t="n"/>
      <c r="K20" s="43" t="n"/>
      <c r="L20" s="38" t="n"/>
    </row>
    <row r="21" ht="20" customHeight="1">
      <c r="A21" s="38" t="n"/>
      <c r="B21" s="38" t="n"/>
      <c r="C21" s="38" t="n"/>
      <c r="D21" s="38" t="n"/>
      <c r="E21" s="39" t="n"/>
      <c r="F21" s="39" t="n"/>
      <c r="G21" s="40">
        <f>IF(F21&lt;&gt;"",F21-TODAY(),"")</f>
        <v/>
      </c>
      <c r="H21" s="41">
        <f>IF(F21="","",IF(G21&lt;0,"⚠ Expired",IF(G21&lt;30,"🔴 Critical",IF(G21&lt;90,"🟡 Soon","✅ Active"))))</f>
        <v/>
      </c>
      <c r="I21" s="42" t="n"/>
      <c r="J21" s="38" t="n"/>
      <c r="K21" s="43" t="n"/>
      <c r="L21" s="38" t="n"/>
    </row>
    <row r="22" ht="20" customHeight="1">
      <c r="A22" s="38" t="n"/>
      <c r="B22" s="38" t="n"/>
      <c r="C22" s="38" t="n"/>
      <c r="D22" s="38" t="n"/>
      <c r="E22" s="39" t="n"/>
      <c r="F22" s="39" t="n"/>
      <c r="G22" s="40">
        <f>IF(F22&lt;&gt;"",F22-TODAY(),"")</f>
        <v/>
      </c>
      <c r="H22" s="41">
        <f>IF(F22="","",IF(G22&lt;0,"⚠ Expired",IF(G22&lt;30,"🔴 Critical",IF(G22&lt;90,"🟡 Soon","✅ Active"))))</f>
        <v/>
      </c>
      <c r="I22" s="42" t="n"/>
      <c r="J22" s="38" t="n"/>
      <c r="K22" s="43" t="n"/>
      <c r="L22" s="38" t="n"/>
    </row>
    <row r="23" ht="20" customHeight="1">
      <c r="A23" s="38" t="n"/>
      <c r="B23" s="38" t="n"/>
      <c r="C23" s="38" t="n"/>
      <c r="D23" s="38" t="n"/>
      <c r="E23" s="39" t="n"/>
      <c r="F23" s="39" t="n"/>
      <c r="G23" s="40">
        <f>IF(F23&lt;&gt;"",F23-TODAY(),"")</f>
        <v/>
      </c>
      <c r="H23" s="41">
        <f>IF(F23="","",IF(G23&lt;0,"⚠ Expired",IF(G23&lt;30,"🔴 Critical",IF(G23&lt;90,"🟡 Soon","✅ Active"))))</f>
        <v/>
      </c>
      <c r="I23" s="42" t="n"/>
      <c r="J23" s="38" t="n"/>
      <c r="K23" s="43" t="n"/>
      <c r="L23" s="38" t="n"/>
    </row>
    <row r="24" ht="20" customHeight="1">
      <c r="A24" s="38" t="n"/>
      <c r="B24" s="38" t="n"/>
      <c r="C24" s="38" t="n"/>
      <c r="D24" s="38" t="n"/>
      <c r="E24" s="39" t="n"/>
      <c r="F24" s="39" t="n"/>
      <c r="G24" s="40">
        <f>IF(F24&lt;&gt;"",F24-TODAY(),"")</f>
        <v/>
      </c>
      <c r="H24" s="41">
        <f>IF(F24="","",IF(G24&lt;0,"⚠ Expired",IF(G24&lt;30,"🔴 Critical",IF(G24&lt;90,"🟡 Soon","✅ Active"))))</f>
        <v/>
      </c>
      <c r="I24" s="42" t="n"/>
      <c r="J24" s="38" t="n"/>
      <c r="K24" s="43" t="n"/>
      <c r="L24" s="38" t="n"/>
    </row>
    <row r="25" ht="20" customHeight="1">
      <c r="A25" s="38" t="n"/>
      <c r="B25" s="38" t="n"/>
      <c r="C25" s="38" t="n"/>
      <c r="D25" s="38" t="n"/>
      <c r="E25" s="39" t="n"/>
      <c r="F25" s="39" t="n"/>
      <c r="G25" s="40">
        <f>IF(F25&lt;&gt;"",F25-TODAY(),"")</f>
        <v/>
      </c>
      <c r="H25" s="41">
        <f>IF(F25="","",IF(G25&lt;0,"⚠ Expired",IF(G25&lt;30,"🔴 Critical",IF(G25&lt;90,"🟡 Soon","✅ Active"))))</f>
        <v/>
      </c>
      <c r="I25" s="42" t="n"/>
      <c r="J25" s="38" t="n"/>
      <c r="K25" s="43" t="n"/>
      <c r="L25" s="38" t="n"/>
    </row>
    <row r="26" ht="20" customHeight="1">
      <c r="A26" s="38" t="n"/>
      <c r="B26" s="38" t="n"/>
      <c r="C26" s="38" t="n"/>
      <c r="D26" s="38" t="n"/>
      <c r="E26" s="39" t="n"/>
      <c r="F26" s="39" t="n"/>
      <c r="G26" s="40">
        <f>IF(F26&lt;&gt;"",F26-TODAY(),"")</f>
        <v/>
      </c>
      <c r="H26" s="41">
        <f>IF(F26="","",IF(G26&lt;0,"⚠ Expired",IF(G26&lt;30,"🔴 Critical",IF(G26&lt;90,"🟡 Soon","✅ Active"))))</f>
        <v/>
      </c>
      <c r="I26" s="42" t="n"/>
      <c r="J26" s="38" t="n"/>
      <c r="K26" s="43" t="n"/>
      <c r="L26" s="38" t="n"/>
    </row>
    <row r="27" ht="20" customHeight="1">
      <c r="A27" s="38" t="n"/>
      <c r="B27" s="38" t="n"/>
      <c r="C27" s="38" t="n"/>
      <c r="D27" s="38" t="n"/>
      <c r="E27" s="39" t="n"/>
      <c r="F27" s="39" t="n"/>
      <c r="G27" s="40">
        <f>IF(F27&lt;&gt;"",F27-TODAY(),"")</f>
        <v/>
      </c>
      <c r="H27" s="41">
        <f>IF(F27="","",IF(G27&lt;0,"⚠ Expired",IF(G27&lt;30,"🔴 Critical",IF(G27&lt;90,"🟡 Soon","✅ Active"))))</f>
        <v/>
      </c>
      <c r="I27" s="42" t="n"/>
      <c r="J27" s="38" t="n"/>
      <c r="K27" s="43" t="n"/>
      <c r="L27" s="38" t="n"/>
    </row>
    <row r="28" ht="20" customHeight="1">
      <c r="A28" s="38" t="n"/>
      <c r="B28" s="38" t="n"/>
      <c r="C28" s="38" t="n"/>
      <c r="D28" s="38" t="n"/>
      <c r="E28" s="39" t="n"/>
      <c r="F28" s="39" t="n"/>
      <c r="G28" s="40">
        <f>IF(F28&lt;&gt;"",F28-TODAY(),"")</f>
        <v/>
      </c>
      <c r="H28" s="41">
        <f>IF(F28="","",IF(G28&lt;0,"⚠ Expired",IF(G28&lt;30,"🔴 Critical",IF(G28&lt;90,"🟡 Soon","✅ Active"))))</f>
        <v/>
      </c>
      <c r="I28" s="42" t="n"/>
      <c r="J28" s="38" t="n"/>
      <c r="K28" s="43" t="n"/>
      <c r="L28" s="38" t="n"/>
    </row>
    <row r="29" ht="20" customHeight="1">
      <c r="A29" s="38" t="n"/>
      <c r="B29" s="38" t="n"/>
      <c r="C29" s="38" t="n"/>
      <c r="D29" s="38" t="n"/>
      <c r="E29" s="39" t="n"/>
      <c r="F29" s="39" t="n"/>
      <c r="G29" s="40">
        <f>IF(F29&lt;&gt;"",F29-TODAY(),"")</f>
        <v/>
      </c>
      <c r="H29" s="41">
        <f>IF(F29="","",IF(G29&lt;0,"⚠ Expired",IF(G29&lt;30,"🔴 Critical",IF(G29&lt;90,"🟡 Soon","✅ Active"))))</f>
        <v/>
      </c>
      <c r="I29" s="42" t="n"/>
      <c r="J29" s="38" t="n"/>
      <c r="K29" s="43" t="n"/>
      <c r="L29" s="38" t="n"/>
    </row>
    <row r="30" ht="20" customHeight="1">
      <c r="A30" s="38" t="n"/>
      <c r="B30" s="38" t="n"/>
      <c r="C30" s="38" t="n"/>
      <c r="D30" s="38" t="n"/>
      <c r="E30" s="39" t="n"/>
      <c r="F30" s="39" t="n"/>
      <c r="G30" s="40">
        <f>IF(F30&lt;&gt;"",F30-TODAY(),"")</f>
        <v/>
      </c>
      <c r="H30" s="41">
        <f>IF(F30="","",IF(G30&lt;0,"⚠ Expired",IF(G30&lt;30,"🔴 Critical",IF(G30&lt;90,"🟡 Soon","✅ Active"))))</f>
        <v/>
      </c>
      <c r="I30" s="42" t="n"/>
      <c r="J30" s="38" t="n"/>
      <c r="K30" s="43" t="n"/>
      <c r="L30" s="38" t="n"/>
    </row>
    <row r="31" ht="20" customHeight="1">
      <c r="A31" s="38" t="n"/>
      <c r="B31" s="38" t="n"/>
      <c r="C31" s="38" t="n"/>
      <c r="D31" s="38" t="n"/>
      <c r="E31" s="39" t="n"/>
      <c r="F31" s="39" t="n"/>
      <c r="G31" s="40">
        <f>IF(F31&lt;&gt;"",F31-TODAY(),"")</f>
        <v/>
      </c>
      <c r="H31" s="41">
        <f>IF(F31="","",IF(G31&lt;0,"⚠ Expired",IF(G31&lt;30,"🔴 Critical",IF(G31&lt;90,"🟡 Soon","✅ Active"))))</f>
        <v/>
      </c>
      <c r="I31" s="42" t="n"/>
      <c r="J31" s="38" t="n"/>
      <c r="K31" s="43" t="n"/>
      <c r="L31" s="38" t="n"/>
    </row>
    <row r="32" ht="20" customHeight="1">
      <c r="A32" s="38" t="n"/>
      <c r="B32" s="38" t="n"/>
      <c r="C32" s="38" t="n"/>
      <c r="D32" s="38" t="n"/>
      <c r="E32" s="39" t="n"/>
      <c r="F32" s="39" t="n"/>
      <c r="G32" s="40">
        <f>IF(F32&lt;&gt;"",F32-TODAY(),"")</f>
        <v/>
      </c>
      <c r="H32" s="41">
        <f>IF(F32="","",IF(G32&lt;0,"⚠ Expired",IF(G32&lt;30,"🔴 Critical",IF(G32&lt;90,"🟡 Soon","✅ Active"))))</f>
        <v/>
      </c>
      <c r="I32" s="42" t="n"/>
      <c r="J32" s="38" t="n"/>
      <c r="K32" s="43" t="n"/>
      <c r="L32" s="38" t="n"/>
    </row>
    <row r="33" ht="20" customHeight="1">
      <c r="A33" s="38" t="n"/>
      <c r="B33" s="38" t="n"/>
      <c r="C33" s="38" t="n"/>
      <c r="D33" s="38" t="n"/>
      <c r="E33" s="39" t="n"/>
      <c r="F33" s="39" t="n"/>
      <c r="G33" s="40">
        <f>IF(F33&lt;&gt;"",F33-TODAY(),"")</f>
        <v/>
      </c>
      <c r="H33" s="41">
        <f>IF(F33="","",IF(G33&lt;0,"⚠ Expired",IF(G33&lt;30,"🔴 Critical",IF(G33&lt;90,"🟡 Soon","✅ Active"))))</f>
        <v/>
      </c>
      <c r="I33" s="42" t="n"/>
      <c r="J33" s="38" t="n"/>
      <c r="K33" s="43" t="n"/>
      <c r="L33" s="38" t="n"/>
    </row>
    <row r="34" ht="20" customHeight="1">
      <c r="A34" s="38" t="n"/>
      <c r="B34" s="38" t="n"/>
      <c r="C34" s="38" t="n"/>
      <c r="D34" s="38" t="n"/>
      <c r="E34" s="39" t="n"/>
      <c r="F34" s="39" t="n"/>
      <c r="G34" s="40">
        <f>IF(F34&lt;&gt;"",F34-TODAY(),"")</f>
        <v/>
      </c>
      <c r="H34" s="41">
        <f>IF(F34="","",IF(G34&lt;0,"⚠ Expired",IF(G34&lt;30,"🔴 Critical",IF(G34&lt;90,"🟡 Soon","✅ Active"))))</f>
        <v/>
      </c>
      <c r="I34" s="42" t="n"/>
      <c r="J34" s="38" t="n"/>
      <c r="K34" s="43" t="n"/>
      <c r="L34" s="38" t="n"/>
    </row>
    <row r="35" ht="20" customHeight="1">
      <c r="A35" s="38" t="n"/>
      <c r="B35" s="38" t="n"/>
      <c r="C35" s="38" t="n"/>
      <c r="D35" s="38" t="n"/>
      <c r="E35" s="39" t="n"/>
      <c r="F35" s="39" t="n"/>
      <c r="G35" s="40">
        <f>IF(F35&lt;&gt;"",F35-TODAY(),"")</f>
        <v/>
      </c>
      <c r="H35" s="41">
        <f>IF(F35="","",IF(G35&lt;0,"⚠ Expired",IF(G35&lt;30,"🔴 Critical",IF(G35&lt;90,"🟡 Soon","✅ Active"))))</f>
        <v/>
      </c>
      <c r="I35" s="42" t="n"/>
      <c r="J35" s="38" t="n"/>
      <c r="K35" s="43" t="n"/>
      <c r="L35" s="38" t="n"/>
    </row>
    <row r="36" ht="20" customHeight="1">
      <c r="A36" s="38" t="n"/>
      <c r="B36" s="38" t="n"/>
      <c r="C36" s="38" t="n"/>
      <c r="D36" s="38" t="n"/>
      <c r="E36" s="39" t="n"/>
      <c r="F36" s="39" t="n"/>
      <c r="G36" s="40">
        <f>IF(F36&lt;&gt;"",F36-TODAY(),"")</f>
        <v/>
      </c>
      <c r="H36" s="41">
        <f>IF(F36="","",IF(G36&lt;0,"⚠ Expired",IF(G36&lt;30,"🔴 Critical",IF(G36&lt;90,"🟡 Soon","✅ Active"))))</f>
        <v/>
      </c>
      <c r="I36" s="42" t="n"/>
      <c r="J36" s="38" t="n"/>
      <c r="K36" s="43" t="n"/>
      <c r="L36" s="38" t="n"/>
    </row>
    <row r="37" ht="20" customHeight="1">
      <c r="A37" s="38" t="n"/>
      <c r="B37" s="38" t="n"/>
      <c r="C37" s="38" t="n"/>
      <c r="D37" s="38" t="n"/>
      <c r="E37" s="39" t="n"/>
      <c r="F37" s="39" t="n"/>
      <c r="G37" s="40">
        <f>IF(F37&lt;&gt;"",F37-TODAY(),"")</f>
        <v/>
      </c>
      <c r="H37" s="41">
        <f>IF(F37="","",IF(G37&lt;0,"⚠ Expired",IF(G37&lt;30,"🔴 Critical",IF(G37&lt;90,"🟡 Soon","✅ Active"))))</f>
        <v/>
      </c>
      <c r="I37" s="42" t="n"/>
      <c r="J37" s="38" t="n"/>
      <c r="K37" s="43" t="n"/>
      <c r="L37" s="38" t="n"/>
    </row>
    <row r="38" ht="20" customHeight="1">
      <c r="A38" s="38" t="n"/>
      <c r="B38" s="38" t="n"/>
      <c r="C38" s="38" t="n"/>
      <c r="D38" s="38" t="n"/>
      <c r="E38" s="39" t="n"/>
      <c r="F38" s="39" t="n"/>
      <c r="G38" s="40">
        <f>IF(F38&lt;&gt;"",F38-TODAY(),"")</f>
        <v/>
      </c>
      <c r="H38" s="41">
        <f>IF(F38="","",IF(G38&lt;0,"⚠ Expired",IF(G38&lt;30,"🔴 Critical",IF(G38&lt;90,"🟡 Soon","✅ Active"))))</f>
        <v/>
      </c>
      <c r="I38" s="42" t="n"/>
      <c r="J38" s="38" t="n"/>
      <c r="K38" s="43" t="n"/>
      <c r="L38" s="38" t="n"/>
    </row>
    <row r="39" ht="20" customHeight="1">
      <c r="A39" s="38" t="n"/>
      <c r="B39" s="38" t="n"/>
      <c r="C39" s="38" t="n"/>
      <c r="D39" s="38" t="n"/>
      <c r="E39" s="39" t="n"/>
      <c r="F39" s="39" t="n"/>
      <c r="G39" s="40">
        <f>IF(F39&lt;&gt;"",F39-TODAY(),"")</f>
        <v/>
      </c>
      <c r="H39" s="41">
        <f>IF(F39="","",IF(G39&lt;0,"⚠ Expired",IF(G39&lt;30,"🔴 Critical",IF(G39&lt;90,"🟡 Soon","✅ Active"))))</f>
        <v/>
      </c>
      <c r="I39" s="42" t="n"/>
      <c r="J39" s="38" t="n"/>
      <c r="K39" s="43" t="n"/>
      <c r="L39" s="38" t="n"/>
    </row>
    <row r="40" ht="20" customHeight="1">
      <c r="A40" s="38" t="n"/>
      <c r="B40" s="38" t="n"/>
      <c r="C40" s="38" t="n"/>
      <c r="D40" s="38" t="n"/>
      <c r="E40" s="39" t="n"/>
      <c r="F40" s="39" t="n"/>
      <c r="G40" s="40">
        <f>IF(F40&lt;&gt;"",F40-TODAY(),"")</f>
        <v/>
      </c>
      <c r="H40" s="41">
        <f>IF(F40="","",IF(G40&lt;0,"⚠ Expired",IF(G40&lt;30,"🔴 Critical",IF(G40&lt;90,"🟡 Soon","✅ Active"))))</f>
        <v/>
      </c>
      <c r="I40" s="42" t="n"/>
      <c r="J40" s="38" t="n"/>
      <c r="K40" s="43" t="n"/>
      <c r="L40" s="38" t="n"/>
    </row>
    <row r="41" ht="20" customHeight="1">
      <c r="A41" s="38" t="n"/>
      <c r="B41" s="38" t="n"/>
      <c r="C41" s="38" t="n"/>
      <c r="D41" s="38" t="n"/>
      <c r="E41" s="39" t="n"/>
      <c r="F41" s="39" t="n"/>
      <c r="G41" s="40">
        <f>IF(F41&lt;&gt;"",F41-TODAY(),"")</f>
        <v/>
      </c>
      <c r="H41" s="41">
        <f>IF(F41="","",IF(G41&lt;0,"⚠ Expired",IF(G41&lt;30,"🔴 Critical",IF(G41&lt;90,"🟡 Soon","✅ Active"))))</f>
        <v/>
      </c>
      <c r="I41" s="42" t="n"/>
      <c r="J41" s="38" t="n"/>
      <c r="K41" s="43" t="n"/>
      <c r="L41" s="38" t="n"/>
    </row>
    <row r="42" ht="20" customHeight="1">
      <c r="A42" s="38" t="n"/>
      <c r="B42" s="38" t="n"/>
      <c r="C42" s="38" t="n"/>
      <c r="D42" s="38" t="n"/>
      <c r="E42" s="39" t="n"/>
      <c r="F42" s="39" t="n"/>
      <c r="G42" s="40">
        <f>IF(F42&lt;&gt;"",F42-TODAY(),"")</f>
        <v/>
      </c>
      <c r="H42" s="41">
        <f>IF(F42="","",IF(G42&lt;0,"⚠ Expired",IF(G42&lt;30,"🔴 Critical",IF(G42&lt;90,"🟡 Soon","✅ Active"))))</f>
        <v/>
      </c>
      <c r="I42" s="42" t="n"/>
      <c r="J42" s="38" t="n"/>
      <c r="K42" s="43" t="n"/>
      <c r="L42" s="38" t="n"/>
    </row>
    <row r="43" ht="20" customHeight="1">
      <c r="A43" s="38" t="n"/>
      <c r="B43" s="38" t="n"/>
      <c r="C43" s="38" t="n"/>
      <c r="D43" s="38" t="n"/>
      <c r="E43" s="39" t="n"/>
      <c r="F43" s="39" t="n"/>
      <c r="G43" s="40">
        <f>IF(F43&lt;&gt;"",F43-TODAY(),"")</f>
        <v/>
      </c>
      <c r="H43" s="41">
        <f>IF(F43="","",IF(G43&lt;0,"⚠ Expired",IF(G43&lt;30,"🔴 Critical",IF(G43&lt;90,"🟡 Soon","✅ Active"))))</f>
        <v/>
      </c>
      <c r="I43" s="42" t="n"/>
      <c r="J43" s="38" t="n"/>
      <c r="K43" s="43" t="n"/>
      <c r="L43" s="38" t="n"/>
    </row>
    <row r="44" ht="20" customHeight="1">
      <c r="A44" s="38" t="n"/>
      <c r="B44" s="38" t="n"/>
      <c r="C44" s="38" t="n"/>
      <c r="D44" s="38" t="n"/>
      <c r="E44" s="39" t="n"/>
      <c r="F44" s="39" t="n"/>
      <c r="G44" s="40">
        <f>IF(F44&lt;&gt;"",F44-TODAY(),"")</f>
        <v/>
      </c>
      <c r="H44" s="41">
        <f>IF(F44="","",IF(G44&lt;0,"⚠ Expired",IF(G44&lt;30,"🔴 Critical",IF(G44&lt;90,"🟡 Soon","✅ Active"))))</f>
        <v/>
      </c>
      <c r="I44" s="42" t="n"/>
      <c r="J44" s="38" t="n"/>
      <c r="K44" s="43" t="n"/>
      <c r="L44" s="38" t="n"/>
    </row>
    <row r="45" ht="20" customHeight="1">
      <c r="A45" s="38" t="n"/>
      <c r="B45" s="38" t="n"/>
      <c r="C45" s="38" t="n"/>
      <c r="D45" s="38" t="n"/>
      <c r="E45" s="39" t="n"/>
      <c r="F45" s="39" t="n"/>
      <c r="G45" s="40">
        <f>IF(F45&lt;&gt;"",F45-TODAY(),"")</f>
        <v/>
      </c>
      <c r="H45" s="41">
        <f>IF(F45="","",IF(G45&lt;0,"⚠ Expired",IF(G45&lt;30,"🔴 Critical",IF(G45&lt;90,"🟡 Soon","✅ Active"))))</f>
        <v/>
      </c>
      <c r="I45" s="42" t="n"/>
      <c r="J45" s="38" t="n"/>
      <c r="K45" s="43" t="n"/>
      <c r="L45" s="38" t="n"/>
    </row>
    <row r="46" ht="20" customHeight="1">
      <c r="A46" s="38" t="n"/>
      <c r="B46" s="38" t="n"/>
      <c r="C46" s="38" t="n"/>
      <c r="D46" s="38" t="n"/>
      <c r="E46" s="39" t="n"/>
      <c r="F46" s="39" t="n"/>
      <c r="G46" s="40">
        <f>IF(F46&lt;&gt;"",F46-TODAY(),"")</f>
        <v/>
      </c>
      <c r="H46" s="41">
        <f>IF(F46="","",IF(G46&lt;0,"⚠ Expired",IF(G46&lt;30,"🔴 Critical",IF(G46&lt;90,"🟡 Soon","✅ Active"))))</f>
        <v/>
      </c>
      <c r="I46" s="42" t="n"/>
      <c r="J46" s="38" t="n"/>
      <c r="K46" s="43" t="n"/>
      <c r="L46" s="38" t="n"/>
    </row>
    <row r="47" ht="20" customHeight="1">
      <c r="A47" s="38" t="n"/>
      <c r="B47" s="38" t="n"/>
      <c r="C47" s="38" t="n"/>
      <c r="D47" s="38" t="n"/>
      <c r="E47" s="39" t="n"/>
      <c r="F47" s="39" t="n"/>
      <c r="G47" s="40">
        <f>IF(F47&lt;&gt;"",F47-TODAY(),"")</f>
        <v/>
      </c>
      <c r="H47" s="41">
        <f>IF(F47="","",IF(G47&lt;0,"⚠ Expired",IF(G47&lt;30,"🔴 Critical",IF(G47&lt;90,"🟡 Soon","✅ Active"))))</f>
        <v/>
      </c>
      <c r="I47" s="42" t="n"/>
      <c r="J47" s="38" t="n"/>
      <c r="K47" s="43" t="n"/>
      <c r="L47" s="38" t="n"/>
    </row>
    <row r="48" ht="20" customHeight="1">
      <c r="A48" s="38" t="n"/>
      <c r="B48" s="38" t="n"/>
      <c r="C48" s="38" t="n"/>
      <c r="D48" s="38" t="n"/>
      <c r="E48" s="39" t="n"/>
      <c r="F48" s="39" t="n"/>
      <c r="G48" s="40">
        <f>IF(F48&lt;&gt;"",F48-TODAY(),"")</f>
        <v/>
      </c>
      <c r="H48" s="41">
        <f>IF(F48="","",IF(G48&lt;0,"⚠ Expired",IF(G48&lt;30,"🔴 Critical",IF(G48&lt;90,"🟡 Soon","✅ Active"))))</f>
        <v/>
      </c>
      <c r="I48" s="42" t="n"/>
      <c r="J48" s="38" t="n"/>
      <c r="K48" s="43" t="n"/>
      <c r="L48" s="38" t="n"/>
    </row>
    <row r="49" ht="20" customHeight="1">
      <c r="A49" s="38" t="n"/>
      <c r="B49" s="38" t="n"/>
      <c r="C49" s="38" t="n"/>
      <c r="D49" s="38" t="n"/>
      <c r="E49" s="39" t="n"/>
      <c r="F49" s="39" t="n"/>
      <c r="G49" s="40">
        <f>IF(F49&lt;&gt;"",F49-TODAY(),"")</f>
        <v/>
      </c>
      <c r="H49" s="41">
        <f>IF(F49="","",IF(G49&lt;0,"⚠ Expired",IF(G49&lt;30,"🔴 Critical",IF(G49&lt;90,"🟡 Soon","✅ Active"))))</f>
        <v/>
      </c>
      <c r="I49" s="42" t="n"/>
      <c r="J49" s="38" t="n"/>
      <c r="K49" s="43" t="n"/>
      <c r="L49" s="38" t="n"/>
    </row>
    <row r="50" ht="20" customHeight="1">
      <c r="A50" s="38" t="n"/>
      <c r="B50" s="38" t="n"/>
      <c r="C50" s="38" t="n"/>
      <c r="D50" s="38" t="n"/>
      <c r="E50" s="39" t="n"/>
      <c r="F50" s="39" t="n"/>
      <c r="G50" s="40">
        <f>IF(F50&lt;&gt;"",F50-TODAY(),"")</f>
        <v/>
      </c>
      <c r="H50" s="41">
        <f>IF(F50="","",IF(G50&lt;0,"⚠ Expired",IF(G50&lt;30,"🔴 Critical",IF(G50&lt;90,"🟡 Soon","✅ Active"))))</f>
        <v/>
      </c>
      <c r="I50" s="42" t="n"/>
      <c r="J50" s="38" t="n"/>
      <c r="K50" s="43" t="n"/>
      <c r="L50" s="38" t="n"/>
    </row>
    <row r="51" ht="20" customHeight="1">
      <c r="A51" s="38" t="n"/>
      <c r="B51" s="38" t="n"/>
      <c r="C51" s="38" t="n"/>
      <c r="D51" s="38" t="n"/>
      <c r="E51" s="39" t="n"/>
      <c r="F51" s="39" t="n"/>
      <c r="G51" s="40">
        <f>IF(F51&lt;&gt;"",F51-TODAY(),"")</f>
        <v/>
      </c>
      <c r="H51" s="41">
        <f>IF(F51="","",IF(G51&lt;0,"⚠ Expired",IF(G51&lt;30,"🔴 Critical",IF(G51&lt;90,"🟡 Soon","✅ Active"))))</f>
        <v/>
      </c>
      <c r="I51" s="42" t="n"/>
      <c r="J51" s="38" t="n"/>
      <c r="K51" s="43" t="n"/>
      <c r="L51" s="38" t="n"/>
    </row>
    <row r="52" ht="20" customHeight="1">
      <c r="A52" s="38" t="n"/>
      <c r="B52" s="38" t="n"/>
      <c r="C52" s="38" t="n"/>
      <c r="D52" s="38" t="n"/>
      <c r="E52" s="39" t="n"/>
      <c r="F52" s="39" t="n"/>
      <c r="G52" s="40">
        <f>IF(F52&lt;&gt;"",F52-TODAY(),"")</f>
        <v/>
      </c>
      <c r="H52" s="41">
        <f>IF(F52="","",IF(G52&lt;0,"⚠ Expired",IF(G52&lt;30,"🔴 Critical",IF(G52&lt;90,"🟡 Soon","✅ Active"))))</f>
        <v/>
      </c>
      <c r="I52" s="42" t="n"/>
      <c r="J52" s="38" t="n"/>
      <c r="K52" s="43" t="n"/>
      <c r="L52" s="38" t="n"/>
    </row>
    <row r="53" ht="20" customHeight="1">
      <c r="A53" s="38" t="n"/>
      <c r="B53" s="38" t="n"/>
      <c r="C53" s="38" t="n"/>
      <c r="D53" s="38" t="n"/>
      <c r="E53" s="39" t="n"/>
      <c r="F53" s="39" t="n"/>
      <c r="G53" s="40">
        <f>IF(F53&lt;&gt;"",F53-TODAY(),"")</f>
        <v/>
      </c>
      <c r="H53" s="41">
        <f>IF(F53="","",IF(G53&lt;0,"⚠ Expired",IF(G53&lt;30,"🔴 Critical",IF(G53&lt;90,"🟡 Soon","✅ Active"))))</f>
        <v/>
      </c>
      <c r="I53" s="42" t="n"/>
      <c r="J53" s="38" t="n"/>
      <c r="K53" s="43" t="n"/>
      <c r="L53" s="38" t="n"/>
    </row>
    <row r="54" ht="20" customHeight="1">
      <c r="A54" s="38" t="n"/>
      <c r="B54" s="38" t="n"/>
      <c r="C54" s="38" t="n"/>
      <c r="D54" s="38" t="n"/>
      <c r="E54" s="39" t="n"/>
      <c r="F54" s="39" t="n"/>
      <c r="G54" s="40">
        <f>IF(F54&lt;&gt;"",F54-TODAY(),"")</f>
        <v/>
      </c>
      <c r="H54" s="41">
        <f>IF(F54="","",IF(G54&lt;0,"⚠ Expired",IF(G54&lt;30,"🔴 Critical",IF(G54&lt;90,"🟡 Soon","✅ Active"))))</f>
        <v/>
      </c>
      <c r="I54" s="42" t="n"/>
      <c r="J54" s="38" t="n"/>
      <c r="K54" s="43" t="n"/>
      <c r="L54" s="38" t="n"/>
    </row>
    <row r="55" ht="20" customHeight="1">
      <c r="A55" s="38" t="n"/>
      <c r="B55" s="38" t="n"/>
      <c r="C55" s="38" t="n"/>
      <c r="D55" s="38" t="n"/>
      <c r="E55" s="39" t="n"/>
      <c r="F55" s="39" t="n"/>
      <c r="G55" s="40">
        <f>IF(F55&lt;&gt;"",F55-TODAY(),"")</f>
        <v/>
      </c>
      <c r="H55" s="41">
        <f>IF(F55="","",IF(G55&lt;0,"⚠ Expired",IF(G55&lt;30,"🔴 Critical",IF(G55&lt;90,"🟡 Soon","✅ Active"))))</f>
        <v/>
      </c>
      <c r="I55" s="42" t="n"/>
      <c r="J55" s="38" t="n"/>
      <c r="K55" s="43" t="n"/>
      <c r="L55" s="38" t="n"/>
    </row>
    <row r="56" ht="20" customHeight="1">
      <c r="A56" s="38" t="n"/>
      <c r="B56" s="38" t="n"/>
      <c r="C56" s="38" t="n"/>
      <c r="D56" s="38" t="n"/>
      <c r="E56" s="39" t="n"/>
      <c r="F56" s="39" t="n"/>
      <c r="G56" s="40">
        <f>IF(F56&lt;&gt;"",F56-TODAY(),"")</f>
        <v/>
      </c>
      <c r="H56" s="41">
        <f>IF(F56="","",IF(G56&lt;0,"⚠ Expired",IF(G56&lt;30,"🔴 Critical",IF(G56&lt;90,"🟡 Soon","✅ Active"))))</f>
        <v/>
      </c>
      <c r="I56" s="42" t="n"/>
      <c r="J56" s="38" t="n"/>
      <c r="K56" s="43" t="n"/>
      <c r="L56" s="38" t="n"/>
    </row>
    <row r="57" ht="20" customHeight="1">
      <c r="A57" s="38" t="n"/>
      <c r="B57" s="38" t="n"/>
      <c r="C57" s="38" t="n"/>
      <c r="D57" s="38" t="n"/>
      <c r="E57" s="39" t="n"/>
      <c r="F57" s="39" t="n"/>
      <c r="G57" s="40">
        <f>IF(F57&lt;&gt;"",F57-TODAY(),"")</f>
        <v/>
      </c>
      <c r="H57" s="41">
        <f>IF(F57="","",IF(G57&lt;0,"⚠ Expired",IF(G57&lt;30,"🔴 Critical",IF(G57&lt;90,"🟡 Soon","✅ Active"))))</f>
        <v/>
      </c>
      <c r="I57" s="42" t="n"/>
      <c r="J57" s="38" t="n"/>
      <c r="K57" s="43" t="n"/>
      <c r="L57" s="38" t="n"/>
    </row>
    <row r="58" ht="20" customHeight="1">
      <c r="A58" s="38" t="n"/>
      <c r="B58" s="38" t="n"/>
      <c r="C58" s="38" t="n"/>
      <c r="D58" s="38" t="n"/>
      <c r="E58" s="39" t="n"/>
      <c r="F58" s="39" t="n"/>
      <c r="G58" s="40">
        <f>IF(F58&lt;&gt;"",F58-TODAY(),"")</f>
        <v/>
      </c>
      <c r="H58" s="41">
        <f>IF(F58="","",IF(G58&lt;0,"⚠ Expired",IF(G58&lt;30,"🔴 Critical",IF(G58&lt;90,"🟡 Soon","✅ Active"))))</f>
        <v/>
      </c>
      <c r="I58" s="42" t="n"/>
      <c r="J58" s="38" t="n"/>
      <c r="K58" s="43" t="n"/>
      <c r="L58" s="38" t="n"/>
    </row>
    <row r="59" ht="20" customHeight="1">
      <c r="A59" s="38" t="n"/>
      <c r="B59" s="38" t="n"/>
      <c r="C59" s="38" t="n"/>
      <c r="D59" s="38" t="n"/>
      <c r="E59" s="39" t="n"/>
      <c r="F59" s="39" t="n"/>
      <c r="G59" s="40">
        <f>IF(F59&lt;&gt;"",F59-TODAY(),"")</f>
        <v/>
      </c>
      <c r="H59" s="41">
        <f>IF(F59="","",IF(G59&lt;0,"⚠ Expired",IF(G59&lt;30,"🔴 Critical",IF(G59&lt;90,"🟡 Soon","✅ Active"))))</f>
        <v/>
      </c>
      <c r="I59" s="42" t="n"/>
      <c r="J59" s="38" t="n"/>
      <c r="K59" s="43" t="n"/>
      <c r="L59" s="38" t="n"/>
    </row>
    <row r="60" ht="20" customHeight="1">
      <c r="A60" s="38" t="n"/>
      <c r="B60" s="38" t="n"/>
      <c r="C60" s="38" t="n"/>
      <c r="D60" s="38" t="n"/>
      <c r="E60" s="39" t="n"/>
      <c r="F60" s="39" t="n"/>
      <c r="G60" s="40">
        <f>IF(F60&lt;&gt;"",F60-TODAY(),"")</f>
        <v/>
      </c>
      <c r="H60" s="41">
        <f>IF(F60="","",IF(G60&lt;0,"⚠ Expired",IF(G60&lt;30,"🔴 Critical",IF(G60&lt;90,"🟡 Soon","✅ Active"))))</f>
        <v/>
      </c>
      <c r="I60" s="42" t="n"/>
      <c r="J60" s="38" t="n"/>
      <c r="K60" s="43" t="n"/>
      <c r="L60" s="38" t="n"/>
    </row>
    <row r="61" ht="20" customHeight="1">
      <c r="A61" s="38" t="n"/>
      <c r="B61" s="38" t="n"/>
      <c r="C61" s="38" t="n"/>
      <c r="D61" s="38" t="n"/>
      <c r="E61" s="39" t="n"/>
      <c r="F61" s="39" t="n"/>
      <c r="G61" s="40">
        <f>IF(F61&lt;&gt;"",F61-TODAY(),"")</f>
        <v/>
      </c>
      <c r="H61" s="41">
        <f>IF(F61="","",IF(G61&lt;0,"⚠ Expired",IF(G61&lt;30,"🔴 Critical",IF(G61&lt;90,"🟡 Soon","✅ Active"))))</f>
        <v/>
      </c>
      <c r="I61" s="42" t="n"/>
      <c r="J61" s="38" t="n"/>
      <c r="K61" s="43" t="n"/>
      <c r="L61" s="38" t="n"/>
    </row>
    <row r="62" ht="20" customHeight="1">
      <c r="A62" s="38" t="n"/>
      <c r="B62" s="38" t="n"/>
      <c r="C62" s="38" t="n"/>
      <c r="D62" s="38" t="n"/>
      <c r="E62" s="39" t="n"/>
      <c r="F62" s="39" t="n"/>
      <c r="G62" s="40">
        <f>IF(F62&lt;&gt;"",F62-TODAY(),"")</f>
        <v/>
      </c>
      <c r="H62" s="41">
        <f>IF(F62="","",IF(G62&lt;0,"⚠ Expired",IF(G62&lt;30,"🔴 Critical",IF(G62&lt;90,"🟡 Soon","✅ Active"))))</f>
        <v/>
      </c>
      <c r="I62" s="42" t="n"/>
      <c r="J62" s="38" t="n"/>
      <c r="K62" s="43" t="n"/>
      <c r="L62" s="38" t="n"/>
    </row>
    <row r="63" ht="20" customHeight="1">
      <c r="A63" s="38" t="n"/>
      <c r="B63" s="38" t="n"/>
      <c r="C63" s="38" t="n"/>
      <c r="D63" s="38" t="n"/>
      <c r="E63" s="39" t="n"/>
      <c r="F63" s="39" t="n"/>
      <c r="G63" s="40">
        <f>IF(F63&lt;&gt;"",F63-TODAY(),"")</f>
        <v/>
      </c>
      <c r="H63" s="41">
        <f>IF(F63="","",IF(G63&lt;0,"⚠ Expired",IF(G63&lt;30,"🔴 Critical",IF(G63&lt;90,"🟡 Soon","✅ Active"))))</f>
        <v/>
      </c>
      <c r="I63" s="42" t="n"/>
      <c r="J63" s="38" t="n"/>
      <c r="K63" s="43" t="n"/>
      <c r="L63" s="38" t="n"/>
    </row>
    <row r="64" ht="20" customHeight="1">
      <c r="A64" s="38" t="n"/>
      <c r="B64" s="38" t="n"/>
      <c r="C64" s="38" t="n"/>
      <c r="D64" s="38" t="n"/>
      <c r="E64" s="39" t="n"/>
      <c r="F64" s="39" t="n"/>
      <c r="G64" s="40">
        <f>IF(F64&lt;&gt;"",F64-TODAY(),"")</f>
        <v/>
      </c>
      <c r="H64" s="41">
        <f>IF(F64="","",IF(G64&lt;0,"⚠ Expired",IF(G64&lt;30,"🔴 Critical",IF(G64&lt;90,"🟡 Soon","✅ Active"))))</f>
        <v/>
      </c>
      <c r="I64" s="42" t="n"/>
      <c r="J64" s="38" t="n"/>
      <c r="K64" s="43" t="n"/>
      <c r="L64" s="38" t="n"/>
    </row>
    <row r="65" ht="20" customHeight="1">
      <c r="A65" s="38" t="n"/>
      <c r="B65" s="38" t="n"/>
      <c r="C65" s="38" t="n"/>
      <c r="D65" s="38" t="n"/>
      <c r="E65" s="39" t="n"/>
      <c r="F65" s="39" t="n"/>
      <c r="G65" s="40">
        <f>IF(F65&lt;&gt;"",F65-TODAY(),"")</f>
        <v/>
      </c>
      <c r="H65" s="41">
        <f>IF(F65="","",IF(G65&lt;0,"⚠ Expired",IF(G65&lt;30,"🔴 Critical",IF(G65&lt;90,"🟡 Soon","✅ Active"))))</f>
        <v/>
      </c>
      <c r="I65" s="42" t="n"/>
      <c r="J65" s="38" t="n"/>
      <c r="K65" s="43" t="n"/>
      <c r="L65" s="38" t="n"/>
    </row>
    <row r="66" ht="20" customHeight="1">
      <c r="A66" s="38" t="n"/>
      <c r="B66" s="38" t="n"/>
      <c r="C66" s="38" t="n"/>
      <c r="D66" s="38" t="n"/>
      <c r="E66" s="39" t="n"/>
      <c r="F66" s="39" t="n"/>
      <c r="G66" s="40">
        <f>IF(F66&lt;&gt;"",F66-TODAY(),"")</f>
        <v/>
      </c>
      <c r="H66" s="41">
        <f>IF(F66="","",IF(G66&lt;0,"⚠ Expired",IF(G66&lt;30,"🔴 Critical",IF(G66&lt;90,"🟡 Soon","✅ Active"))))</f>
        <v/>
      </c>
      <c r="I66" s="42" t="n"/>
      <c r="J66" s="38" t="n"/>
      <c r="K66" s="43" t="n"/>
      <c r="L66" s="38" t="n"/>
    </row>
    <row r="67" ht="20" customHeight="1">
      <c r="A67" s="38" t="n"/>
      <c r="B67" s="38" t="n"/>
      <c r="C67" s="38" t="n"/>
      <c r="D67" s="38" t="n"/>
      <c r="E67" s="39" t="n"/>
      <c r="F67" s="39" t="n"/>
      <c r="G67" s="40">
        <f>IF(F67&lt;&gt;"",F67-TODAY(),"")</f>
        <v/>
      </c>
      <c r="H67" s="41">
        <f>IF(F67="","",IF(G67&lt;0,"⚠ Expired",IF(G67&lt;30,"🔴 Critical",IF(G67&lt;90,"🟡 Soon","✅ Active"))))</f>
        <v/>
      </c>
      <c r="I67" s="42" t="n"/>
      <c r="J67" s="38" t="n"/>
      <c r="K67" s="43" t="n"/>
      <c r="L67" s="38" t="n"/>
    </row>
    <row r="68" ht="20" customHeight="1">
      <c r="A68" s="38" t="n"/>
      <c r="B68" s="38" t="n"/>
      <c r="C68" s="38" t="n"/>
      <c r="D68" s="38" t="n"/>
      <c r="E68" s="39" t="n"/>
      <c r="F68" s="39" t="n"/>
      <c r="G68" s="40">
        <f>IF(F68&lt;&gt;"",F68-TODAY(),"")</f>
        <v/>
      </c>
      <c r="H68" s="41">
        <f>IF(F68="","",IF(G68&lt;0,"⚠ Expired",IF(G68&lt;30,"🔴 Critical",IF(G68&lt;90,"🟡 Soon","✅ Active"))))</f>
        <v/>
      </c>
      <c r="I68" s="42" t="n"/>
      <c r="J68" s="38" t="n"/>
      <c r="K68" s="43" t="n"/>
      <c r="L68" s="38" t="n"/>
    </row>
    <row r="69" ht="20" customHeight="1">
      <c r="A69" s="38" t="n"/>
      <c r="B69" s="38" t="n"/>
      <c r="C69" s="38" t="n"/>
      <c r="D69" s="38" t="n"/>
      <c r="E69" s="39" t="n"/>
      <c r="F69" s="39" t="n"/>
      <c r="G69" s="40">
        <f>IF(F69&lt;&gt;"",F69-TODAY(),"")</f>
        <v/>
      </c>
      <c r="H69" s="41">
        <f>IF(F69="","",IF(G69&lt;0,"⚠ Expired",IF(G69&lt;30,"🔴 Critical",IF(G69&lt;90,"🟡 Soon","✅ Active"))))</f>
        <v/>
      </c>
      <c r="I69" s="42" t="n"/>
      <c r="J69" s="38" t="n"/>
      <c r="K69" s="43" t="n"/>
      <c r="L69" s="38" t="n"/>
    </row>
    <row r="70" ht="20" customHeight="1">
      <c r="A70" s="38" t="n"/>
      <c r="B70" s="38" t="n"/>
      <c r="C70" s="38" t="n"/>
      <c r="D70" s="38" t="n"/>
      <c r="E70" s="39" t="n"/>
      <c r="F70" s="39" t="n"/>
      <c r="G70" s="40">
        <f>IF(F70&lt;&gt;"",F70-TODAY(),"")</f>
        <v/>
      </c>
      <c r="H70" s="41">
        <f>IF(F70="","",IF(G70&lt;0,"⚠ Expired",IF(G70&lt;30,"🔴 Critical",IF(G70&lt;90,"🟡 Soon","✅ Active"))))</f>
        <v/>
      </c>
      <c r="I70" s="42" t="n"/>
      <c r="J70" s="38" t="n"/>
      <c r="K70" s="43" t="n"/>
      <c r="L70" s="38" t="n"/>
    </row>
    <row r="71" ht="20" customHeight="1">
      <c r="A71" s="38" t="n"/>
      <c r="B71" s="38" t="n"/>
      <c r="C71" s="38" t="n"/>
      <c r="D71" s="38" t="n"/>
      <c r="E71" s="39" t="n"/>
      <c r="F71" s="39" t="n"/>
      <c r="G71" s="40">
        <f>IF(F71&lt;&gt;"",F71-TODAY(),"")</f>
        <v/>
      </c>
      <c r="H71" s="41">
        <f>IF(F71="","",IF(G71&lt;0,"⚠ Expired",IF(G71&lt;30,"🔴 Critical",IF(G71&lt;90,"🟡 Soon","✅ Active"))))</f>
        <v/>
      </c>
      <c r="I71" s="42" t="n"/>
      <c r="J71" s="38" t="n"/>
      <c r="K71" s="43" t="n"/>
      <c r="L71" s="38" t="n"/>
    </row>
    <row r="72" ht="20" customHeight="1">
      <c r="A72" s="38" t="n"/>
      <c r="B72" s="38" t="n"/>
      <c r="C72" s="38" t="n"/>
      <c r="D72" s="38" t="n"/>
      <c r="E72" s="39" t="n"/>
      <c r="F72" s="39" t="n"/>
      <c r="G72" s="40">
        <f>IF(F72&lt;&gt;"",F72-TODAY(),"")</f>
        <v/>
      </c>
      <c r="H72" s="41">
        <f>IF(F72="","",IF(G72&lt;0,"⚠ Expired",IF(G72&lt;30,"🔴 Critical",IF(G72&lt;90,"🟡 Soon","✅ Active"))))</f>
        <v/>
      </c>
      <c r="I72" s="42" t="n"/>
      <c r="J72" s="38" t="n"/>
      <c r="K72" s="43" t="n"/>
      <c r="L72" s="38" t="n"/>
    </row>
    <row r="73" ht="20" customHeight="1">
      <c r="A73" s="38" t="n"/>
      <c r="B73" s="38" t="n"/>
      <c r="C73" s="38" t="n"/>
      <c r="D73" s="38" t="n"/>
      <c r="E73" s="39" t="n"/>
      <c r="F73" s="39" t="n"/>
      <c r="G73" s="40">
        <f>IF(F73&lt;&gt;"",F73-TODAY(),"")</f>
        <v/>
      </c>
      <c r="H73" s="41">
        <f>IF(F73="","",IF(G73&lt;0,"⚠ Expired",IF(G73&lt;30,"🔴 Critical",IF(G73&lt;90,"🟡 Soon","✅ Active"))))</f>
        <v/>
      </c>
      <c r="I73" s="42" t="n"/>
      <c r="J73" s="38" t="n"/>
      <c r="K73" s="43" t="n"/>
      <c r="L73" s="38" t="n"/>
    </row>
    <row r="74" ht="20" customHeight="1">
      <c r="A74" s="38" t="n"/>
      <c r="B74" s="38" t="n"/>
      <c r="C74" s="38" t="n"/>
      <c r="D74" s="38" t="n"/>
      <c r="E74" s="39" t="n"/>
      <c r="F74" s="39" t="n"/>
      <c r="G74" s="40">
        <f>IF(F74&lt;&gt;"",F74-TODAY(),"")</f>
        <v/>
      </c>
      <c r="H74" s="41">
        <f>IF(F74="","",IF(G74&lt;0,"⚠ Expired",IF(G74&lt;30,"🔴 Critical",IF(G74&lt;90,"🟡 Soon","✅ Active"))))</f>
        <v/>
      </c>
      <c r="I74" s="42" t="n"/>
      <c r="J74" s="38" t="n"/>
      <c r="K74" s="43" t="n"/>
      <c r="L74" s="38" t="n"/>
    </row>
    <row r="75" ht="20" customHeight="1">
      <c r="A75" s="38" t="n"/>
      <c r="B75" s="38" t="n"/>
      <c r="C75" s="38" t="n"/>
      <c r="D75" s="38" t="n"/>
      <c r="E75" s="39" t="n"/>
      <c r="F75" s="39" t="n"/>
      <c r="G75" s="40">
        <f>IF(F75&lt;&gt;"",F75-TODAY(),"")</f>
        <v/>
      </c>
      <c r="H75" s="41">
        <f>IF(F75="","",IF(G75&lt;0,"⚠ Expired",IF(G75&lt;30,"🔴 Critical",IF(G75&lt;90,"🟡 Soon","✅ Active"))))</f>
        <v/>
      </c>
      <c r="I75" s="42" t="n"/>
      <c r="J75" s="38" t="n"/>
      <c r="K75" s="43" t="n"/>
      <c r="L75" s="38" t="n"/>
    </row>
    <row r="76" ht="20" customHeight="1">
      <c r="A76" s="38" t="n"/>
      <c r="B76" s="38" t="n"/>
      <c r="C76" s="38" t="n"/>
      <c r="D76" s="38" t="n"/>
      <c r="E76" s="39" t="n"/>
      <c r="F76" s="39" t="n"/>
      <c r="G76" s="40">
        <f>IF(F76&lt;&gt;"",F76-TODAY(),"")</f>
        <v/>
      </c>
      <c r="H76" s="41">
        <f>IF(F76="","",IF(G76&lt;0,"⚠ Expired",IF(G76&lt;30,"🔴 Critical",IF(G76&lt;90,"🟡 Soon","✅ Active"))))</f>
        <v/>
      </c>
      <c r="I76" s="42" t="n"/>
      <c r="J76" s="38" t="n"/>
      <c r="K76" s="43" t="n"/>
      <c r="L76" s="38" t="n"/>
    </row>
    <row r="77" ht="20" customHeight="1">
      <c r="A77" s="38" t="n"/>
      <c r="B77" s="38" t="n"/>
      <c r="C77" s="38" t="n"/>
      <c r="D77" s="38" t="n"/>
      <c r="E77" s="39" t="n"/>
      <c r="F77" s="39" t="n"/>
      <c r="G77" s="40">
        <f>IF(F77&lt;&gt;"",F77-TODAY(),"")</f>
        <v/>
      </c>
      <c r="H77" s="41">
        <f>IF(F77="","",IF(G77&lt;0,"⚠ Expired",IF(G77&lt;30,"🔴 Critical",IF(G77&lt;90,"🟡 Soon","✅ Active"))))</f>
        <v/>
      </c>
      <c r="I77" s="42" t="n"/>
      <c r="J77" s="38" t="n"/>
      <c r="K77" s="43" t="n"/>
      <c r="L77" s="38" t="n"/>
    </row>
    <row r="78" ht="20" customHeight="1">
      <c r="A78" s="38" t="n"/>
      <c r="B78" s="38" t="n"/>
      <c r="C78" s="38" t="n"/>
      <c r="D78" s="38" t="n"/>
      <c r="E78" s="39" t="n"/>
      <c r="F78" s="39" t="n"/>
      <c r="G78" s="40">
        <f>IF(F78&lt;&gt;"",F78-TODAY(),"")</f>
        <v/>
      </c>
      <c r="H78" s="41">
        <f>IF(F78="","",IF(G78&lt;0,"⚠ Expired",IF(G78&lt;30,"🔴 Critical",IF(G78&lt;90,"🟡 Soon","✅ Active"))))</f>
        <v/>
      </c>
      <c r="I78" s="42" t="n"/>
      <c r="J78" s="38" t="n"/>
      <c r="K78" s="43" t="n"/>
      <c r="L78" s="38" t="n"/>
    </row>
    <row r="79" ht="20" customHeight="1">
      <c r="A79" s="38" t="n"/>
      <c r="B79" s="38" t="n"/>
      <c r="C79" s="38" t="n"/>
      <c r="D79" s="38" t="n"/>
      <c r="E79" s="39" t="n"/>
      <c r="F79" s="39" t="n"/>
      <c r="G79" s="40">
        <f>IF(F79&lt;&gt;"",F79-TODAY(),"")</f>
        <v/>
      </c>
      <c r="H79" s="41">
        <f>IF(F79="","",IF(G79&lt;0,"⚠ Expired",IF(G79&lt;30,"🔴 Critical",IF(G79&lt;90,"🟡 Soon","✅ Active"))))</f>
        <v/>
      </c>
      <c r="I79" s="42" t="n"/>
      <c r="J79" s="38" t="n"/>
      <c r="K79" s="43" t="n"/>
      <c r="L79" s="38" t="n"/>
    </row>
    <row r="80" ht="20" customHeight="1">
      <c r="A80" s="38" t="n"/>
      <c r="B80" s="38" t="n"/>
      <c r="C80" s="38" t="n"/>
      <c r="D80" s="38" t="n"/>
      <c r="E80" s="39" t="n"/>
      <c r="F80" s="39" t="n"/>
      <c r="G80" s="40">
        <f>IF(F80&lt;&gt;"",F80-TODAY(),"")</f>
        <v/>
      </c>
      <c r="H80" s="41">
        <f>IF(F80="","",IF(G80&lt;0,"⚠ Expired",IF(G80&lt;30,"🔴 Critical",IF(G80&lt;90,"🟡 Soon","✅ Active"))))</f>
        <v/>
      </c>
      <c r="I80" s="42" t="n"/>
      <c r="J80" s="38" t="n"/>
      <c r="K80" s="43" t="n"/>
      <c r="L80" s="38" t="n"/>
    </row>
    <row r="81" ht="20" customHeight="1">
      <c r="A81" s="38" t="n"/>
      <c r="B81" s="38" t="n"/>
      <c r="C81" s="38" t="n"/>
      <c r="D81" s="38" t="n"/>
      <c r="E81" s="39" t="n"/>
      <c r="F81" s="39" t="n"/>
      <c r="G81" s="40">
        <f>IF(F81&lt;&gt;"",F81-TODAY(),"")</f>
        <v/>
      </c>
      <c r="H81" s="41">
        <f>IF(F81="","",IF(G81&lt;0,"⚠ Expired",IF(G81&lt;30,"🔴 Critical",IF(G81&lt;90,"🟡 Soon","✅ Active"))))</f>
        <v/>
      </c>
      <c r="I81" s="42" t="n"/>
      <c r="J81" s="38" t="n"/>
      <c r="K81" s="43" t="n"/>
      <c r="L81" s="38" t="n"/>
    </row>
    <row r="82" ht="20" customHeight="1">
      <c r="A82" s="38" t="n"/>
      <c r="B82" s="38" t="n"/>
      <c r="C82" s="38" t="n"/>
      <c r="D82" s="38" t="n"/>
      <c r="E82" s="39" t="n"/>
      <c r="F82" s="39" t="n"/>
      <c r="G82" s="40">
        <f>IF(F82&lt;&gt;"",F82-TODAY(),"")</f>
        <v/>
      </c>
      <c r="H82" s="41">
        <f>IF(F82="","",IF(G82&lt;0,"⚠ Expired",IF(G82&lt;30,"🔴 Critical",IF(G82&lt;90,"🟡 Soon","✅ Active"))))</f>
        <v/>
      </c>
      <c r="I82" s="42" t="n"/>
      <c r="J82" s="38" t="n"/>
      <c r="K82" s="43" t="n"/>
      <c r="L82" s="38" t="n"/>
    </row>
    <row r="83" ht="20" customHeight="1">
      <c r="A83" s="38" t="n"/>
      <c r="B83" s="38" t="n"/>
      <c r="C83" s="38" t="n"/>
      <c r="D83" s="38" t="n"/>
      <c r="E83" s="39" t="n"/>
      <c r="F83" s="39" t="n"/>
      <c r="G83" s="40">
        <f>IF(F83&lt;&gt;"",F83-TODAY(),"")</f>
        <v/>
      </c>
      <c r="H83" s="41">
        <f>IF(F83="","",IF(G83&lt;0,"⚠ Expired",IF(G83&lt;30,"🔴 Critical",IF(G83&lt;90,"🟡 Soon","✅ Active"))))</f>
        <v/>
      </c>
      <c r="I83" s="42" t="n"/>
      <c r="J83" s="38" t="n"/>
      <c r="K83" s="43" t="n"/>
      <c r="L83" s="38" t="n"/>
    </row>
    <row r="84" ht="20" customHeight="1">
      <c r="A84" s="38" t="n"/>
      <c r="B84" s="38" t="n"/>
      <c r="C84" s="38" t="n"/>
      <c r="D84" s="38" t="n"/>
      <c r="E84" s="39" t="n"/>
      <c r="F84" s="39" t="n"/>
      <c r="G84" s="40">
        <f>IF(F84&lt;&gt;"",F84-TODAY(),"")</f>
        <v/>
      </c>
      <c r="H84" s="41">
        <f>IF(F84="","",IF(G84&lt;0,"⚠ Expired",IF(G84&lt;30,"🔴 Critical",IF(G84&lt;90,"🟡 Soon","✅ Active"))))</f>
        <v/>
      </c>
      <c r="I84" s="42" t="n"/>
      <c r="J84" s="38" t="n"/>
      <c r="K84" s="43" t="n"/>
      <c r="L84" s="38" t="n"/>
    </row>
    <row r="85" ht="20" customHeight="1">
      <c r="A85" s="38" t="n"/>
      <c r="B85" s="38" t="n"/>
      <c r="C85" s="38" t="n"/>
      <c r="D85" s="38" t="n"/>
      <c r="E85" s="39" t="n"/>
      <c r="F85" s="39" t="n"/>
      <c r="G85" s="40">
        <f>IF(F85&lt;&gt;"",F85-TODAY(),"")</f>
        <v/>
      </c>
      <c r="H85" s="41">
        <f>IF(F85="","",IF(G85&lt;0,"⚠ Expired",IF(G85&lt;30,"🔴 Critical",IF(G85&lt;90,"🟡 Soon","✅ Active"))))</f>
        <v/>
      </c>
      <c r="I85" s="42" t="n"/>
      <c r="J85" s="38" t="n"/>
      <c r="K85" s="43" t="n"/>
      <c r="L85" s="38" t="n"/>
    </row>
    <row r="86" ht="20" customHeight="1">
      <c r="A86" s="38" t="n"/>
      <c r="B86" s="38" t="n"/>
      <c r="C86" s="38" t="n"/>
      <c r="D86" s="38" t="n"/>
      <c r="E86" s="39" t="n"/>
      <c r="F86" s="39" t="n"/>
      <c r="G86" s="40">
        <f>IF(F86&lt;&gt;"",F86-TODAY(),"")</f>
        <v/>
      </c>
      <c r="H86" s="41">
        <f>IF(F86="","",IF(G86&lt;0,"⚠ Expired",IF(G86&lt;30,"🔴 Critical",IF(G86&lt;90,"🟡 Soon","✅ Active"))))</f>
        <v/>
      </c>
      <c r="I86" s="42" t="n"/>
      <c r="J86" s="38" t="n"/>
      <c r="K86" s="43" t="n"/>
      <c r="L86" s="38" t="n"/>
    </row>
    <row r="87" ht="20" customHeight="1">
      <c r="A87" s="38" t="n"/>
      <c r="B87" s="38" t="n"/>
      <c r="C87" s="38" t="n"/>
      <c r="D87" s="38" t="n"/>
      <c r="E87" s="39" t="n"/>
      <c r="F87" s="39" t="n"/>
      <c r="G87" s="40">
        <f>IF(F87&lt;&gt;"",F87-TODAY(),"")</f>
        <v/>
      </c>
      <c r="H87" s="41">
        <f>IF(F87="","",IF(G87&lt;0,"⚠ Expired",IF(G87&lt;30,"🔴 Critical",IF(G87&lt;90,"🟡 Soon","✅ Active"))))</f>
        <v/>
      </c>
      <c r="I87" s="42" t="n"/>
      <c r="J87" s="38" t="n"/>
      <c r="K87" s="43" t="n"/>
      <c r="L87" s="38" t="n"/>
    </row>
    <row r="88" ht="20" customHeight="1">
      <c r="A88" s="38" t="n"/>
      <c r="B88" s="38" t="n"/>
      <c r="C88" s="38" t="n"/>
      <c r="D88" s="38" t="n"/>
      <c r="E88" s="39" t="n"/>
      <c r="F88" s="39" t="n"/>
      <c r="G88" s="40">
        <f>IF(F88&lt;&gt;"",F88-TODAY(),"")</f>
        <v/>
      </c>
      <c r="H88" s="41">
        <f>IF(F88="","",IF(G88&lt;0,"⚠ Expired",IF(G88&lt;30,"🔴 Critical",IF(G88&lt;90,"🟡 Soon","✅ Active"))))</f>
        <v/>
      </c>
      <c r="I88" s="42" t="n"/>
      <c r="J88" s="38" t="n"/>
      <c r="K88" s="43" t="n"/>
      <c r="L88" s="38" t="n"/>
    </row>
    <row r="89" ht="20" customHeight="1">
      <c r="A89" s="38" t="n"/>
      <c r="B89" s="38" t="n"/>
      <c r="C89" s="38" t="n"/>
      <c r="D89" s="38" t="n"/>
      <c r="E89" s="39" t="n"/>
      <c r="F89" s="39" t="n"/>
      <c r="G89" s="40">
        <f>IF(F89&lt;&gt;"",F89-TODAY(),"")</f>
        <v/>
      </c>
      <c r="H89" s="41">
        <f>IF(F89="","",IF(G89&lt;0,"⚠ Expired",IF(G89&lt;30,"🔴 Critical",IF(G89&lt;90,"🟡 Soon","✅ Active"))))</f>
        <v/>
      </c>
      <c r="I89" s="42" t="n"/>
      <c r="J89" s="38" t="n"/>
      <c r="K89" s="43" t="n"/>
      <c r="L89" s="38" t="n"/>
    </row>
    <row r="90" ht="20" customHeight="1">
      <c r="A90" s="38" t="n"/>
      <c r="B90" s="38" t="n"/>
      <c r="C90" s="38" t="n"/>
      <c r="D90" s="38" t="n"/>
      <c r="E90" s="39" t="n"/>
      <c r="F90" s="39" t="n"/>
      <c r="G90" s="40">
        <f>IF(F90&lt;&gt;"",F90-TODAY(),"")</f>
        <v/>
      </c>
      <c r="H90" s="41">
        <f>IF(F90="","",IF(G90&lt;0,"⚠ Expired",IF(G90&lt;30,"🔴 Critical",IF(G90&lt;90,"🟡 Soon","✅ Active"))))</f>
        <v/>
      </c>
      <c r="I90" s="42" t="n"/>
      <c r="J90" s="38" t="n"/>
      <c r="K90" s="43" t="n"/>
      <c r="L90" s="38" t="n"/>
    </row>
    <row r="91" ht="20" customHeight="1">
      <c r="A91" s="38" t="n"/>
      <c r="B91" s="38" t="n"/>
      <c r="C91" s="38" t="n"/>
      <c r="D91" s="38" t="n"/>
      <c r="E91" s="39" t="n"/>
      <c r="F91" s="39" t="n"/>
      <c r="G91" s="40">
        <f>IF(F91&lt;&gt;"",F91-TODAY(),"")</f>
        <v/>
      </c>
      <c r="H91" s="41">
        <f>IF(F91="","",IF(G91&lt;0,"⚠ Expired",IF(G91&lt;30,"🔴 Critical",IF(G91&lt;90,"🟡 Soon","✅ Active"))))</f>
        <v/>
      </c>
      <c r="I91" s="42" t="n"/>
      <c r="J91" s="38" t="n"/>
      <c r="K91" s="43" t="n"/>
      <c r="L91" s="38" t="n"/>
    </row>
    <row r="92" ht="20" customHeight="1">
      <c r="A92" s="38" t="n"/>
      <c r="B92" s="38" t="n"/>
      <c r="C92" s="38" t="n"/>
      <c r="D92" s="38" t="n"/>
      <c r="E92" s="39" t="n"/>
      <c r="F92" s="39" t="n"/>
      <c r="G92" s="40">
        <f>IF(F92&lt;&gt;"",F92-TODAY(),"")</f>
        <v/>
      </c>
      <c r="H92" s="41">
        <f>IF(F92="","",IF(G92&lt;0,"⚠ Expired",IF(G92&lt;30,"🔴 Critical",IF(G92&lt;90,"🟡 Soon","✅ Active"))))</f>
        <v/>
      </c>
      <c r="I92" s="42" t="n"/>
      <c r="J92" s="38" t="n"/>
      <c r="K92" s="43" t="n"/>
      <c r="L92" s="38" t="n"/>
    </row>
    <row r="93" ht="20" customHeight="1">
      <c r="A93" s="38" t="n"/>
      <c r="B93" s="38" t="n"/>
      <c r="C93" s="38" t="n"/>
      <c r="D93" s="38" t="n"/>
      <c r="E93" s="39" t="n"/>
      <c r="F93" s="39" t="n"/>
      <c r="G93" s="40">
        <f>IF(F93&lt;&gt;"",F93-TODAY(),"")</f>
        <v/>
      </c>
      <c r="H93" s="41">
        <f>IF(F93="","",IF(G93&lt;0,"⚠ Expired",IF(G93&lt;30,"🔴 Critical",IF(G93&lt;90,"🟡 Soon","✅ Active"))))</f>
        <v/>
      </c>
      <c r="I93" s="42" t="n"/>
      <c r="J93" s="38" t="n"/>
      <c r="K93" s="43" t="n"/>
      <c r="L93" s="38" t="n"/>
    </row>
    <row r="94" ht="20" customHeight="1">
      <c r="A94" s="38" t="n"/>
      <c r="B94" s="38" t="n"/>
      <c r="C94" s="38" t="n"/>
      <c r="D94" s="38" t="n"/>
      <c r="E94" s="39" t="n"/>
      <c r="F94" s="39" t="n"/>
      <c r="G94" s="40">
        <f>IF(F94&lt;&gt;"",F94-TODAY(),"")</f>
        <v/>
      </c>
      <c r="H94" s="41">
        <f>IF(F94="","",IF(G94&lt;0,"⚠ Expired",IF(G94&lt;30,"🔴 Critical",IF(G94&lt;90,"🟡 Soon","✅ Active"))))</f>
        <v/>
      </c>
      <c r="I94" s="42" t="n"/>
      <c r="J94" s="38" t="n"/>
      <c r="K94" s="43" t="n"/>
      <c r="L94" s="38" t="n"/>
    </row>
    <row r="95" ht="20" customHeight="1">
      <c r="A95" s="38" t="n"/>
      <c r="B95" s="38" t="n"/>
      <c r="C95" s="38" t="n"/>
      <c r="D95" s="38" t="n"/>
      <c r="E95" s="39" t="n"/>
      <c r="F95" s="39" t="n"/>
      <c r="G95" s="40">
        <f>IF(F95&lt;&gt;"",F95-TODAY(),"")</f>
        <v/>
      </c>
      <c r="H95" s="41">
        <f>IF(F95="","",IF(G95&lt;0,"⚠ Expired",IF(G95&lt;30,"🔴 Critical",IF(G95&lt;90,"🟡 Soon","✅ Active"))))</f>
        <v/>
      </c>
      <c r="I95" s="42" t="n"/>
      <c r="J95" s="38" t="n"/>
      <c r="K95" s="43" t="n"/>
      <c r="L95" s="38" t="n"/>
    </row>
    <row r="96" ht="20" customHeight="1">
      <c r="A96" s="38" t="n"/>
      <c r="B96" s="38" t="n"/>
      <c r="C96" s="38" t="n"/>
      <c r="D96" s="38" t="n"/>
      <c r="E96" s="39" t="n"/>
      <c r="F96" s="39" t="n"/>
      <c r="G96" s="40">
        <f>IF(F96&lt;&gt;"",F96-TODAY(),"")</f>
        <v/>
      </c>
      <c r="H96" s="41">
        <f>IF(F96="","",IF(G96&lt;0,"⚠ Expired",IF(G96&lt;30,"🔴 Critical",IF(G96&lt;90,"🟡 Soon","✅ Active"))))</f>
        <v/>
      </c>
      <c r="I96" s="42" t="n"/>
      <c r="J96" s="38" t="n"/>
      <c r="K96" s="43" t="n"/>
      <c r="L96" s="38" t="n"/>
    </row>
    <row r="97" ht="20" customHeight="1">
      <c r="A97" s="38" t="n"/>
      <c r="B97" s="38" t="n"/>
      <c r="C97" s="38" t="n"/>
      <c r="D97" s="38" t="n"/>
      <c r="E97" s="39" t="n"/>
      <c r="F97" s="39" t="n"/>
      <c r="G97" s="40">
        <f>IF(F97&lt;&gt;"",F97-TODAY(),"")</f>
        <v/>
      </c>
      <c r="H97" s="41">
        <f>IF(F97="","",IF(G97&lt;0,"⚠ Expired",IF(G97&lt;30,"🔴 Critical",IF(G97&lt;90,"🟡 Soon","✅ Active"))))</f>
        <v/>
      </c>
      <c r="I97" s="42" t="n"/>
      <c r="J97" s="38" t="n"/>
      <c r="K97" s="43" t="n"/>
      <c r="L97" s="38" t="n"/>
    </row>
    <row r="98" ht="20" customHeight="1">
      <c r="A98" s="38" t="n"/>
      <c r="B98" s="38" t="n"/>
      <c r="C98" s="38" t="n"/>
      <c r="D98" s="38" t="n"/>
      <c r="E98" s="39" t="n"/>
      <c r="F98" s="39" t="n"/>
      <c r="G98" s="40">
        <f>IF(F98&lt;&gt;"",F98-TODAY(),"")</f>
        <v/>
      </c>
      <c r="H98" s="41">
        <f>IF(F98="","",IF(G98&lt;0,"⚠ Expired",IF(G98&lt;30,"🔴 Critical",IF(G98&lt;90,"🟡 Soon","✅ Active"))))</f>
        <v/>
      </c>
      <c r="I98" s="42" t="n"/>
      <c r="J98" s="38" t="n"/>
      <c r="K98" s="43" t="n"/>
      <c r="L98" s="38" t="n"/>
    </row>
    <row r="99" ht="20" customHeight="1">
      <c r="A99" s="38" t="n"/>
      <c r="B99" s="38" t="n"/>
      <c r="C99" s="38" t="n"/>
      <c r="D99" s="38" t="n"/>
      <c r="E99" s="39" t="n"/>
      <c r="F99" s="39" t="n"/>
      <c r="G99" s="40">
        <f>IF(F99&lt;&gt;"",F99-TODAY(),"")</f>
        <v/>
      </c>
      <c r="H99" s="41">
        <f>IF(F99="","",IF(G99&lt;0,"⚠ Expired",IF(G99&lt;30,"🔴 Critical",IF(G99&lt;90,"🟡 Soon","✅ Active"))))</f>
        <v/>
      </c>
      <c r="I99" s="42" t="n"/>
      <c r="J99" s="38" t="n"/>
      <c r="K99" s="43" t="n"/>
      <c r="L99" s="38" t="n"/>
    </row>
    <row r="100" ht="20" customHeight="1">
      <c r="A100" s="38" t="n"/>
      <c r="B100" s="38" t="n"/>
      <c r="C100" s="38" t="n"/>
      <c r="D100" s="38" t="n"/>
      <c r="E100" s="39" t="n"/>
      <c r="F100" s="39" t="n"/>
      <c r="G100" s="40">
        <f>IF(F100&lt;&gt;"",F100-TODAY(),"")</f>
        <v/>
      </c>
      <c r="H100" s="41">
        <f>IF(F100="","",IF(G100&lt;0,"⚠ Expired",IF(G100&lt;30,"🔴 Critical",IF(G100&lt;90,"🟡 Soon","✅ Active"))))</f>
        <v/>
      </c>
      <c r="I100" s="42" t="n"/>
      <c r="J100" s="38" t="n"/>
      <c r="K100" s="43" t="n"/>
      <c r="L100" s="38" t="n"/>
    </row>
    <row r="101" ht="20" customHeight="1">
      <c r="A101" s="38" t="n"/>
      <c r="B101" s="38" t="n"/>
      <c r="C101" s="38" t="n"/>
      <c r="D101" s="38" t="n"/>
      <c r="E101" s="39" t="n"/>
      <c r="F101" s="39" t="n"/>
      <c r="G101" s="40">
        <f>IF(F101&lt;&gt;"",F101-TODAY(),"")</f>
        <v/>
      </c>
      <c r="H101" s="41">
        <f>IF(F101="","",IF(G101&lt;0,"⚠ Expired",IF(G101&lt;30,"🔴 Critical",IF(G101&lt;90,"🟡 Soon","✅ Active"))))</f>
        <v/>
      </c>
      <c r="I101" s="42" t="n"/>
      <c r="J101" s="38" t="n"/>
      <c r="K101" s="43" t="n"/>
      <c r="L101" s="38" t="n"/>
    </row>
    <row r="102" ht="20" customHeight="1">
      <c r="A102" s="38" t="n"/>
      <c r="B102" s="38" t="n"/>
      <c r="C102" s="38" t="n"/>
      <c r="D102" s="38" t="n"/>
      <c r="E102" s="39" t="n"/>
      <c r="F102" s="39" t="n"/>
      <c r="G102" s="40">
        <f>IF(F102&lt;&gt;"",F102-TODAY(),"")</f>
        <v/>
      </c>
      <c r="H102" s="41">
        <f>IF(F102="","",IF(G102&lt;0,"⚠ Expired",IF(G102&lt;30,"🔴 Critical",IF(G102&lt;90,"🟡 Soon","✅ Active"))))</f>
        <v/>
      </c>
      <c r="I102" s="42" t="n"/>
      <c r="J102" s="38" t="n"/>
      <c r="K102" s="43" t="n"/>
      <c r="L102" s="38" t="n"/>
    </row>
    <row r="103" ht="20" customHeight="1">
      <c r="A103" s="38" t="n"/>
      <c r="B103" s="38" t="n"/>
      <c r="C103" s="38" t="n"/>
      <c r="D103" s="38" t="n"/>
      <c r="E103" s="39" t="n"/>
      <c r="F103" s="39" t="n"/>
      <c r="G103" s="40">
        <f>IF(F103&lt;&gt;"",F103-TODAY(),"")</f>
        <v/>
      </c>
      <c r="H103" s="41">
        <f>IF(F103="","",IF(G103&lt;0,"⚠ Expired",IF(G103&lt;30,"🔴 Critical",IF(G103&lt;90,"🟡 Soon","✅ Active"))))</f>
        <v/>
      </c>
      <c r="I103" s="42" t="n"/>
      <c r="J103" s="38" t="n"/>
      <c r="K103" s="43" t="n"/>
      <c r="L103" s="38" t="n"/>
    </row>
    <row r="104" ht="20" customHeight="1">
      <c r="A104" s="38" t="n"/>
      <c r="B104" s="38" t="n"/>
      <c r="C104" s="38" t="n"/>
      <c r="D104" s="38" t="n"/>
      <c r="E104" s="39" t="n"/>
      <c r="F104" s="39" t="n"/>
      <c r="G104" s="40">
        <f>IF(F104&lt;&gt;"",F104-TODAY(),"")</f>
        <v/>
      </c>
      <c r="H104" s="41">
        <f>IF(F104="","",IF(G104&lt;0,"⚠ Expired",IF(G104&lt;30,"🔴 Critical",IF(G104&lt;90,"🟡 Soon","✅ Active"))))</f>
        <v/>
      </c>
      <c r="I104" s="42" t="n"/>
      <c r="J104" s="38" t="n"/>
      <c r="K104" s="43" t="n"/>
      <c r="L104" s="38" t="n"/>
    </row>
    <row r="105" ht="20" customHeight="1">
      <c r="A105" s="38" t="n"/>
      <c r="B105" s="38" t="n"/>
      <c r="C105" s="38" t="n"/>
      <c r="D105" s="38" t="n"/>
      <c r="E105" s="39" t="n"/>
      <c r="F105" s="39" t="n"/>
      <c r="G105" s="40">
        <f>IF(F105&lt;&gt;"",F105-TODAY(),"")</f>
        <v/>
      </c>
      <c r="H105" s="41">
        <f>IF(F105="","",IF(G105&lt;0,"⚠ Expired",IF(G105&lt;30,"🔴 Critical",IF(G105&lt;90,"🟡 Soon","✅ Active"))))</f>
        <v/>
      </c>
      <c r="I105" s="42" t="n"/>
      <c r="J105" s="38" t="n"/>
      <c r="K105" s="43" t="n"/>
      <c r="L105" s="38" t="n"/>
    </row>
    <row r="106" ht="20" customHeight="1">
      <c r="A106" s="38" t="n"/>
      <c r="B106" s="38" t="n"/>
      <c r="C106" s="38" t="n"/>
      <c r="D106" s="38" t="n"/>
      <c r="E106" s="39" t="n"/>
      <c r="F106" s="39" t="n"/>
      <c r="G106" s="40">
        <f>IF(F106&lt;&gt;"",F106-TODAY(),"")</f>
        <v/>
      </c>
      <c r="H106" s="41">
        <f>IF(F106="","",IF(G106&lt;0,"⚠ Expired",IF(G106&lt;30,"🔴 Critical",IF(G106&lt;90,"🟡 Soon","✅ Active"))))</f>
        <v/>
      </c>
      <c r="I106" s="42" t="n"/>
      <c r="J106" s="38" t="n"/>
      <c r="K106" s="43" t="n"/>
      <c r="L106" s="38" t="n"/>
    </row>
  </sheetData>
  <mergeCells count="4">
    <mergeCell ref="J2:L2"/>
    <mergeCell ref="D2:I2"/>
    <mergeCell ref="A2:C2"/>
    <mergeCell ref="A4:L4"/>
  </mergeCells>
  <conditionalFormatting sqref="G7:G106">
    <cfRule type="cellIs" priority="1" operator="lessThan" dxfId="1">
      <formula>0</formula>
    </cfRule>
    <cfRule type="cellIs" priority="2" operator="between" dxfId="1">
      <formula>0</formula>
      <formula>29</formula>
    </cfRule>
    <cfRule type="cellIs" priority="3" operator="between" dxfId="2">
      <formula>30</formula>
      <formula>89</formula>
    </cfRule>
    <cfRule type="cellIs" priority="4" operator="greaterThanOrEqual" dxfId="3">
      <formula>90</formula>
    </cfRule>
  </conditionalFormatting>
  <conditionalFormatting sqref="H7:H106">
    <cfRule type="expression" priority="5" dxfId="4">
      <formula>ISNUMBER(SEARCH("Expired",$H7))</formula>
    </cfRule>
    <cfRule type="expression" priority="6" dxfId="1">
      <formula>ISNUMBER(SEARCH("Critical",$H7))</formula>
    </cfRule>
    <cfRule type="expression" priority="7" dxfId="5">
      <formula>ISNUMBER(SEARCH("Soon",$H7))</formula>
    </cfRule>
    <cfRule type="expression" priority="8" dxfId="6">
      <formula>ISNUMBER(SEARCH("Active",$H7))</formula>
    </cfRule>
  </conditionalFormatting>
  <dataValidations count="3">
    <dataValidation sqref="B7:B106" showDropDown="0" showInputMessage="0" showErrorMessage="0" allowBlank="1" type="list">
      <formula1>=Settings!$B$5:$B$14</formula1>
    </dataValidation>
    <dataValidation sqref="C7:C106" showDropDown="0" showInputMessage="0" showErrorMessage="0" allowBlank="1" type="list">
      <formula1>=Settings!$B$16:$B$25</formula1>
    </dataValidation>
    <dataValidation sqref="D7:D106" showDropDown="0" showInputMessage="0" showErrorMessage="0" allowBlank="1" type="list">
      <formula1>=Settings!$B$27:$B$36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O107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HYPERLINK("#'Licenses'!A1", "← BACK")</f>
        <v/>
      </c>
      <c r="B2" s="26" t="n"/>
      <c r="C2" s="26" t="n"/>
      <c r="D2" s="33" t="inlineStr">
        <is>
          <t>12-MONTH CALENDAR</t>
        </is>
      </c>
      <c r="J2" s="34">
        <f>HYPERLINK("#'Settings'!A1", "NEXT →")</f>
        <v/>
      </c>
      <c r="K2" s="35" t="n"/>
      <c r="L2" s="3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Forward 12-month grid. Months are driven by Settings!B40 (active calendar year). Each cell shows the renewal fee in the month the license expires.</t>
        </is>
      </c>
    </row>
    <row r="5" ht="6" customHeight="1"/>
    <row r="6" ht="28" customHeight="1">
      <c r="A6" s="37" t="inlineStr">
        <is>
          <t>License #</t>
        </is>
      </c>
      <c r="B6" s="37" t="inlineStr">
        <is>
          <t>Property</t>
        </is>
      </c>
      <c r="C6" s="37" t="inlineStr">
        <is>
          <t>Type</t>
        </is>
      </c>
      <c r="D6" s="37">
        <f>TEXT(DATE(Settings!$B$40,1,1),"mmm yyyy")</f>
        <v/>
      </c>
      <c r="E6" s="37">
        <f>TEXT(DATE(Settings!$B$40,2,1),"mmm yyyy")</f>
        <v/>
      </c>
      <c r="F6" s="37">
        <f>TEXT(DATE(Settings!$B$40,3,1),"mmm yyyy")</f>
        <v/>
      </c>
      <c r="G6" s="37">
        <f>TEXT(DATE(Settings!$B$40,4,1),"mmm yyyy")</f>
        <v/>
      </c>
      <c r="H6" s="37">
        <f>TEXT(DATE(Settings!$B$40,5,1),"mmm yyyy")</f>
        <v/>
      </c>
      <c r="I6" s="37">
        <f>TEXT(DATE(Settings!$B$40,6,1),"mmm yyyy")</f>
        <v/>
      </c>
      <c r="J6" s="37">
        <f>TEXT(DATE(Settings!$B$40,7,1),"mmm yyyy")</f>
        <v/>
      </c>
      <c r="K6" s="37">
        <f>TEXT(DATE(Settings!$B$40,8,1),"mmm yyyy")</f>
        <v/>
      </c>
      <c r="L6" s="37">
        <f>TEXT(DATE(Settings!$B$40,9,1),"mmm yyyy")</f>
        <v/>
      </c>
      <c r="M6" s="37">
        <f>TEXT(DATE(Settings!$B$40,10,1),"mmm yyyy")</f>
        <v/>
      </c>
      <c r="N6" s="37">
        <f>TEXT(DATE(Settings!$B$40,11,1),"mmm yyyy")</f>
        <v/>
      </c>
      <c r="O6" s="37">
        <f>TEXT(DATE(Settings!$B$40,12,1),"mmm yyyy")</f>
        <v/>
      </c>
    </row>
    <row r="7" ht="18" customHeight="1">
      <c r="A7" s="44">
        <f>IF('Licenses'!A7="","",'Licenses'!A7)</f>
        <v/>
      </c>
      <c r="B7" s="44">
        <f>IF('Licenses'!B7="","",'Licenses'!B7)</f>
        <v/>
      </c>
      <c r="C7" s="44">
        <f>IF('Licenses'!D7="","",'Licenses'!D7)</f>
        <v/>
      </c>
      <c r="D7" s="45">
        <f>IF('Licenses'!F7="","",IF(AND(MONTH('Licenses'!F7)=1,YEAR('Licenses'!F7)=Settings!$B$40),'Licenses'!I7,""))</f>
        <v/>
      </c>
      <c r="E7" s="45">
        <f>IF('Licenses'!F7="","",IF(AND(MONTH('Licenses'!F7)=2,YEAR('Licenses'!F7)=Settings!$B$40),'Licenses'!I7,""))</f>
        <v/>
      </c>
      <c r="F7" s="45">
        <f>IF('Licenses'!F7="","",IF(AND(MONTH('Licenses'!F7)=3,YEAR('Licenses'!F7)=Settings!$B$40),'Licenses'!I7,""))</f>
        <v/>
      </c>
      <c r="G7" s="45">
        <f>IF('Licenses'!F7="","",IF(AND(MONTH('Licenses'!F7)=4,YEAR('Licenses'!F7)=Settings!$B$40),'Licenses'!I7,""))</f>
        <v/>
      </c>
      <c r="H7" s="45">
        <f>IF('Licenses'!F7="","",IF(AND(MONTH('Licenses'!F7)=5,YEAR('Licenses'!F7)=Settings!$B$40),'Licenses'!I7,""))</f>
        <v/>
      </c>
      <c r="I7" s="45">
        <f>IF('Licenses'!F7="","",IF(AND(MONTH('Licenses'!F7)=6,YEAR('Licenses'!F7)=Settings!$B$40),'Licenses'!I7,""))</f>
        <v/>
      </c>
      <c r="J7" s="45">
        <f>IF('Licenses'!F7="","",IF(AND(MONTH('Licenses'!F7)=7,YEAR('Licenses'!F7)=Settings!$B$40),'Licenses'!I7,""))</f>
        <v/>
      </c>
      <c r="K7" s="45">
        <f>IF('Licenses'!F7="","",IF(AND(MONTH('Licenses'!F7)=8,YEAR('Licenses'!F7)=Settings!$B$40),'Licenses'!I7,""))</f>
        <v/>
      </c>
      <c r="L7" s="45">
        <f>IF('Licenses'!F7="","",IF(AND(MONTH('Licenses'!F7)=9,YEAR('Licenses'!F7)=Settings!$B$40),'Licenses'!I7,""))</f>
        <v/>
      </c>
      <c r="M7" s="45">
        <f>IF('Licenses'!F7="","",IF(AND(MONTH('Licenses'!F7)=10,YEAR('Licenses'!F7)=Settings!$B$40),'Licenses'!I7,""))</f>
        <v/>
      </c>
      <c r="N7" s="45">
        <f>IF('Licenses'!F7="","",IF(AND(MONTH('Licenses'!F7)=11,YEAR('Licenses'!F7)=Settings!$B$40),'Licenses'!I7,""))</f>
        <v/>
      </c>
      <c r="O7" s="45">
        <f>IF('Licenses'!F7="","",IF(AND(MONTH('Licenses'!F7)=12,YEAR('Licenses'!F7)=Settings!$B$40),'Licenses'!I7,""))</f>
        <v/>
      </c>
    </row>
    <row r="8" ht="18" customHeight="1">
      <c r="A8" s="46">
        <f>IF('Licenses'!A8="","",'Licenses'!A8)</f>
        <v/>
      </c>
      <c r="B8" s="46">
        <f>IF('Licenses'!B8="","",'Licenses'!B8)</f>
        <v/>
      </c>
      <c r="C8" s="46">
        <f>IF('Licenses'!D8="","",'Licenses'!D8)</f>
        <v/>
      </c>
      <c r="D8" s="47">
        <f>IF('Licenses'!F8="","",IF(AND(MONTH('Licenses'!F8)=1,YEAR('Licenses'!F8)=Settings!$B$40),'Licenses'!I8,""))</f>
        <v/>
      </c>
      <c r="E8" s="47">
        <f>IF('Licenses'!F8="","",IF(AND(MONTH('Licenses'!F8)=2,YEAR('Licenses'!F8)=Settings!$B$40),'Licenses'!I8,""))</f>
        <v/>
      </c>
      <c r="F8" s="47">
        <f>IF('Licenses'!F8="","",IF(AND(MONTH('Licenses'!F8)=3,YEAR('Licenses'!F8)=Settings!$B$40),'Licenses'!I8,""))</f>
        <v/>
      </c>
      <c r="G8" s="47">
        <f>IF('Licenses'!F8="","",IF(AND(MONTH('Licenses'!F8)=4,YEAR('Licenses'!F8)=Settings!$B$40),'Licenses'!I8,""))</f>
        <v/>
      </c>
      <c r="H8" s="47">
        <f>IF('Licenses'!F8="","",IF(AND(MONTH('Licenses'!F8)=5,YEAR('Licenses'!F8)=Settings!$B$40),'Licenses'!I8,""))</f>
        <v/>
      </c>
      <c r="I8" s="47">
        <f>IF('Licenses'!F8="","",IF(AND(MONTH('Licenses'!F8)=6,YEAR('Licenses'!F8)=Settings!$B$40),'Licenses'!I8,""))</f>
        <v/>
      </c>
      <c r="J8" s="47">
        <f>IF('Licenses'!F8="","",IF(AND(MONTH('Licenses'!F8)=7,YEAR('Licenses'!F8)=Settings!$B$40),'Licenses'!I8,""))</f>
        <v/>
      </c>
      <c r="K8" s="47">
        <f>IF('Licenses'!F8="","",IF(AND(MONTH('Licenses'!F8)=8,YEAR('Licenses'!F8)=Settings!$B$40),'Licenses'!I8,""))</f>
        <v/>
      </c>
      <c r="L8" s="47">
        <f>IF('Licenses'!F8="","",IF(AND(MONTH('Licenses'!F8)=9,YEAR('Licenses'!F8)=Settings!$B$40),'Licenses'!I8,""))</f>
        <v/>
      </c>
      <c r="M8" s="47">
        <f>IF('Licenses'!F8="","",IF(AND(MONTH('Licenses'!F8)=10,YEAR('Licenses'!F8)=Settings!$B$40),'Licenses'!I8,""))</f>
        <v/>
      </c>
      <c r="N8" s="47">
        <f>IF('Licenses'!F8="","",IF(AND(MONTH('Licenses'!F8)=11,YEAR('Licenses'!F8)=Settings!$B$40),'Licenses'!I8,""))</f>
        <v/>
      </c>
      <c r="O8" s="47">
        <f>IF('Licenses'!F8="","",IF(AND(MONTH('Licenses'!F8)=12,YEAR('Licenses'!F8)=Settings!$B$40),'Licenses'!I8,""))</f>
        <v/>
      </c>
    </row>
    <row r="9" ht="18" customHeight="1">
      <c r="A9" s="44">
        <f>IF('Licenses'!A9="","",'Licenses'!A9)</f>
        <v/>
      </c>
      <c r="B9" s="44">
        <f>IF('Licenses'!B9="","",'Licenses'!B9)</f>
        <v/>
      </c>
      <c r="C9" s="44">
        <f>IF('Licenses'!D9="","",'Licenses'!D9)</f>
        <v/>
      </c>
      <c r="D9" s="45">
        <f>IF('Licenses'!F9="","",IF(AND(MONTH('Licenses'!F9)=1,YEAR('Licenses'!F9)=Settings!$B$40),'Licenses'!I9,""))</f>
        <v/>
      </c>
      <c r="E9" s="45">
        <f>IF('Licenses'!F9="","",IF(AND(MONTH('Licenses'!F9)=2,YEAR('Licenses'!F9)=Settings!$B$40),'Licenses'!I9,""))</f>
        <v/>
      </c>
      <c r="F9" s="45">
        <f>IF('Licenses'!F9="","",IF(AND(MONTH('Licenses'!F9)=3,YEAR('Licenses'!F9)=Settings!$B$40),'Licenses'!I9,""))</f>
        <v/>
      </c>
      <c r="G9" s="45">
        <f>IF('Licenses'!F9="","",IF(AND(MONTH('Licenses'!F9)=4,YEAR('Licenses'!F9)=Settings!$B$40),'Licenses'!I9,""))</f>
        <v/>
      </c>
      <c r="H9" s="45">
        <f>IF('Licenses'!F9="","",IF(AND(MONTH('Licenses'!F9)=5,YEAR('Licenses'!F9)=Settings!$B$40),'Licenses'!I9,""))</f>
        <v/>
      </c>
      <c r="I9" s="45">
        <f>IF('Licenses'!F9="","",IF(AND(MONTH('Licenses'!F9)=6,YEAR('Licenses'!F9)=Settings!$B$40),'Licenses'!I9,""))</f>
        <v/>
      </c>
      <c r="J9" s="45">
        <f>IF('Licenses'!F9="","",IF(AND(MONTH('Licenses'!F9)=7,YEAR('Licenses'!F9)=Settings!$B$40),'Licenses'!I9,""))</f>
        <v/>
      </c>
      <c r="K9" s="45">
        <f>IF('Licenses'!F9="","",IF(AND(MONTH('Licenses'!F9)=8,YEAR('Licenses'!F9)=Settings!$B$40),'Licenses'!I9,""))</f>
        <v/>
      </c>
      <c r="L9" s="45">
        <f>IF('Licenses'!F9="","",IF(AND(MONTH('Licenses'!F9)=9,YEAR('Licenses'!F9)=Settings!$B$40),'Licenses'!I9,""))</f>
        <v/>
      </c>
      <c r="M9" s="45">
        <f>IF('Licenses'!F9="","",IF(AND(MONTH('Licenses'!F9)=10,YEAR('Licenses'!F9)=Settings!$B$40),'Licenses'!I9,""))</f>
        <v/>
      </c>
      <c r="N9" s="45">
        <f>IF('Licenses'!F9="","",IF(AND(MONTH('Licenses'!F9)=11,YEAR('Licenses'!F9)=Settings!$B$40),'Licenses'!I9,""))</f>
        <v/>
      </c>
      <c r="O9" s="45">
        <f>IF('Licenses'!F9="","",IF(AND(MONTH('Licenses'!F9)=12,YEAR('Licenses'!F9)=Settings!$B$40),'Licenses'!I9,""))</f>
        <v/>
      </c>
    </row>
    <row r="10" ht="18" customHeight="1">
      <c r="A10" s="46">
        <f>IF('Licenses'!A10="","",'Licenses'!A10)</f>
        <v/>
      </c>
      <c r="B10" s="46">
        <f>IF('Licenses'!B10="","",'Licenses'!B10)</f>
        <v/>
      </c>
      <c r="C10" s="46">
        <f>IF('Licenses'!D10="","",'Licenses'!D10)</f>
        <v/>
      </c>
      <c r="D10" s="47">
        <f>IF('Licenses'!F10="","",IF(AND(MONTH('Licenses'!F10)=1,YEAR('Licenses'!F10)=Settings!$B$40),'Licenses'!I10,""))</f>
        <v/>
      </c>
      <c r="E10" s="47">
        <f>IF('Licenses'!F10="","",IF(AND(MONTH('Licenses'!F10)=2,YEAR('Licenses'!F10)=Settings!$B$40),'Licenses'!I10,""))</f>
        <v/>
      </c>
      <c r="F10" s="47">
        <f>IF('Licenses'!F10="","",IF(AND(MONTH('Licenses'!F10)=3,YEAR('Licenses'!F10)=Settings!$B$40),'Licenses'!I10,""))</f>
        <v/>
      </c>
      <c r="G10" s="47">
        <f>IF('Licenses'!F10="","",IF(AND(MONTH('Licenses'!F10)=4,YEAR('Licenses'!F10)=Settings!$B$40),'Licenses'!I10,""))</f>
        <v/>
      </c>
      <c r="H10" s="47">
        <f>IF('Licenses'!F10="","",IF(AND(MONTH('Licenses'!F10)=5,YEAR('Licenses'!F10)=Settings!$B$40),'Licenses'!I10,""))</f>
        <v/>
      </c>
      <c r="I10" s="47">
        <f>IF('Licenses'!F10="","",IF(AND(MONTH('Licenses'!F10)=6,YEAR('Licenses'!F10)=Settings!$B$40),'Licenses'!I10,""))</f>
        <v/>
      </c>
      <c r="J10" s="47">
        <f>IF('Licenses'!F10="","",IF(AND(MONTH('Licenses'!F10)=7,YEAR('Licenses'!F10)=Settings!$B$40),'Licenses'!I10,""))</f>
        <v/>
      </c>
      <c r="K10" s="47">
        <f>IF('Licenses'!F10="","",IF(AND(MONTH('Licenses'!F10)=8,YEAR('Licenses'!F10)=Settings!$B$40),'Licenses'!I10,""))</f>
        <v/>
      </c>
      <c r="L10" s="47">
        <f>IF('Licenses'!F10="","",IF(AND(MONTH('Licenses'!F10)=9,YEAR('Licenses'!F10)=Settings!$B$40),'Licenses'!I10,""))</f>
        <v/>
      </c>
      <c r="M10" s="47">
        <f>IF('Licenses'!F10="","",IF(AND(MONTH('Licenses'!F10)=10,YEAR('Licenses'!F10)=Settings!$B$40),'Licenses'!I10,""))</f>
        <v/>
      </c>
      <c r="N10" s="47">
        <f>IF('Licenses'!F10="","",IF(AND(MONTH('Licenses'!F10)=11,YEAR('Licenses'!F10)=Settings!$B$40),'Licenses'!I10,""))</f>
        <v/>
      </c>
      <c r="O10" s="47">
        <f>IF('Licenses'!F10="","",IF(AND(MONTH('Licenses'!F10)=12,YEAR('Licenses'!F10)=Settings!$B$40),'Licenses'!I10,""))</f>
        <v/>
      </c>
    </row>
    <row r="11" ht="18" customHeight="1">
      <c r="A11" s="44">
        <f>IF('Licenses'!A11="","",'Licenses'!A11)</f>
        <v/>
      </c>
      <c r="B11" s="44">
        <f>IF('Licenses'!B11="","",'Licenses'!B11)</f>
        <v/>
      </c>
      <c r="C11" s="44">
        <f>IF('Licenses'!D11="","",'Licenses'!D11)</f>
        <v/>
      </c>
      <c r="D11" s="45">
        <f>IF('Licenses'!F11="","",IF(AND(MONTH('Licenses'!F11)=1,YEAR('Licenses'!F11)=Settings!$B$40),'Licenses'!I11,""))</f>
        <v/>
      </c>
      <c r="E11" s="45">
        <f>IF('Licenses'!F11="","",IF(AND(MONTH('Licenses'!F11)=2,YEAR('Licenses'!F11)=Settings!$B$40),'Licenses'!I11,""))</f>
        <v/>
      </c>
      <c r="F11" s="45">
        <f>IF('Licenses'!F11="","",IF(AND(MONTH('Licenses'!F11)=3,YEAR('Licenses'!F11)=Settings!$B$40),'Licenses'!I11,""))</f>
        <v/>
      </c>
      <c r="G11" s="45">
        <f>IF('Licenses'!F11="","",IF(AND(MONTH('Licenses'!F11)=4,YEAR('Licenses'!F11)=Settings!$B$40),'Licenses'!I11,""))</f>
        <v/>
      </c>
      <c r="H11" s="45">
        <f>IF('Licenses'!F11="","",IF(AND(MONTH('Licenses'!F11)=5,YEAR('Licenses'!F11)=Settings!$B$40),'Licenses'!I11,""))</f>
        <v/>
      </c>
      <c r="I11" s="45">
        <f>IF('Licenses'!F11="","",IF(AND(MONTH('Licenses'!F11)=6,YEAR('Licenses'!F11)=Settings!$B$40),'Licenses'!I11,""))</f>
        <v/>
      </c>
      <c r="J11" s="45">
        <f>IF('Licenses'!F11="","",IF(AND(MONTH('Licenses'!F11)=7,YEAR('Licenses'!F11)=Settings!$B$40),'Licenses'!I11,""))</f>
        <v/>
      </c>
      <c r="K11" s="45">
        <f>IF('Licenses'!F11="","",IF(AND(MONTH('Licenses'!F11)=8,YEAR('Licenses'!F11)=Settings!$B$40),'Licenses'!I11,""))</f>
        <v/>
      </c>
      <c r="L11" s="45">
        <f>IF('Licenses'!F11="","",IF(AND(MONTH('Licenses'!F11)=9,YEAR('Licenses'!F11)=Settings!$B$40),'Licenses'!I11,""))</f>
        <v/>
      </c>
      <c r="M11" s="45">
        <f>IF('Licenses'!F11="","",IF(AND(MONTH('Licenses'!F11)=10,YEAR('Licenses'!F11)=Settings!$B$40),'Licenses'!I11,""))</f>
        <v/>
      </c>
      <c r="N11" s="45">
        <f>IF('Licenses'!F11="","",IF(AND(MONTH('Licenses'!F11)=11,YEAR('Licenses'!F11)=Settings!$B$40),'Licenses'!I11,""))</f>
        <v/>
      </c>
      <c r="O11" s="45">
        <f>IF('Licenses'!F11="","",IF(AND(MONTH('Licenses'!F11)=12,YEAR('Licenses'!F11)=Settings!$B$40),'Licenses'!I11,""))</f>
        <v/>
      </c>
    </row>
    <row r="12" ht="18" customHeight="1">
      <c r="A12" s="46">
        <f>IF('Licenses'!A12="","",'Licenses'!A12)</f>
        <v/>
      </c>
      <c r="B12" s="46">
        <f>IF('Licenses'!B12="","",'Licenses'!B12)</f>
        <v/>
      </c>
      <c r="C12" s="46">
        <f>IF('Licenses'!D12="","",'Licenses'!D12)</f>
        <v/>
      </c>
      <c r="D12" s="47">
        <f>IF('Licenses'!F12="","",IF(AND(MONTH('Licenses'!F12)=1,YEAR('Licenses'!F12)=Settings!$B$40),'Licenses'!I12,""))</f>
        <v/>
      </c>
      <c r="E12" s="47">
        <f>IF('Licenses'!F12="","",IF(AND(MONTH('Licenses'!F12)=2,YEAR('Licenses'!F12)=Settings!$B$40),'Licenses'!I12,""))</f>
        <v/>
      </c>
      <c r="F12" s="47">
        <f>IF('Licenses'!F12="","",IF(AND(MONTH('Licenses'!F12)=3,YEAR('Licenses'!F12)=Settings!$B$40),'Licenses'!I12,""))</f>
        <v/>
      </c>
      <c r="G12" s="47">
        <f>IF('Licenses'!F12="","",IF(AND(MONTH('Licenses'!F12)=4,YEAR('Licenses'!F12)=Settings!$B$40),'Licenses'!I12,""))</f>
        <v/>
      </c>
      <c r="H12" s="47">
        <f>IF('Licenses'!F12="","",IF(AND(MONTH('Licenses'!F12)=5,YEAR('Licenses'!F12)=Settings!$B$40),'Licenses'!I12,""))</f>
        <v/>
      </c>
      <c r="I12" s="47">
        <f>IF('Licenses'!F12="","",IF(AND(MONTH('Licenses'!F12)=6,YEAR('Licenses'!F12)=Settings!$B$40),'Licenses'!I12,""))</f>
        <v/>
      </c>
      <c r="J12" s="47">
        <f>IF('Licenses'!F12="","",IF(AND(MONTH('Licenses'!F12)=7,YEAR('Licenses'!F12)=Settings!$B$40),'Licenses'!I12,""))</f>
        <v/>
      </c>
      <c r="K12" s="47">
        <f>IF('Licenses'!F12="","",IF(AND(MONTH('Licenses'!F12)=8,YEAR('Licenses'!F12)=Settings!$B$40),'Licenses'!I12,""))</f>
        <v/>
      </c>
      <c r="L12" s="47">
        <f>IF('Licenses'!F12="","",IF(AND(MONTH('Licenses'!F12)=9,YEAR('Licenses'!F12)=Settings!$B$40),'Licenses'!I12,""))</f>
        <v/>
      </c>
      <c r="M12" s="47">
        <f>IF('Licenses'!F12="","",IF(AND(MONTH('Licenses'!F12)=10,YEAR('Licenses'!F12)=Settings!$B$40),'Licenses'!I12,""))</f>
        <v/>
      </c>
      <c r="N12" s="47">
        <f>IF('Licenses'!F12="","",IF(AND(MONTH('Licenses'!F12)=11,YEAR('Licenses'!F12)=Settings!$B$40),'Licenses'!I12,""))</f>
        <v/>
      </c>
      <c r="O12" s="47">
        <f>IF('Licenses'!F12="","",IF(AND(MONTH('Licenses'!F12)=12,YEAR('Licenses'!F12)=Settings!$B$40),'Licenses'!I12,""))</f>
        <v/>
      </c>
    </row>
    <row r="13" ht="18" customHeight="1">
      <c r="A13" s="44">
        <f>IF('Licenses'!A13="","",'Licenses'!A13)</f>
        <v/>
      </c>
      <c r="B13" s="44">
        <f>IF('Licenses'!B13="","",'Licenses'!B13)</f>
        <v/>
      </c>
      <c r="C13" s="44">
        <f>IF('Licenses'!D13="","",'Licenses'!D13)</f>
        <v/>
      </c>
      <c r="D13" s="45">
        <f>IF('Licenses'!F13="","",IF(AND(MONTH('Licenses'!F13)=1,YEAR('Licenses'!F13)=Settings!$B$40),'Licenses'!I13,""))</f>
        <v/>
      </c>
      <c r="E13" s="45">
        <f>IF('Licenses'!F13="","",IF(AND(MONTH('Licenses'!F13)=2,YEAR('Licenses'!F13)=Settings!$B$40),'Licenses'!I13,""))</f>
        <v/>
      </c>
      <c r="F13" s="45">
        <f>IF('Licenses'!F13="","",IF(AND(MONTH('Licenses'!F13)=3,YEAR('Licenses'!F13)=Settings!$B$40),'Licenses'!I13,""))</f>
        <v/>
      </c>
      <c r="G13" s="45">
        <f>IF('Licenses'!F13="","",IF(AND(MONTH('Licenses'!F13)=4,YEAR('Licenses'!F13)=Settings!$B$40),'Licenses'!I13,""))</f>
        <v/>
      </c>
      <c r="H13" s="45">
        <f>IF('Licenses'!F13="","",IF(AND(MONTH('Licenses'!F13)=5,YEAR('Licenses'!F13)=Settings!$B$40),'Licenses'!I13,""))</f>
        <v/>
      </c>
      <c r="I13" s="45">
        <f>IF('Licenses'!F13="","",IF(AND(MONTH('Licenses'!F13)=6,YEAR('Licenses'!F13)=Settings!$B$40),'Licenses'!I13,""))</f>
        <v/>
      </c>
      <c r="J13" s="45">
        <f>IF('Licenses'!F13="","",IF(AND(MONTH('Licenses'!F13)=7,YEAR('Licenses'!F13)=Settings!$B$40),'Licenses'!I13,""))</f>
        <v/>
      </c>
      <c r="K13" s="45">
        <f>IF('Licenses'!F13="","",IF(AND(MONTH('Licenses'!F13)=8,YEAR('Licenses'!F13)=Settings!$B$40),'Licenses'!I13,""))</f>
        <v/>
      </c>
      <c r="L13" s="45">
        <f>IF('Licenses'!F13="","",IF(AND(MONTH('Licenses'!F13)=9,YEAR('Licenses'!F13)=Settings!$B$40),'Licenses'!I13,""))</f>
        <v/>
      </c>
      <c r="M13" s="45">
        <f>IF('Licenses'!F13="","",IF(AND(MONTH('Licenses'!F13)=10,YEAR('Licenses'!F13)=Settings!$B$40),'Licenses'!I13,""))</f>
        <v/>
      </c>
      <c r="N13" s="45">
        <f>IF('Licenses'!F13="","",IF(AND(MONTH('Licenses'!F13)=11,YEAR('Licenses'!F13)=Settings!$B$40),'Licenses'!I13,""))</f>
        <v/>
      </c>
      <c r="O13" s="45">
        <f>IF('Licenses'!F13="","",IF(AND(MONTH('Licenses'!F13)=12,YEAR('Licenses'!F13)=Settings!$B$40),'Licenses'!I13,""))</f>
        <v/>
      </c>
    </row>
    <row r="14" ht="18" customHeight="1">
      <c r="A14" s="46">
        <f>IF('Licenses'!A14="","",'Licenses'!A14)</f>
        <v/>
      </c>
      <c r="B14" s="46">
        <f>IF('Licenses'!B14="","",'Licenses'!B14)</f>
        <v/>
      </c>
      <c r="C14" s="46">
        <f>IF('Licenses'!D14="","",'Licenses'!D14)</f>
        <v/>
      </c>
      <c r="D14" s="47">
        <f>IF('Licenses'!F14="","",IF(AND(MONTH('Licenses'!F14)=1,YEAR('Licenses'!F14)=Settings!$B$40),'Licenses'!I14,""))</f>
        <v/>
      </c>
      <c r="E14" s="47">
        <f>IF('Licenses'!F14="","",IF(AND(MONTH('Licenses'!F14)=2,YEAR('Licenses'!F14)=Settings!$B$40),'Licenses'!I14,""))</f>
        <v/>
      </c>
      <c r="F14" s="47">
        <f>IF('Licenses'!F14="","",IF(AND(MONTH('Licenses'!F14)=3,YEAR('Licenses'!F14)=Settings!$B$40),'Licenses'!I14,""))</f>
        <v/>
      </c>
      <c r="G14" s="47">
        <f>IF('Licenses'!F14="","",IF(AND(MONTH('Licenses'!F14)=4,YEAR('Licenses'!F14)=Settings!$B$40),'Licenses'!I14,""))</f>
        <v/>
      </c>
      <c r="H14" s="47">
        <f>IF('Licenses'!F14="","",IF(AND(MONTH('Licenses'!F14)=5,YEAR('Licenses'!F14)=Settings!$B$40),'Licenses'!I14,""))</f>
        <v/>
      </c>
      <c r="I14" s="47">
        <f>IF('Licenses'!F14="","",IF(AND(MONTH('Licenses'!F14)=6,YEAR('Licenses'!F14)=Settings!$B$40),'Licenses'!I14,""))</f>
        <v/>
      </c>
      <c r="J14" s="47">
        <f>IF('Licenses'!F14="","",IF(AND(MONTH('Licenses'!F14)=7,YEAR('Licenses'!F14)=Settings!$B$40),'Licenses'!I14,""))</f>
        <v/>
      </c>
      <c r="K14" s="47">
        <f>IF('Licenses'!F14="","",IF(AND(MONTH('Licenses'!F14)=8,YEAR('Licenses'!F14)=Settings!$B$40),'Licenses'!I14,""))</f>
        <v/>
      </c>
      <c r="L14" s="47">
        <f>IF('Licenses'!F14="","",IF(AND(MONTH('Licenses'!F14)=9,YEAR('Licenses'!F14)=Settings!$B$40),'Licenses'!I14,""))</f>
        <v/>
      </c>
      <c r="M14" s="47">
        <f>IF('Licenses'!F14="","",IF(AND(MONTH('Licenses'!F14)=10,YEAR('Licenses'!F14)=Settings!$B$40),'Licenses'!I14,""))</f>
        <v/>
      </c>
      <c r="N14" s="47">
        <f>IF('Licenses'!F14="","",IF(AND(MONTH('Licenses'!F14)=11,YEAR('Licenses'!F14)=Settings!$B$40),'Licenses'!I14,""))</f>
        <v/>
      </c>
      <c r="O14" s="47">
        <f>IF('Licenses'!F14="","",IF(AND(MONTH('Licenses'!F14)=12,YEAR('Licenses'!F14)=Settings!$B$40),'Licenses'!I14,""))</f>
        <v/>
      </c>
    </row>
    <row r="15" ht="18" customHeight="1">
      <c r="A15" s="44">
        <f>IF('Licenses'!A15="","",'Licenses'!A15)</f>
        <v/>
      </c>
      <c r="B15" s="44">
        <f>IF('Licenses'!B15="","",'Licenses'!B15)</f>
        <v/>
      </c>
      <c r="C15" s="44">
        <f>IF('Licenses'!D15="","",'Licenses'!D15)</f>
        <v/>
      </c>
      <c r="D15" s="45">
        <f>IF('Licenses'!F15="","",IF(AND(MONTH('Licenses'!F15)=1,YEAR('Licenses'!F15)=Settings!$B$40),'Licenses'!I15,""))</f>
        <v/>
      </c>
      <c r="E15" s="45">
        <f>IF('Licenses'!F15="","",IF(AND(MONTH('Licenses'!F15)=2,YEAR('Licenses'!F15)=Settings!$B$40),'Licenses'!I15,""))</f>
        <v/>
      </c>
      <c r="F15" s="45">
        <f>IF('Licenses'!F15="","",IF(AND(MONTH('Licenses'!F15)=3,YEAR('Licenses'!F15)=Settings!$B$40),'Licenses'!I15,""))</f>
        <v/>
      </c>
      <c r="G15" s="45">
        <f>IF('Licenses'!F15="","",IF(AND(MONTH('Licenses'!F15)=4,YEAR('Licenses'!F15)=Settings!$B$40),'Licenses'!I15,""))</f>
        <v/>
      </c>
      <c r="H15" s="45">
        <f>IF('Licenses'!F15="","",IF(AND(MONTH('Licenses'!F15)=5,YEAR('Licenses'!F15)=Settings!$B$40),'Licenses'!I15,""))</f>
        <v/>
      </c>
      <c r="I15" s="45">
        <f>IF('Licenses'!F15="","",IF(AND(MONTH('Licenses'!F15)=6,YEAR('Licenses'!F15)=Settings!$B$40),'Licenses'!I15,""))</f>
        <v/>
      </c>
      <c r="J15" s="45">
        <f>IF('Licenses'!F15="","",IF(AND(MONTH('Licenses'!F15)=7,YEAR('Licenses'!F15)=Settings!$B$40),'Licenses'!I15,""))</f>
        <v/>
      </c>
      <c r="K15" s="45">
        <f>IF('Licenses'!F15="","",IF(AND(MONTH('Licenses'!F15)=8,YEAR('Licenses'!F15)=Settings!$B$40),'Licenses'!I15,""))</f>
        <v/>
      </c>
      <c r="L15" s="45">
        <f>IF('Licenses'!F15="","",IF(AND(MONTH('Licenses'!F15)=9,YEAR('Licenses'!F15)=Settings!$B$40),'Licenses'!I15,""))</f>
        <v/>
      </c>
      <c r="M15" s="45">
        <f>IF('Licenses'!F15="","",IF(AND(MONTH('Licenses'!F15)=10,YEAR('Licenses'!F15)=Settings!$B$40),'Licenses'!I15,""))</f>
        <v/>
      </c>
      <c r="N15" s="45">
        <f>IF('Licenses'!F15="","",IF(AND(MONTH('Licenses'!F15)=11,YEAR('Licenses'!F15)=Settings!$B$40),'Licenses'!I15,""))</f>
        <v/>
      </c>
      <c r="O15" s="45">
        <f>IF('Licenses'!F15="","",IF(AND(MONTH('Licenses'!F15)=12,YEAR('Licenses'!F15)=Settings!$B$40),'Licenses'!I15,""))</f>
        <v/>
      </c>
    </row>
    <row r="16" ht="18" customHeight="1">
      <c r="A16" s="46">
        <f>IF('Licenses'!A16="","",'Licenses'!A16)</f>
        <v/>
      </c>
      <c r="B16" s="46">
        <f>IF('Licenses'!B16="","",'Licenses'!B16)</f>
        <v/>
      </c>
      <c r="C16" s="46">
        <f>IF('Licenses'!D16="","",'Licenses'!D16)</f>
        <v/>
      </c>
      <c r="D16" s="47">
        <f>IF('Licenses'!F16="","",IF(AND(MONTH('Licenses'!F16)=1,YEAR('Licenses'!F16)=Settings!$B$40),'Licenses'!I16,""))</f>
        <v/>
      </c>
      <c r="E16" s="47">
        <f>IF('Licenses'!F16="","",IF(AND(MONTH('Licenses'!F16)=2,YEAR('Licenses'!F16)=Settings!$B$40),'Licenses'!I16,""))</f>
        <v/>
      </c>
      <c r="F16" s="47">
        <f>IF('Licenses'!F16="","",IF(AND(MONTH('Licenses'!F16)=3,YEAR('Licenses'!F16)=Settings!$B$40),'Licenses'!I16,""))</f>
        <v/>
      </c>
      <c r="G16" s="47">
        <f>IF('Licenses'!F16="","",IF(AND(MONTH('Licenses'!F16)=4,YEAR('Licenses'!F16)=Settings!$B$40),'Licenses'!I16,""))</f>
        <v/>
      </c>
      <c r="H16" s="47">
        <f>IF('Licenses'!F16="","",IF(AND(MONTH('Licenses'!F16)=5,YEAR('Licenses'!F16)=Settings!$B$40),'Licenses'!I16,""))</f>
        <v/>
      </c>
      <c r="I16" s="47">
        <f>IF('Licenses'!F16="","",IF(AND(MONTH('Licenses'!F16)=6,YEAR('Licenses'!F16)=Settings!$B$40),'Licenses'!I16,""))</f>
        <v/>
      </c>
      <c r="J16" s="47">
        <f>IF('Licenses'!F16="","",IF(AND(MONTH('Licenses'!F16)=7,YEAR('Licenses'!F16)=Settings!$B$40),'Licenses'!I16,""))</f>
        <v/>
      </c>
      <c r="K16" s="47">
        <f>IF('Licenses'!F16="","",IF(AND(MONTH('Licenses'!F16)=8,YEAR('Licenses'!F16)=Settings!$B$40),'Licenses'!I16,""))</f>
        <v/>
      </c>
      <c r="L16" s="47">
        <f>IF('Licenses'!F16="","",IF(AND(MONTH('Licenses'!F16)=9,YEAR('Licenses'!F16)=Settings!$B$40),'Licenses'!I16,""))</f>
        <v/>
      </c>
      <c r="M16" s="47">
        <f>IF('Licenses'!F16="","",IF(AND(MONTH('Licenses'!F16)=10,YEAR('Licenses'!F16)=Settings!$B$40),'Licenses'!I16,""))</f>
        <v/>
      </c>
      <c r="N16" s="47">
        <f>IF('Licenses'!F16="","",IF(AND(MONTH('Licenses'!F16)=11,YEAR('Licenses'!F16)=Settings!$B$40),'Licenses'!I16,""))</f>
        <v/>
      </c>
      <c r="O16" s="47">
        <f>IF('Licenses'!F16="","",IF(AND(MONTH('Licenses'!F16)=12,YEAR('Licenses'!F16)=Settings!$B$40),'Licenses'!I16,""))</f>
        <v/>
      </c>
    </row>
    <row r="17" ht="18" customHeight="1">
      <c r="A17" s="44">
        <f>IF('Licenses'!A17="","",'Licenses'!A17)</f>
        <v/>
      </c>
      <c r="B17" s="44">
        <f>IF('Licenses'!B17="","",'Licenses'!B17)</f>
        <v/>
      </c>
      <c r="C17" s="44">
        <f>IF('Licenses'!D17="","",'Licenses'!D17)</f>
        <v/>
      </c>
      <c r="D17" s="45">
        <f>IF('Licenses'!F17="","",IF(AND(MONTH('Licenses'!F17)=1,YEAR('Licenses'!F17)=Settings!$B$40),'Licenses'!I17,""))</f>
        <v/>
      </c>
      <c r="E17" s="45">
        <f>IF('Licenses'!F17="","",IF(AND(MONTH('Licenses'!F17)=2,YEAR('Licenses'!F17)=Settings!$B$40),'Licenses'!I17,""))</f>
        <v/>
      </c>
      <c r="F17" s="45">
        <f>IF('Licenses'!F17="","",IF(AND(MONTH('Licenses'!F17)=3,YEAR('Licenses'!F17)=Settings!$B$40),'Licenses'!I17,""))</f>
        <v/>
      </c>
      <c r="G17" s="45">
        <f>IF('Licenses'!F17="","",IF(AND(MONTH('Licenses'!F17)=4,YEAR('Licenses'!F17)=Settings!$B$40),'Licenses'!I17,""))</f>
        <v/>
      </c>
      <c r="H17" s="45">
        <f>IF('Licenses'!F17="","",IF(AND(MONTH('Licenses'!F17)=5,YEAR('Licenses'!F17)=Settings!$B$40),'Licenses'!I17,""))</f>
        <v/>
      </c>
      <c r="I17" s="45">
        <f>IF('Licenses'!F17="","",IF(AND(MONTH('Licenses'!F17)=6,YEAR('Licenses'!F17)=Settings!$B$40),'Licenses'!I17,""))</f>
        <v/>
      </c>
      <c r="J17" s="45">
        <f>IF('Licenses'!F17="","",IF(AND(MONTH('Licenses'!F17)=7,YEAR('Licenses'!F17)=Settings!$B$40),'Licenses'!I17,""))</f>
        <v/>
      </c>
      <c r="K17" s="45">
        <f>IF('Licenses'!F17="","",IF(AND(MONTH('Licenses'!F17)=8,YEAR('Licenses'!F17)=Settings!$B$40),'Licenses'!I17,""))</f>
        <v/>
      </c>
      <c r="L17" s="45">
        <f>IF('Licenses'!F17="","",IF(AND(MONTH('Licenses'!F17)=9,YEAR('Licenses'!F17)=Settings!$B$40),'Licenses'!I17,""))</f>
        <v/>
      </c>
      <c r="M17" s="45">
        <f>IF('Licenses'!F17="","",IF(AND(MONTH('Licenses'!F17)=10,YEAR('Licenses'!F17)=Settings!$B$40),'Licenses'!I17,""))</f>
        <v/>
      </c>
      <c r="N17" s="45">
        <f>IF('Licenses'!F17="","",IF(AND(MONTH('Licenses'!F17)=11,YEAR('Licenses'!F17)=Settings!$B$40),'Licenses'!I17,""))</f>
        <v/>
      </c>
      <c r="O17" s="45">
        <f>IF('Licenses'!F17="","",IF(AND(MONTH('Licenses'!F17)=12,YEAR('Licenses'!F17)=Settings!$B$40),'Licenses'!I17,""))</f>
        <v/>
      </c>
    </row>
    <row r="18" ht="18" customHeight="1">
      <c r="A18" s="46">
        <f>IF('Licenses'!A18="","",'Licenses'!A18)</f>
        <v/>
      </c>
      <c r="B18" s="46">
        <f>IF('Licenses'!B18="","",'Licenses'!B18)</f>
        <v/>
      </c>
      <c r="C18" s="46">
        <f>IF('Licenses'!D18="","",'Licenses'!D18)</f>
        <v/>
      </c>
      <c r="D18" s="47">
        <f>IF('Licenses'!F18="","",IF(AND(MONTH('Licenses'!F18)=1,YEAR('Licenses'!F18)=Settings!$B$40),'Licenses'!I18,""))</f>
        <v/>
      </c>
      <c r="E18" s="47">
        <f>IF('Licenses'!F18="","",IF(AND(MONTH('Licenses'!F18)=2,YEAR('Licenses'!F18)=Settings!$B$40),'Licenses'!I18,""))</f>
        <v/>
      </c>
      <c r="F18" s="47">
        <f>IF('Licenses'!F18="","",IF(AND(MONTH('Licenses'!F18)=3,YEAR('Licenses'!F18)=Settings!$B$40),'Licenses'!I18,""))</f>
        <v/>
      </c>
      <c r="G18" s="47">
        <f>IF('Licenses'!F18="","",IF(AND(MONTH('Licenses'!F18)=4,YEAR('Licenses'!F18)=Settings!$B$40),'Licenses'!I18,""))</f>
        <v/>
      </c>
      <c r="H18" s="47">
        <f>IF('Licenses'!F18="","",IF(AND(MONTH('Licenses'!F18)=5,YEAR('Licenses'!F18)=Settings!$B$40),'Licenses'!I18,""))</f>
        <v/>
      </c>
      <c r="I18" s="47">
        <f>IF('Licenses'!F18="","",IF(AND(MONTH('Licenses'!F18)=6,YEAR('Licenses'!F18)=Settings!$B$40),'Licenses'!I18,""))</f>
        <v/>
      </c>
      <c r="J18" s="47">
        <f>IF('Licenses'!F18="","",IF(AND(MONTH('Licenses'!F18)=7,YEAR('Licenses'!F18)=Settings!$B$40),'Licenses'!I18,""))</f>
        <v/>
      </c>
      <c r="K18" s="47">
        <f>IF('Licenses'!F18="","",IF(AND(MONTH('Licenses'!F18)=8,YEAR('Licenses'!F18)=Settings!$B$40),'Licenses'!I18,""))</f>
        <v/>
      </c>
      <c r="L18" s="47">
        <f>IF('Licenses'!F18="","",IF(AND(MONTH('Licenses'!F18)=9,YEAR('Licenses'!F18)=Settings!$B$40),'Licenses'!I18,""))</f>
        <v/>
      </c>
      <c r="M18" s="47">
        <f>IF('Licenses'!F18="","",IF(AND(MONTH('Licenses'!F18)=10,YEAR('Licenses'!F18)=Settings!$B$40),'Licenses'!I18,""))</f>
        <v/>
      </c>
      <c r="N18" s="47">
        <f>IF('Licenses'!F18="","",IF(AND(MONTH('Licenses'!F18)=11,YEAR('Licenses'!F18)=Settings!$B$40),'Licenses'!I18,""))</f>
        <v/>
      </c>
      <c r="O18" s="47">
        <f>IF('Licenses'!F18="","",IF(AND(MONTH('Licenses'!F18)=12,YEAR('Licenses'!F18)=Settings!$B$40),'Licenses'!I18,""))</f>
        <v/>
      </c>
    </row>
    <row r="19" ht="18" customHeight="1">
      <c r="A19" s="44">
        <f>IF('Licenses'!A19="","",'Licenses'!A19)</f>
        <v/>
      </c>
      <c r="B19" s="44">
        <f>IF('Licenses'!B19="","",'Licenses'!B19)</f>
        <v/>
      </c>
      <c r="C19" s="44">
        <f>IF('Licenses'!D19="","",'Licenses'!D19)</f>
        <v/>
      </c>
      <c r="D19" s="45">
        <f>IF('Licenses'!F19="","",IF(AND(MONTH('Licenses'!F19)=1,YEAR('Licenses'!F19)=Settings!$B$40),'Licenses'!I19,""))</f>
        <v/>
      </c>
      <c r="E19" s="45">
        <f>IF('Licenses'!F19="","",IF(AND(MONTH('Licenses'!F19)=2,YEAR('Licenses'!F19)=Settings!$B$40),'Licenses'!I19,""))</f>
        <v/>
      </c>
      <c r="F19" s="45">
        <f>IF('Licenses'!F19="","",IF(AND(MONTH('Licenses'!F19)=3,YEAR('Licenses'!F19)=Settings!$B$40),'Licenses'!I19,""))</f>
        <v/>
      </c>
      <c r="G19" s="45">
        <f>IF('Licenses'!F19="","",IF(AND(MONTH('Licenses'!F19)=4,YEAR('Licenses'!F19)=Settings!$B$40),'Licenses'!I19,""))</f>
        <v/>
      </c>
      <c r="H19" s="45">
        <f>IF('Licenses'!F19="","",IF(AND(MONTH('Licenses'!F19)=5,YEAR('Licenses'!F19)=Settings!$B$40),'Licenses'!I19,""))</f>
        <v/>
      </c>
      <c r="I19" s="45">
        <f>IF('Licenses'!F19="","",IF(AND(MONTH('Licenses'!F19)=6,YEAR('Licenses'!F19)=Settings!$B$40),'Licenses'!I19,""))</f>
        <v/>
      </c>
      <c r="J19" s="45">
        <f>IF('Licenses'!F19="","",IF(AND(MONTH('Licenses'!F19)=7,YEAR('Licenses'!F19)=Settings!$B$40),'Licenses'!I19,""))</f>
        <v/>
      </c>
      <c r="K19" s="45">
        <f>IF('Licenses'!F19="","",IF(AND(MONTH('Licenses'!F19)=8,YEAR('Licenses'!F19)=Settings!$B$40),'Licenses'!I19,""))</f>
        <v/>
      </c>
      <c r="L19" s="45">
        <f>IF('Licenses'!F19="","",IF(AND(MONTH('Licenses'!F19)=9,YEAR('Licenses'!F19)=Settings!$B$40),'Licenses'!I19,""))</f>
        <v/>
      </c>
      <c r="M19" s="45">
        <f>IF('Licenses'!F19="","",IF(AND(MONTH('Licenses'!F19)=10,YEAR('Licenses'!F19)=Settings!$B$40),'Licenses'!I19,""))</f>
        <v/>
      </c>
      <c r="N19" s="45">
        <f>IF('Licenses'!F19="","",IF(AND(MONTH('Licenses'!F19)=11,YEAR('Licenses'!F19)=Settings!$B$40),'Licenses'!I19,""))</f>
        <v/>
      </c>
      <c r="O19" s="45">
        <f>IF('Licenses'!F19="","",IF(AND(MONTH('Licenses'!F19)=12,YEAR('Licenses'!F19)=Settings!$B$40),'Licenses'!I19,""))</f>
        <v/>
      </c>
    </row>
    <row r="20" ht="18" customHeight="1">
      <c r="A20" s="46">
        <f>IF('Licenses'!A20="","",'Licenses'!A20)</f>
        <v/>
      </c>
      <c r="B20" s="46">
        <f>IF('Licenses'!B20="","",'Licenses'!B20)</f>
        <v/>
      </c>
      <c r="C20" s="46">
        <f>IF('Licenses'!D20="","",'Licenses'!D20)</f>
        <v/>
      </c>
      <c r="D20" s="47">
        <f>IF('Licenses'!F20="","",IF(AND(MONTH('Licenses'!F20)=1,YEAR('Licenses'!F20)=Settings!$B$40),'Licenses'!I20,""))</f>
        <v/>
      </c>
      <c r="E20" s="47">
        <f>IF('Licenses'!F20="","",IF(AND(MONTH('Licenses'!F20)=2,YEAR('Licenses'!F20)=Settings!$B$40),'Licenses'!I20,""))</f>
        <v/>
      </c>
      <c r="F20" s="47">
        <f>IF('Licenses'!F20="","",IF(AND(MONTH('Licenses'!F20)=3,YEAR('Licenses'!F20)=Settings!$B$40),'Licenses'!I20,""))</f>
        <v/>
      </c>
      <c r="G20" s="47">
        <f>IF('Licenses'!F20="","",IF(AND(MONTH('Licenses'!F20)=4,YEAR('Licenses'!F20)=Settings!$B$40),'Licenses'!I20,""))</f>
        <v/>
      </c>
      <c r="H20" s="47">
        <f>IF('Licenses'!F20="","",IF(AND(MONTH('Licenses'!F20)=5,YEAR('Licenses'!F20)=Settings!$B$40),'Licenses'!I20,""))</f>
        <v/>
      </c>
      <c r="I20" s="47">
        <f>IF('Licenses'!F20="","",IF(AND(MONTH('Licenses'!F20)=6,YEAR('Licenses'!F20)=Settings!$B$40),'Licenses'!I20,""))</f>
        <v/>
      </c>
      <c r="J20" s="47">
        <f>IF('Licenses'!F20="","",IF(AND(MONTH('Licenses'!F20)=7,YEAR('Licenses'!F20)=Settings!$B$40),'Licenses'!I20,""))</f>
        <v/>
      </c>
      <c r="K20" s="47">
        <f>IF('Licenses'!F20="","",IF(AND(MONTH('Licenses'!F20)=8,YEAR('Licenses'!F20)=Settings!$B$40),'Licenses'!I20,""))</f>
        <v/>
      </c>
      <c r="L20" s="47">
        <f>IF('Licenses'!F20="","",IF(AND(MONTH('Licenses'!F20)=9,YEAR('Licenses'!F20)=Settings!$B$40),'Licenses'!I20,""))</f>
        <v/>
      </c>
      <c r="M20" s="47">
        <f>IF('Licenses'!F20="","",IF(AND(MONTH('Licenses'!F20)=10,YEAR('Licenses'!F20)=Settings!$B$40),'Licenses'!I20,""))</f>
        <v/>
      </c>
      <c r="N20" s="47">
        <f>IF('Licenses'!F20="","",IF(AND(MONTH('Licenses'!F20)=11,YEAR('Licenses'!F20)=Settings!$B$40),'Licenses'!I20,""))</f>
        <v/>
      </c>
      <c r="O20" s="47">
        <f>IF('Licenses'!F20="","",IF(AND(MONTH('Licenses'!F20)=12,YEAR('Licenses'!F20)=Settings!$B$40),'Licenses'!I20,""))</f>
        <v/>
      </c>
    </row>
    <row r="21" ht="18" customHeight="1">
      <c r="A21" s="44">
        <f>IF('Licenses'!A21="","",'Licenses'!A21)</f>
        <v/>
      </c>
      <c r="B21" s="44">
        <f>IF('Licenses'!B21="","",'Licenses'!B21)</f>
        <v/>
      </c>
      <c r="C21" s="44">
        <f>IF('Licenses'!D21="","",'Licenses'!D21)</f>
        <v/>
      </c>
      <c r="D21" s="45">
        <f>IF('Licenses'!F21="","",IF(AND(MONTH('Licenses'!F21)=1,YEAR('Licenses'!F21)=Settings!$B$40),'Licenses'!I21,""))</f>
        <v/>
      </c>
      <c r="E21" s="45">
        <f>IF('Licenses'!F21="","",IF(AND(MONTH('Licenses'!F21)=2,YEAR('Licenses'!F21)=Settings!$B$40),'Licenses'!I21,""))</f>
        <v/>
      </c>
      <c r="F21" s="45">
        <f>IF('Licenses'!F21="","",IF(AND(MONTH('Licenses'!F21)=3,YEAR('Licenses'!F21)=Settings!$B$40),'Licenses'!I21,""))</f>
        <v/>
      </c>
      <c r="G21" s="45">
        <f>IF('Licenses'!F21="","",IF(AND(MONTH('Licenses'!F21)=4,YEAR('Licenses'!F21)=Settings!$B$40),'Licenses'!I21,""))</f>
        <v/>
      </c>
      <c r="H21" s="45">
        <f>IF('Licenses'!F21="","",IF(AND(MONTH('Licenses'!F21)=5,YEAR('Licenses'!F21)=Settings!$B$40),'Licenses'!I21,""))</f>
        <v/>
      </c>
      <c r="I21" s="45">
        <f>IF('Licenses'!F21="","",IF(AND(MONTH('Licenses'!F21)=6,YEAR('Licenses'!F21)=Settings!$B$40),'Licenses'!I21,""))</f>
        <v/>
      </c>
      <c r="J21" s="45">
        <f>IF('Licenses'!F21="","",IF(AND(MONTH('Licenses'!F21)=7,YEAR('Licenses'!F21)=Settings!$B$40),'Licenses'!I21,""))</f>
        <v/>
      </c>
      <c r="K21" s="45">
        <f>IF('Licenses'!F21="","",IF(AND(MONTH('Licenses'!F21)=8,YEAR('Licenses'!F21)=Settings!$B$40),'Licenses'!I21,""))</f>
        <v/>
      </c>
      <c r="L21" s="45">
        <f>IF('Licenses'!F21="","",IF(AND(MONTH('Licenses'!F21)=9,YEAR('Licenses'!F21)=Settings!$B$40),'Licenses'!I21,""))</f>
        <v/>
      </c>
      <c r="M21" s="45">
        <f>IF('Licenses'!F21="","",IF(AND(MONTH('Licenses'!F21)=10,YEAR('Licenses'!F21)=Settings!$B$40),'Licenses'!I21,""))</f>
        <v/>
      </c>
      <c r="N21" s="45">
        <f>IF('Licenses'!F21="","",IF(AND(MONTH('Licenses'!F21)=11,YEAR('Licenses'!F21)=Settings!$B$40),'Licenses'!I21,""))</f>
        <v/>
      </c>
      <c r="O21" s="45">
        <f>IF('Licenses'!F21="","",IF(AND(MONTH('Licenses'!F21)=12,YEAR('Licenses'!F21)=Settings!$B$40),'Licenses'!I21,""))</f>
        <v/>
      </c>
    </row>
    <row r="22" ht="18" customHeight="1">
      <c r="A22" s="46">
        <f>IF('Licenses'!A22="","",'Licenses'!A22)</f>
        <v/>
      </c>
      <c r="B22" s="46">
        <f>IF('Licenses'!B22="","",'Licenses'!B22)</f>
        <v/>
      </c>
      <c r="C22" s="46">
        <f>IF('Licenses'!D22="","",'Licenses'!D22)</f>
        <v/>
      </c>
      <c r="D22" s="47">
        <f>IF('Licenses'!F22="","",IF(AND(MONTH('Licenses'!F22)=1,YEAR('Licenses'!F22)=Settings!$B$40),'Licenses'!I22,""))</f>
        <v/>
      </c>
      <c r="E22" s="47">
        <f>IF('Licenses'!F22="","",IF(AND(MONTH('Licenses'!F22)=2,YEAR('Licenses'!F22)=Settings!$B$40),'Licenses'!I22,""))</f>
        <v/>
      </c>
      <c r="F22" s="47">
        <f>IF('Licenses'!F22="","",IF(AND(MONTH('Licenses'!F22)=3,YEAR('Licenses'!F22)=Settings!$B$40),'Licenses'!I22,""))</f>
        <v/>
      </c>
      <c r="G22" s="47">
        <f>IF('Licenses'!F22="","",IF(AND(MONTH('Licenses'!F22)=4,YEAR('Licenses'!F22)=Settings!$B$40),'Licenses'!I22,""))</f>
        <v/>
      </c>
      <c r="H22" s="47">
        <f>IF('Licenses'!F22="","",IF(AND(MONTH('Licenses'!F22)=5,YEAR('Licenses'!F22)=Settings!$B$40),'Licenses'!I22,""))</f>
        <v/>
      </c>
      <c r="I22" s="47">
        <f>IF('Licenses'!F22="","",IF(AND(MONTH('Licenses'!F22)=6,YEAR('Licenses'!F22)=Settings!$B$40),'Licenses'!I22,""))</f>
        <v/>
      </c>
      <c r="J22" s="47">
        <f>IF('Licenses'!F22="","",IF(AND(MONTH('Licenses'!F22)=7,YEAR('Licenses'!F22)=Settings!$B$40),'Licenses'!I22,""))</f>
        <v/>
      </c>
      <c r="K22" s="47">
        <f>IF('Licenses'!F22="","",IF(AND(MONTH('Licenses'!F22)=8,YEAR('Licenses'!F22)=Settings!$B$40),'Licenses'!I22,""))</f>
        <v/>
      </c>
      <c r="L22" s="47">
        <f>IF('Licenses'!F22="","",IF(AND(MONTH('Licenses'!F22)=9,YEAR('Licenses'!F22)=Settings!$B$40),'Licenses'!I22,""))</f>
        <v/>
      </c>
      <c r="M22" s="47">
        <f>IF('Licenses'!F22="","",IF(AND(MONTH('Licenses'!F22)=10,YEAR('Licenses'!F22)=Settings!$B$40),'Licenses'!I22,""))</f>
        <v/>
      </c>
      <c r="N22" s="47">
        <f>IF('Licenses'!F22="","",IF(AND(MONTH('Licenses'!F22)=11,YEAR('Licenses'!F22)=Settings!$B$40),'Licenses'!I22,""))</f>
        <v/>
      </c>
      <c r="O22" s="47">
        <f>IF('Licenses'!F22="","",IF(AND(MONTH('Licenses'!F22)=12,YEAR('Licenses'!F22)=Settings!$B$40),'Licenses'!I22,""))</f>
        <v/>
      </c>
    </row>
    <row r="23" ht="18" customHeight="1">
      <c r="A23" s="44">
        <f>IF('Licenses'!A23="","",'Licenses'!A23)</f>
        <v/>
      </c>
      <c r="B23" s="44">
        <f>IF('Licenses'!B23="","",'Licenses'!B23)</f>
        <v/>
      </c>
      <c r="C23" s="44">
        <f>IF('Licenses'!D23="","",'Licenses'!D23)</f>
        <v/>
      </c>
      <c r="D23" s="45">
        <f>IF('Licenses'!F23="","",IF(AND(MONTH('Licenses'!F23)=1,YEAR('Licenses'!F23)=Settings!$B$40),'Licenses'!I23,""))</f>
        <v/>
      </c>
      <c r="E23" s="45">
        <f>IF('Licenses'!F23="","",IF(AND(MONTH('Licenses'!F23)=2,YEAR('Licenses'!F23)=Settings!$B$40),'Licenses'!I23,""))</f>
        <v/>
      </c>
      <c r="F23" s="45">
        <f>IF('Licenses'!F23="","",IF(AND(MONTH('Licenses'!F23)=3,YEAR('Licenses'!F23)=Settings!$B$40),'Licenses'!I23,""))</f>
        <v/>
      </c>
      <c r="G23" s="45">
        <f>IF('Licenses'!F23="","",IF(AND(MONTH('Licenses'!F23)=4,YEAR('Licenses'!F23)=Settings!$B$40),'Licenses'!I23,""))</f>
        <v/>
      </c>
      <c r="H23" s="45">
        <f>IF('Licenses'!F23="","",IF(AND(MONTH('Licenses'!F23)=5,YEAR('Licenses'!F23)=Settings!$B$40),'Licenses'!I23,""))</f>
        <v/>
      </c>
      <c r="I23" s="45">
        <f>IF('Licenses'!F23="","",IF(AND(MONTH('Licenses'!F23)=6,YEAR('Licenses'!F23)=Settings!$B$40),'Licenses'!I23,""))</f>
        <v/>
      </c>
      <c r="J23" s="45">
        <f>IF('Licenses'!F23="","",IF(AND(MONTH('Licenses'!F23)=7,YEAR('Licenses'!F23)=Settings!$B$40),'Licenses'!I23,""))</f>
        <v/>
      </c>
      <c r="K23" s="45">
        <f>IF('Licenses'!F23="","",IF(AND(MONTH('Licenses'!F23)=8,YEAR('Licenses'!F23)=Settings!$B$40),'Licenses'!I23,""))</f>
        <v/>
      </c>
      <c r="L23" s="45">
        <f>IF('Licenses'!F23="","",IF(AND(MONTH('Licenses'!F23)=9,YEAR('Licenses'!F23)=Settings!$B$40),'Licenses'!I23,""))</f>
        <v/>
      </c>
      <c r="M23" s="45">
        <f>IF('Licenses'!F23="","",IF(AND(MONTH('Licenses'!F23)=10,YEAR('Licenses'!F23)=Settings!$B$40),'Licenses'!I23,""))</f>
        <v/>
      </c>
      <c r="N23" s="45">
        <f>IF('Licenses'!F23="","",IF(AND(MONTH('Licenses'!F23)=11,YEAR('Licenses'!F23)=Settings!$B$40),'Licenses'!I23,""))</f>
        <v/>
      </c>
      <c r="O23" s="45">
        <f>IF('Licenses'!F23="","",IF(AND(MONTH('Licenses'!F23)=12,YEAR('Licenses'!F23)=Settings!$B$40),'Licenses'!I23,""))</f>
        <v/>
      </c>
    </row>
    <row r="24" ht="18" customHeight="1">
      <c r="A24" s="46">
        <f>IF('Licenses'!A24="","",'Licenses'!A24)</f>
        <v/>
      </c>
      <c r="B24" s="46">
        <f>IF('Licenses'!B24="","",'Licenses'!B24)</f>
        <v/>
      </c>
      <c r="C24" s="46">
        <f>IF('Licenses'!D24="","",'Licenses'!D24)</f>
        <v/>
      </c>
      <c r="D24" s="47">
        <f>IF('Licenses'!F24="","",IF(AND(MONTH('Licenses'!F24)=1,YEAR('Licenses'!F24)=Settings!$B$40),'Licenses'!I24,""))</f>
        <v/>
      </c>
      <c r="E24" s="47">
        <f>IF('Licenses'!F24="","",IF(AND(MONTH('Licenses'!F24)=2,YEAR('Licenses'!F24)=Settings!$B$40),'Licenses'!I24,""))</f>
        <v/>
      </c>
      <c r="F24" s="47">
        <f>IF('Licenses'!F24="","",IF(AND(MONTH('Licenses'!F24)=3,YEAR('Licenses'!F24)=Settings!$B$40),'Licenses'!I24,""))</f>
        <v/>
      </c>
      <c r="G24" s="47">
        <f>IF('Licenses'!F24="","",IF(AND(MONTH('Licenses'!F24)=4,YEAR('Licenses'!F24)=Settings!$B$40),'Licenses'!I24,""))</f>
        <v/>
      </c>
      <c r="H24" s="47">
        <f>IF('Licenses'!F24="","",IF(AND(MONTH('Licenses'!F24)=5,YEAR('Licenses'!F24)=Settings!$B$40),'Licenses'!I24,""))</f>
        <v/>
      </c>
      <c r="I24" s="47">
        <f>IF('Licenses'!F24="","",IF(AND(MONTH('Licenses'!F24)=6,YEAR('Licenses'!F24)=Settings!$B$40),'Licenses'!I24,""))</f>
        <v/>
      </c>
      <c r="J24" s="47">
        <f>IF('Licenses'!F24="","",IF(AND(MONTH('Licenses'!F24)=7,YEAR('Licenses'!F24)=Settings!$B$40),'Licenses'!I24,""))</f>
        <v/>
      </c>
      <c r="K24" s="47">
        <f>IF('Licenses'!F24="","",IF(AND(MONTH('Licenses'!F24)=8,YEAR('Licenses'!F24)=Settings!$B$40),'Licenses'!I24,""))</f>
        <v/>
      </c>
      <c r="L24" s="47">
        <f>IF('Licenses'!F24="","",IF(AND(MONTH('Licenses'!F24)=9,YEAR('Licenses'!F24)=Settings!$B$40),'Licenses'!I24,""))</f>
        <v/>
      </c>
      <c r="M24" s="47">
        <f>IF('Licenses'!F24="","",IF(AND(MONTH('Licenses'!F24)=10,YEAR('Licenses'!F24)=Settings!$B$40),'Licenses'!I24,""))</f>
        <v/>
      </c>
      <c r="N24" s="47">
        <f>IF('Licenses'!F24="","",IF(AND(MONTH('Licenses'!F24)=11,YEAR('Licenses'!F24)=Settings!$B$40),'Licenses'!I24,""))</f>
        <v/>
      </c>
      <c r="O24" s="47">
        <f>IF('Licenses'!F24="","",IF(AND(MONTH('Licenses'!F24)=12,YEAR('Licenses'!F24)=Settings!$B$40),'Licenses'!I24,""))</f>
        <v/>
      </c>
    </row>
    <row r="25" ht="18" customHeight="1">
      <c r="A25" s="44">
        <f>IF('Licenses'!A25="","",'Licenses'!A25)</f>
        <v/>
      </c>
      <c r="B25" s="44">
        <f>IF('Licenses'!B25="","",'Licenses'!B25)</f>
        <v/>
      </c>
      <c r="C25" s="44">
        <f>IF('Licenses'!D25="","",'Licenses'!D25)</f>
        <v/>
      </c>
      <c r="D25" s="45">
        <f>IF('Licenses'!F25="","",IF(AND(MONTH('Licenses'!F25)=1,YEAR('Licenses'!F25)=Settings!$B$40),'Licenses'!I25,""))</f>
        <v/>
      </c>
      <c r="E25" s="45">
        <f>IF('Licenses'!F25="","",IF(AND(MONTH('Licenses'!F25)=2,YEAR('Licenses'!F25)=Settings!$B$40),'Licenses'!I25,""))</f>
        <v/>
      </c>
      <c r="F25" s="45">
        <f>IF('Licenses'!F25="","",IF(AND(MONTH('Licenses'!F25)=3,YEAR('Licenses'!F25)=Settings!$B$40),'Licenses'!I25,""))</f>
        <v/>
      </c>
      <c r="G25" s="45">
        <f>IF('Licenses'!F25="","",IF(AND(MONTH('Licenses'!F25)=4,YEAR('Licenses'!F25)=Settings!$B$40),'Licenses'!I25,""))</f>
        <v/>
      </c>
      <c r="H25" s="45">
        <f>IF('Licenses'!F25="","",IF(AND(MONTH('Licenses'!F25)=5,YEAR('Licenses'!F25)=Settings!$B$40),'Licenses'!I25,""))</f>
        <v/>
      </c>
      <c r="I25" s="45">
        <f>IF('Licenses'!F25="","",IF(AND(MONTH('Licenses'!F25)=6,YEAR('Licenses'!F25)=Settings!$B$40),'Licenses'!I25,""))</f>
        <v/>
      </c>
      <c r="J25" s="45">
        <f>IF('Licenses'!F25="","",IF(AND(MONTH('Licenses'!F25)=7,YEAR('Licenses'!F25)=Settings!$B$40),'Licenses'!I25,""))</f>
        <v/>
      </c>
      <c r="K25" s="45">
        <f>IF('Licenses'!F25="","",IF(AND(MONTH('Licenses'!F25)=8,YEAR('Licenses'!F25)=Settings!$B$40),'Licenses'!I25,""))</f>
        <v/>
      </c>
      <c r="L25" s="45">
        <f>IF('Licenses'!F25="","",IF(AND(MONTH('Licenses'!F25)=9,YEAR('Licenses'!F25)=Settings!$B$40),'Licenses'!I25,""))</f>
        <v/>
      </c>
      <c r="M25" s="45">
        <f>IF('Licenses'!F25="","",IF(AND(MONTH('Licenses'!F25)=10,YEAR('Licenses'!F25)=Settings!$B$40),'Licenses'!I25,""))</f>
        <v/>
      </c>
      <c r="N25" s="45">
        <f>IF('Licenses'!F25="","",IF(AND(MONTH('Licenses'!F25)=11,YEAR('Licenses'!F25)=Settings!$B$40),'Licenses'!I25,""))</f>
        <v/>
      </c>
      <c r="O25" s="45">
        <f>IF('Licenses'!F25="","",IF(AND(MONTH('Licenses'!F25)=12,YEAR('Licenses'!F25)=Settings!$B$40),'Licenses'!I25,""))</f>
        <v/>
      </c>
    </row>
    <row r="26" ht="18" customHeight="1">
      <c r="A26" s="46">
        <f>IF('Licenses'!A26="","",'Licenses'!A26)</f>
        <v/>
      </c>
      <c r="B26" s="46">
        <f>IF('Licenses'!B26="","",'Licenses'!B26)</f>
        <v/>
      </c>
      <c r="C26" s="46">
        <f>IF('Licenses'!D26="","",'Licenses'!D26)</f>
        <v/>
      </c>
      <c r="D26" s="47">
        <f>IF('Licenses'!F26="","",IF(AND(MONTH('Licenses'!F26)=1,YEAR('Licenses'!F26)=Settings!$B$40),'Licenses'!I26,""))</f>
        <v/>
      </c>
      <c r="E26" s="47">
        <f>IF('Licenses'!F26="","",IF(AND(MONTH('Licenses'!F26)=2,YEAR('Licenses'!F26)=Settings!$B$40),'Licenses'!I26,""))</f>
        <v/>
      </c>
      <c r="F26" s="47">
        <f>IF('Licenses'!F26="","",IF(AND(MONTH('Licenses'!F26)=3,YEAR('Licenses'!F26)=Settings!$B$40),'Licenses'!I26,""))</f>
        <v/>
      </c>
      <c r="G26" s="47">
        <f>IF('Licenses'!F26="","",IF(AND(MONTH('Licenses'!F26)=4,YEAR('Licenses'!F26)=Settings!$B$40),'Licenses'!I26,""))</f>
        <v/>
      </c>
      <c r="H26" s="47">
        <f>IF('Licenses'!F26="","",IF(AND(MONTH('Licenses'!F26)=5,YEAR('Licenses'!F26)=Settings!$B$40),'Licenses'!I26,""))</f>
        <v/>
      </c>
      <c r="I26" s="47">
        <f>IF('Licenses'!F26="","",IF(AND(MONTH('Licenses'!F26)=6,YEAR('Licenses'!F26)=Settings!$B$40),'Licenses'!I26,""))</f>
        <v/>
      </c>
      <c r="J26" s="47">
        <f>IF('Licenses'!F26="","",IF(AND(MONTH('Licenses'!F26)=7,YEAR('Licenses'!F26)=Settings!$B$40),'Licenses'!I26,""))</f>
        <v/>
      </c>
      <c r="K26" s="47">
        <f>IF('Licenses'!F26="","",IF(AND(MONTH('Licenses'!F26)=8,YEAR('Licenses'!F26)=Settings!$B$40),'Licenses'!I26,""))</f>
        <v/>
      </c>
      <c r="L26" s="47">
        <f>IF('Licenses'!F26="","",IF(AND(MONTH('Licenses'!F26)=9,YEAR('Licenses'!F26)=Settings!$B$40),'Licenses'!I26,""))</f>
        <v/>
      </c>
      <c r="M26" s="47">
        <f>IF('Licenses'!F26="","",IF(AND(MONTH('Licenses'!F26)=10,YEAR('Licenses'!F26)=Settings!$B$40),'Licenses'!I26,""))</f>
        <v/>
      </c>
      <c r="N26" s="47">
        <f>IF('Licenses'!F26="","",IF(AND(MONTH('Licenses'!F26)=11,YEAR('Licenses'!F26)=Settings!$B$40),'Licenses'!I26,""))</f>
        <v/>
      </c>
      <c r="O26" s="47">
        <f>IF('Licenses'!F26="","",IF(AND(MONTH('Licenses'!F26)=12,YEAR('Licenses'!F26)=Settings!$B$40),'Licenses'!I26,""))</f>
        <v/>
      </c>
    </row>
    <row r="27" ht="18" customHeight="1">
      <c r="A27" s="44">
        <f>IF('Licenses'!A27="","",'Licenses'!A27)</f>
        <v/>
      </c>
      <c r="B27" s="44">
        <f>IF('Licenses'!B27="","",'Licenses'!B27)</f>
        <v/>
      </c>
      <c r="C27" s="44">
        <f>IF('Licenses'!D27="","",'Licenses'!D27)</f>
        <v/>
      </c>
      <c r="D27" s="45">
        <f>IF('Licenses'!F27="","",IF(AND(MONTH('Licenses'!F27)=1,YEAR('Licenses'!F27)=Settings!$B$40),'Licenses'!I27,""))</f>
        <v/>
      </c>
      <c r="E27" s="45">
        <f>IF('Licenses'!F27="","",IF(AND(MONTH('Licenses'!F27)=2,YEAR('Licenses'!F27)=Settings!$B$40),'Licenses'!I27,""))</f>
        <v/>
      </c>
      <c r="F27" s="45">
        <f>IF('Licenses'!F27="","",IF(AND(MONTH('Licenses'!F27)=3,YEAR('Licenses'!F27)=Settings!$B$40),'Licenses'!I27,""))</f>
        <v/>
      </c>
      <c r="G27" s="45">
        <f>IF('Licenses'!F27="","",IF(AND(MONTH('Licenses'!F27)=4,YEAR('Licenses'!F27)=Settings!$B$40),'Licenses'!I27,""))</f>
        <v/>
      </c>
      <c r="H27" s="45">
        <f>IF('Licenses'!F27="","",IF(AND(MONTH('Licenses'!F27)=5,YEAR('Licenses'!F27)=Settings!$B$40),'Licenses'!I27,""))</f>
        <v/>
      </c>
      <c r="I27" s="45">
        <f>IF('Licenses'!F27="","",IF(AND(MONTH('Licenses'!F27)=6,YEAR('Licenses'!F27)=Settings!$B$40),'Licenses'!I27,""))</f>
        <v/>
      </c>
      <c r="J27" s="45">
        <f>IF('Licenses'!F27="","",IF(AND(MONTH('Licenses'!F27)=7,YEAR('Licenses'!F27)=Settings!$B$40),'Licenses'!I27,""))</f>
        <v/>
      </c>
      <c r="K27" s="45">
        <f>IF('Licenses'!F27="","",IF(AND(MONTH('Licenses'!F27)=8,YEAR('Licenses'!F27)=Settings!$B$40),'Licenses'!I27,""))</f>
        <v/>
      </c>
      <c r="L27" s="45">
        <f>IF('Licenses'!F27="","",IF(AND(MONTH('Licenses'!F27)=9,YEAR('Licenses'!F27)=Settings!$B$40),'Licenses'!I27,""))</f>
        <v/>
      </c>
      <c r="M27" s="45">
        <f>IF('Licenses'!F27="","",IF(AND(MONTH('Licenses'!F27)=10,YEAR('Licenses'!F27)=Settings!$B$40),'Licenses'!I27,""))</f>
        <v/>
      </c>
      <c r="N27" s="45">
        <f>IF('Licenses'!F27="","",IF(AND(MONTH('Licenses'!F27)=11,YEAR('Licenses'!F27)=Settings!$B$40),'Licenses'!I27,""))</f>
        <v/>
      </c>
      <c r="O27" s="45">
        <f>IF('Licenses'!F27="","",IF(AND(MONTH('Licenses'!F27)=12,YEAR('Licenses'!F27)=Settings!$B$40),'Licenses'!I27,""))</f>
        <v/>
      </c>
    </row>
    <row r="28" ht="18" customHeight="1">
      <c r="A28" s="46">
        <f>IF('Licenses'!A28="","",'Licenses'!A28)</f>
        <v/>
      </c>
      <c r="B28" s="46">
        <f>IF('Licenses'!B28="","",'Licenses'!B28)</f>
        <v/>
      </c>
      <c r="C28" s="46">
        <f>IF('Licenses'!D28="","",'Licenses'!D28)</f>
        <v/>
      </c>
      <c r="D28" s="47">
        <f>IF('Licenses'!F28="","",IF(AND(MONTH('Licenses'!F28)=1,YEAR('Licenses'!F28)=Settings!$B$40),'Licenses'!I28,""))</f>
        <v/>
      </c>
      <c r="E28" s="47">
        <f>IF('Licenses'!F28="","",IF(AND(MONTH('Licenses'!F28)=2,YEAR('Licenses'!F28)=Settings!$B$40),'Licenses'!I28,""))</f>
        <v/>
      </c>
      <c r="F28" s="47">
        <f>IF('Licenses'!F28="","",IF(AND(MONTH('Licenses'!F28)=3,YEAR('Licenses'!F28)=Settings!$B$40),'Licenses'!I28,""))</f>
        <v/>
      </c>
      <c r="G28" s="47">
        <f>IF('Licenses'!F28="","",IF(AND(MONTH('Licenses'!F28)=4,YEAR('Licenses'!F28)=Settings!$B$40),'Licenses'!I28,""))</f>
        <v/>
      </c>
      <c r="H28" s="47">
        <f>IF('Licenses'!F28="","",IF(AND(MONTH('Licenses'!F28)=5,YEAR('Licenses'!F28)=Settings!$B$40),'Licenses'!I28,""))</f>
        <v/>
      </c>
      <c r="I28" s="47">
        <f>IF('Licenses'!F28="","",IF(AND(MONTH('Licenses'!F28)=6,YEAR('Licenses'!F28)=Settings!$B$40),'Licenses'!I28,""))</f>
        <v/>
      </c>
      <c r="J28" s="47">
        <f>IF('Licenses'!F28="","",IF(AND(MONTH('Licenses'!F28)=7,YEAR('Licenses'!F28)=Settings!$B$40),'Licenses'!I28,""))</f>
        <v/>
      </c>
      <c r="K28" s="47">
        <f>IF('Licenses'!F28="","",IF(AND(MONTH('Licenses'!F28)=8,YEAR('Licenses'!F28)=Settings!$B$40),'Licenses'!I28,""))</f>
        <v/>
      </c>
      <c r="L28" s="47">
        <f>IF('Licenses'!F28="","",IF(AND(MONTH('Licenses'!F28)=9,YEAR('Licenses'!F28)=Settings!$B$40),'Licenses'!I28,""))</f>
        <v/>
      </c>
      <c r="M28" s="47">
        <f>IF('Licenses'!F28="","",IF(AND(MONTH('Licenses'!F28)=10,YEAR('Licenses'!F28)=Settings!$B$40),'Licenses'!I28,""))</f>
        <v/>
      </c>
      <c r="N28" s="47">
        <f>IF('Licenses'!F28="","",IF(AND(MONTH('Licenses'!F28)=11,YEAR('Licenses'!F28)=Settings!$B$40),'Licenses'!I28,""))</f>
        <v/>
      </c>
      <c r="O28" s="47">
        <f>IF('Licenses'!F28="","",IF(AND(MONTH('Licenses'!F28)=12,YEAR('Licenses'!F28)=Settings!$B$40),'Licenses'!I28,""))</f>
        <v/>
      </c>
    </row>
    <row r="29" ht="18" customHeight="1">
      <c r="A29" s="44">
        <f>IF('Licenses'!A29="","",'Licenses'!A29)</f>
        <v/>
      </c>
      <c r="B29" s="44">
        <f>IF('Licenses'!B29="","",'Licenses'!B29)</f>
        <v/>
      </c>
      <c r="C29" s="44">
        <f>IF('Licenses'!D29="","",'Licenses'!D29)</f>
        <v/>
      </c>
      <c r="D29" s="45">
        <f>IF('Licenses'!F29="","",IF(AND(MONTH('Licenses'!F29)=1,YEAR('Licenses'!F29)=Settings!$B$40),'Licenses'!I29,""))</f>
        <v/>
      </c>
      <c r="E29" s="45">
        <f>IF('Licenses'!F29="","",IF(AND(MONTH('Licenses'!F29)=2,YEAR('Licenses'!F29)=Settings!$B$40),'Licenses'!I29,""))</f>
        <v/>
      </c>
      <c r="F29" s="45">
        <f>IF('Licenses'!F29="","",IF(AND(MONTH('Licenses'!F29)=3,YEAR('Licenses'!F29)=Settings!$B$40),'Licenses'!I29,""))</f>
        <v/>
      </c>
      <c r="G29" s="45">
        <f>IF('Licenses'!F29="","",IF(AND(MONTH('Licenses'!F29)=4,YEAR('Licenses'!F29)=Settings!$B$40),'Licenses'!I29,""))</f>
        <v/>
      </c>
      <c r="H29" s="45">
        <f>IF('Licenses'!F29="","",IF(AND(MONTH('Licenses'!F29)=5,YEAR('Licenses'!F29)=Settings!$B$40),'Licenses'!I29,""))</f>
        <v/>
      </c>
      <c r="I29" s="45">
        <f>IF('Licenses'!F29="","",IF(AND(MONTH('Licenses'!F29)=6,YEAR('Licenses'!F29)=Settings!$B$40),'Licenses'!I29,""))</f>
        <v/>
      </c>
      <c r="J29" s="45">
        <f>IF('Licenses'!F29="","",IF(AND(MONTH('Licenses'!F29)=7,YEAR('Licenses'!F29)=Settings!$B$40),'Licenses'!I29,""))</f>
        <v/>
      </c>
      <c r="K29" s="45">
        <f>IF('Licenses'!F29="","",IF(AND(MONTH('Licenses'!F29)=8,YEAR('Licenses'!F29)=Settings!$B$40),'Licenses'!I29,""))</f>
        <v/>
      </c>
      <c r="L29" s="45">
        <f>IF('Licenses'!F29="","",IF(AND(MONTH('Licenses'!F29)=9,YEAR('Licenses'!F29)=Settings!$B$40),'Licenses'!I29,""))</f>
        <v/>
      </c>
      <c r="M29" s="45">
        <f>IF('Licenses'!F29="","",IF(AND(MONTH('Licenses'!F29)=10,YEAR('Licenses'!F29)=Settings!$B$40),'Licenses'!I29,""))</f>
        <v/>
      </c>
      <c r="N29" s="45">
        <f>IF('Licenses'!F29="","",IF(AND(MONTH('Licenses'!F29)=11,YEAR('Licenses'!F29)=Settings!$B$40),'Licenses'!I29,""))</f>
        <v/>
      </c>
      <c r="O29" s="45">
        <f>IF('Licenses'!F29="","",IF(AND(MONTH('Licenses'!F29)=12,YEAR('Licenses'!F29)=Settings!$B$40),'Licenses'!I29,""))</f>
        <v/>
      </c>
    </row>
    <row r="30" ht="18" customHeight="1">
      <c r="A30" s="46">
        <f>IF('Licenses'!A30="","",'Licenses'!A30)</f>
        <v/>
      </c>
      <c r="B30" s="46">
        <f>IF('Licenses'!B30="","",'Licenses'!B30)</f>
        <v/>
      </c>
      <c r="C30" s="46">
        <f>IF('Licenses'!D30="","",'Licenses'!D30)</f>
        <v/>
      </c>
      <c r="D30" s="47">
        <f>IF('Licenses'!F30="","",IF(AND(MONTH('Licenses'!F30)=1,YEAR('Licenses'!F30)=Settings!$B$40),'Licenses'!I30,""))</f>
        <v/>
      </c>
      <c r="E30" s="47">
        <f>IF('Licenses'!F30="","",IF(AND(MONTH('Licenses'!F30)=2,YEAR('Licenses'!F30)=Settings!$B$40),'Licenses'!I30,""))</f>
        <v/>
      </c>
      <c r="F30" s="47">
        <f>IF('Licenses'!F30="","",IF(AND(MONTH('Licenses'!F30)=3,YEAR('Licenses'!F30)=Settings!$B$40),'Licenses'!I30,""))</f>
        <v/>
      </c>
      <c r="G30" s="47">
        <f>IF('Licenses'!F30="","",IF(AND(MONTH('Licenses'!F30)=4,YEAR('Licenses'!F30)=Settings!$B$40),'Licenses'!I30,""))</f>
        <v/>
      </c>
      <c r="H30" s="47">
        <f>IF('Licenses'!F30="","",IF(AND(MONTH('Licenses'!F30)=5,YEAR('Licenses'!F30)=Settings!$B$40),'Licenses'!I30,""))</f>
        <v/>
      </c>
      <c r="I30" s="47">
        <f>IF('Licenses'!F30="","",IF(AND(MONTH('Licenses'!F30)=6,YEAR('Licenses'!F30)=Settings!$B$40),'Licenses'!I30,""))</f>
        <v/>
      </c>
      <c r="J30" s="47">
        <f>IF('Licenses'!F30="","",IF(AND(MONTH('Licenses'!F30)=7,YEAR('Licenses'!F30)=Settings!$B$40),'Licenses'!I30,""))</f>
        <v/>
      </c>
      <c r="K30" s="47">
        <f>IF('Licenses'!F30="","",IF(AND(MONTH('Licenses'!F30)=8,YEAR('Licenses'!F30)=Settings!$B$40),'Licenses'!I30,""))</f>
        <v/>
      </c>
      <c r="L30" s="47">
        <f>IF('Licenses'!F30="","",IF(AND(MONTH('Licenses'!F30)=9,YEAR('Licenses'!F30)=Settings!$B$40),'Licenses'!I30,""))</f>
        <v/>
      </c>
      <c r="M30" s="47">
        <f>IF('Licenses'!F30="","",IF(AND(MONTH('Licenses'!F30)=10,YEAR('Licenses'!F30)=Settings!$B$40),'Licenses'!I30,""))</f>
        <v/>
      </c>
      <c r="N30" s="47">
        <f>IF('Licenses'!F30="","",IF(AND(MONTH('Licenses'!F30)=11,YEAR('Licenses'!F30)=Settings!$B$40),'Licenses'!I30,""))</f>
        <v/>
      </c>
      <c r="O30" s="47">
        <f>IF('Licenses'!F30="","",IF(AND(MONTH('Licenses'!F30)=12,YEAR('Licenses'!F30)=Settings!$B$40),'Licenses'!I30,""))</f>
        <v/>
      </c>
    </row>
    <row r="31" ht="18" customHeight="1">
      <c r="A31" s="44">
        <f>IF('Licenses'!A31="","",'Licenses'!A31)</f>
        <v/>
      </c>
      <c r="B31" s="44">
        <f>IF('Licenses'!B31="","",'Licenses'!B31)</f>
        <v/>
      </c>
      <c r="C31" s="44">
        <f>IF('Licenses'!D31="","",'Licenses'!D31)</f>
        <v/>
      </c>
      <c r="D31" s="45">
        <f>IF('Licenses'!F31="","",IF(AND(MONTH('Licenses'!F31)=1,YEAR('Licenses'!F31)=Settings!$B$40),'Licenses'!I31,""))</f>
        <v/>
      </c>
      <c r="E31" s="45">
        <f>IF('Licenses'!F31="","",IF(AND(MONTH('Licenses'!F31)=2,YEAR('Licenses'!F31)=Settings!$B$40),'Licenses'!I31,""))</f>
        <v/>
      </c>
      <c r="F31" s="45">
        <f>IF('Licenses'!F31="","",IF(AND(MONTH('Licenses'!F31)=3,YEAR('Licenses'!F31)=Settings!$B$40),'Licenses'!I31,""))</f>
        <v/>
      </c>
      <c r="G31" s="45">
        <f>IF('Licenses'!F31="","",IF(AND(MONTH('Licenses'!F31)=4,YEAR('Licenses'!F31)=Settings!$B$40),'Licenses'!I31,""))</f>
        <v/>
      </c>
      <c r="H31" s="45">
        <f>IF('Licenses'!F31="","",IF(AND(MONTH('Licenses'!F31)=5,YEAR('Licenses'!F31)=Settings!$B$40),'Licenses'!I31,""))</f>
        <v/>
      </c>
      <c r="I31" s="45">
        <f>IF('Licenses'!F31="","",IF(AND(MONTH('Licenses'!F31)=6,YEAR('Licenses'!F31)=Settings!$B$40),'Licenses'!I31,""))</f>
        <v/>
      </c>
      <c r="J31" s="45">
        <f>IF('Licenses'!F31="","",IF(AND(MONTH('Licenses'!F31)=7,YEAR('Licenses'!F31)=Settings!$B$40),'Licenses'!I31,""))</f>
        <v/>
      </c>
      <c r="K31" s="45">
        <f>IF('Licenses'!F31="","",IF(AND(MONTH('Licenses'!F31)=8,YEAR('Licenses'!F31)=Settings!$B$40),'Licenses'!I31,""))</f>
        <v/>
      </c>
      <c r="L31" s="45">
        <f>IF('Licenses'!F31="","",IF(AND(MONTH('Licenses'!F31)=9,YEAR('Licenses'!F31)=Settings!$B$40),'Licenses'!I31,""))</f>
        <v/>
      </c>
      <c r="M31" s="45">
        <f>IF('Licenses'!F31="","",IF(AND(MONTH('Licenses'!F31)=10,YEAR('Licenses'!F31)=Settings!$B$40),'Licenses'!I31,""))</f>
        <v/>
      </c>
      <c r="N31" s="45">
        <f>IF('Licenses'!F31="","",IF(AND(MONTH('Licenses'!F31)=11,YEAR('Licenses'!F31)=Settings!$B$40),'Licenses'!I31,""))</f>
        <v/>
      </c>
      <c r="O31" s="45">
        <f>IF('Licenses'!F31="","",IF(AND(MONTH('Licenses'!F31)=12,YEAR('Licenses'!F31)=Settings!$B$40),'Licenses'!I31,""))</f>
        <v/>
      </c>
    </row>
    <row r="32" ht="18" customHeight="1">
      <c r="A32" s="46">
        <f>IF('Licenses'!A32="","",'Licenses'!A32)</f>
        <v/>
      </c>
      <c r="B32" s="46">
        <f>IF('Licenses'!B32="","",'Licenses'!B32)</f>
        <v/>
      </c>
      <c r="C32" s="46">
        <f>IF('Licenses'!D32="","",'Licenses'!D32)</f>
        <v/>
      </c>
      <c r="D32" s="47">
        <f>IF('Licenses'!F32="","",IF(AND(MONTH('Licenses'!F32)=1,YEAR('Licenses'!F32)=Settings!$B$40),'Licenses'!I32,""))</f>
        <v/>
      </c>
      <c r="E32" s="47">
        <f>IF('Licenses'!F32="","",IF(AND(MONTH('Licenses'!F32)=2,YEAR('Licenses'!F32)=Settings!$B$40),'Licenses'!I32,""))</f>
        <v/>
      </c>
      <c r="F32" s="47">
        <f>IF('Licenses'!F32="","",IF(AND(MONTH('Licenses'!F32)=3,YEAR('Licenses'!F32)=Settings!$B$40),'Licenses'!I32,""))</f>
        <v/>
      </c>
      <c r="G32" s="47">
        <f>IF('Licenses'!F32="","",IF(AND(MONTH('Licenses'!F32)=4,YEAR('Licenses'!F32)=Settings!$B$40),'Licenses'!I32,""))</f>
        <v/>
      </c>
      <c r="H32" s="47">
        <f>IF('Licenses'!F32="","",IF(AND(MONTH('Licenses'!F32)=5,YEAR('Licenses'!F32)=Settings!$B$40),'Licenses'!I32,""))</f>
        <v/>
      </c>
      <c r="I32" s="47">
        <f>IF('Licenses'!F32="","",IF(AND(MONTH('Licenses'!F32)=6,YEAR('Licenses'!F32)=Settings!$B$40),'Licenses'!I32,""))</f>
        <v/>
      </c>
      <c r="J32" s="47">
        <f>IF('Licenses'!F32="","",IF(AND(MONTH('Licenses'!F32)=7,YEAR('Licenses'!F32)=Settings!$B$40),'Licenses'!I32,""))</f>
        <v/>
      </c>
      <c r="K32" s="47">
        <f>IF('Licenses'!F32="","",IF(AND(MONTH('Licenses'!F32)=8,YEAR('Licenses'!F32)=Settings!$B$40),'Licenses'!I32,""))</f>
        <v/>
      </c>
      <c r="L32" s="47">
        <f>IF('Licenses'!F32="","",IF(AND(MONTH('Licenses'!F32)=9,YEAR('Licenses'!F32)=Settings!$B$40),'Licenses'!I32,""))</f>
        <v/>
      </c>
      <c r="M32" s="47">
        <f>IF('Licenses'!F32="","",IF(AND(MONTH('Licenses'!F32)=10,YEAR('Licenses'!F32)=Settings!$B$40),'Licenses'!I32,""))</f>
        <v/>
      </c>
      <c r="N32" s="47">
        <f>IF('Licenses'!F32="","",IF(AND(MONTH('Licenses'!F32)=11,YEAR('Licenses'!F32)=Settings!$B$40),'Licenses'!I32,""))</f>
        <v/>
      </c>
      <c r="O32" s="47">
        <f>IF('Licenses'!F32="","",IF(AND(MONTH('Licenses'!F32)=12,YEAR('Licenses'!F32)=Settings!$B$40),'Licenses'!I32,""))</f>
        <v/>
      </c>
    </row>
    <row r="33" ht="18" customHeight="1">
      <c r="A33" s="44">
        <f>IF('Licenses'!A33="","",'Licenses'!A33)</f>
        <v/>
      </c>
      <c r="B33" s="44">
        <f>IF('Licenses'!B33="","",'Licenses'!B33)</f>
        <v/>
      </c>
      <c r="C33" s="44">
        <f>IF('Licenses'!D33="","",'Licenses'!D33)</f>
        <v/>
      </c>
      <c r="D33" s="45">
        <f>IF('Licenses'!F33="","",IF(AND(MONTH('Licenses'!F33)=1,YEAR('Licenses'!F33)=Settings!$B$40),'Licenses'!I33,""))</f>
        <v/>
      </c>
      <c r="E33" s="45">
        <f>IF('Licenses'!F33="","",IF(AND(MONTH('Licenses'!F33)=2,YEAR('Licenses'!F33)=Settings!$B$40),'Licenses'!I33,""))</f>
        <v/>
      </c>
      <c r="F33" s="45">
        <f>IF('Licenses'!F33="","",IF(AND(MONTH('Licenses'!F33)=3,YEAR('Licenses'!F33)=Settings!$B$40),'Licenses'!I33,""))</f>
        <v/>
      </c>
      <c r="G33" s="45">
        <f>IF('Licenses'!F33="","",IF(AND(MONTH('Licenses'!F33)=4,YEAR('Licenses'!F33)=Settings!$B$40),'Licenses'!I33,""))</f>
        <v/>
      </c>
      <c r="H33" s="45">
        <f>IF('Licenses'!F33="","",IF(AND(MONTH('Licenses'!F33)=5,YEAR('Licenses'!F33)=Settings!$B$40),'Licenses'!I33,""))</f>
        <v/>
      </c>
      <c r="I33" s="45">
        <f>IF('Licenses'!F33="","",IF(AND(MONTH('Licenses'!F33)=6,YEAR('Licenses'!F33)=Settings!$B$40),'Licenses'!I33,""))</f>
        <v/>
      </c>
      <c r="J33" s="45">
        <f>IF('Licenses'!F33="","",IF(AND(MONTH('Licenses'!F33)=7,YEAR('Licenses'!F33)=Settings!$B$40),'Licenses'!I33,""))</f>
        <v/>
      </c>
      <c r="K33" s="45">
        <f>IF('Licenses'!F33="","",IF(AND(MONTH('Licenses'!F33)=8,YEAR('Licenses'!F33)=Settings!$B$40),'Licenses'!I33,""))</f>
        <v/>
      </c>
      <c r="L33" s="45">
        <f>IF('Licenses'!F33="","",IF(AND(MONTH('Licenses'!F33)=9,YEAR('Licenses'!F33)=Settings!$B$40),'Licenses'!I33,""))</f>
        <v/>
      </c>
      <c r="M33" s="45">
        <f>IF('Licenses'!F33="","",IF(AND(MONTH('Licenses'!F33)=10,YEAR('Licenses'!F33)=Settings!$B$40),'Licenses'!I33,""))</f>
        <v/>
      </c>
      <c r="N33" s="45">
        <f>IF('Licenses'!F33="","",IF(AND(MONTH('Licenses'!F33)=11,YEAR('Licenses'!F33)=Settings!$B$40),'Licenses'!I33,""))</f>
        <v/>
      </c>
      <c r="O33" s="45">
        <f>IF('Licenses'!F33="","",IF(AND(MONTH('Licenses'!F33)=12,YEAR('Licenses'!F33)=Settings!$B$40),'Licenses'!I33,""))</f>
        <v/>
      </c>
    </row>
    <row r="34" ht="18" customHeight="1">
      <c r="A34" s="46">
        <f>IF('Licenses'!A34="","",'Licenses'!A34)</f>
        <v/>
      </c>
      <c r="B34" s="46">
        <f>IF('Licenses'!B34="","",'Licenses'!B34)</f>
        <v/>
      </c>
      <c r="C34" s="46">
        <f>IF('Licenses'!D34="","",'Licenses'!D34)</f>
        <v/>
      </c>
      <c r="D34" s="47">
        <f>IF('Licenses'!F34="","",IF(AND(MONTH('Licenses'!F34)=1,YEAR('Licenses'!F34)=Settings!$B$40),'Licenses'!I34,""))</f>
        <v/>
      </c>
      <c r="E34" s="47">
        <f>IF('Licenses'!F34="","",IF(AND(MONTH('Licenses'!F34)=2,YEAR('Licenses'!F34)=Settings!$B$40),'Licenses'!I34,""))</f>
        <v/>
      </c>
      <c r="F34" s="47">
        <f>IF('Licenses'!F34="","",IF(AND(MONTH('Licenses'!F34)=3,YEAR('Licenses'!F34)=Settings!$B$40),'Licenses'!I34,""))</f>
        <v/>
      </c>
      <c r="G34" s="47">
        <f>IF('Licenses'!F34="","",IF(AND(MONTH('Licenses'!F34)=4,YEAR('Licenses'!F34)=Settings!$B$40),'Licenses'!I34,""))</f>
        <v/>
      </c>
      <c r="H34" s="47">
        <f>IF('Licenses'!F34="","",IF(AND(MONTH('Licenses'!F34)=5,YEAR('Licenses'!F34)=Settings!$B$40),'Licenses'!I34,""))</f>
        <v/>
      </c>
      <c r="I34" s="47">
        <f>IF('Licenses'!F34="","",IF(AND(MONTH('Licenses'!F34)=6,YEAR('Licenses'!F34)=Settings!$B$40),'Licenses'!I34,""))</f>
        <v/>
      </c>
      <c r="J34" s="47">
        <f>IF('Licenses'!F34="","",IF(AND(MONTH('Licenses'!F34)=7,YEAR('Licenses'!F34)=Settings!$B$40),'Licenses'!I34,""))</f>
        <v/>
      </c>
      <c r="K34" s="47">
        <f>IF('Licenses'!F34="","",IF(AND(MONTH('Licenses'!F34)=8,YEAR('Licenses'!F34)=Settings!$B$40),'Licenses'!I34,""))</f>
        <v/>
      </c>
      <c r="L34" s="47">
        <f>IF('Licenses'!F34="","",IF(AND(MONTH('Licenses'!F34)=9,YEAR('Licenses'!F34)=Settings!$B$40),'Licenses'!I34,""))</f>
        <v/>
      </c>
      <c r="M34" s="47">
        <f>IF('Licenses'!F34="","",IF(AND(MONTH('Licenses'!F34)=10,YEAR('Licenses'!F34)=Settings!$B$40),'Licenses'!I34,""))</f>
        <v/>
      </c>
      <c r="N34" s="47">
        <f>IF('Licenses'!F34="","",IF(AND(MONTH('Licenses'!F34)=11,YEAR('Licenses'!F34)=Settings!$B$40),'Licenses'!I34,""))</f>
        <v/>
      </c>
      <c r="O34" s="47">
        <f>IF('Licenses'!F34="","",IF(AND(MONTH('Licenses'!F34)=12,YEAR('Licenses'!F34)=Settings!$B$40),'Licenses'!I34,""))</f>
        <v/>
      </c>
    </row>
    <row r="35" ht="18" customHeight="1">
      <c r="A35" s="44">
        <f>IF('Licenses'!A35="","",'Licenses'!A35)</f>
        <v/>
      </c>
      <c r="B35" s="44">
        <f>IF('Licenses'!B35="","",'Licenses'!B35)</f>
        <v/>
      </c>
      <c r="C35" s="44">
        <f>IF('Licenses'!D35="","",'Licenses'!D35)</f>
        <v/>
      </c>
      <c r="D35" s="45">
        <f>IF('Licenses'!F35="","",IF(AND(MONTH('Licenses'!F35)=1,YEAR('Licenses'!F35)=Settings!$B$40),'Licenses'!I35,""))</f>
        <v/>
      </c>
      <c r="E35" s="45">
        <f>IF('Licenses'!F35="","",IF(AND(MONTH('Licenses'!F35)=2,YEAR('Licenses'!F35)=Settings!$B$40),'Licenses'!I35,""))</f>
        <v/>
      </c>
      <c r="F35" s="45">
        <f>IF('Licenses'!F35="","",IF(AND(MONTH('Licenses'!F35)=3,YEAR('Licenses'!F35)=Settings!$B$40),'Licenses'!I35,""))</f>
        <v/>
      </c>
      <c r="G35" s="45">
        <f>IF('Licenses'!F35="","",IF(AND(MONTH('Licenses'!F35)=4,YEAR('Licenses'!F35)=Settings!$B$40),'Licenses'!I35,""))</f>
        <v/>
      </c>
      <c r="H35" s="45">
        <f>IF('Licenses'!F35="","",IF(AND(MONTH('Licenses'!F35)=5,YEAR('Licenses'!F35)=Settings!$B$40),'Licenses'!I35,""))</f>
        <v/>
      </c>
      <c r="I35" s="45">
        <f>IF('Licenses'!F35="","",IF(AND(MONTH('Licenses'!F35)=6,YEAR('Licenses'!F35)=Settings!$B$40),'Licenses'!I35,""))</f>
        <v/>
      </c>
      <c r="J35" s="45">
        <f>IF('Licenses'!F35="","",IF(AND(MONTH('Licenses'!F35)=7,YEAR('Licenses'!F35)=Settings!$B$40),'Licenses'!I35,""))</f>
        <v/>
      </c>
      <c r="K35" s="45">
        <f>IF('Licenses'!F35="","",IF(AND(MONTH('Licenses'!F35)=8,YEAR('Licenses'!F35)=Settings!$B$40),'Licenses'!I35,""))</f>
        <v/>
      </c>
      <c r="L35" s="45">
        <f>IF('Licenses'!F35="","",IF(AND(MONTH('Licenses'!F35)=9,YEAR('Licenses'!F35)=Settings!$B$40),'Licenses'!I35,""))</f>
        <v/>
      </c>
      <c r="M35" s="45">
        <f>IF('Licenses'!F35="","",IF(AND(MONTH('Licenses'!F35)=10,YEAR('Licenses'!F35)=Settings!$B$40),'Licenses'!I35,""))</f>
        <v/>
      </c>
      <c r="N35" s="45">
        <f>IF('Licenses'!F35="","",IF(AND(MONTH('Licenses'!F35)=11,YEAR('Licenses'!F35)=Settings!$B$40),'Licenses'!I35,""))</f>
        <v/>
      </c>
      <c r="O35" s="45">
        <f>IF('Licenses'!F35="","",IF(AND(MONTH('Licenses'!F35)=12,YEAR('Licenses'!F35)=Settings!$B$40),'Licenses'!I35,""))</f>
        <v/>
      </c>
    </row>
    <row r="36" ht="18" customHeight="1">
      <c r="A36" s="46">
        <f>IF('Licenses'!A36="","",'Licenses'!A36)</f>
        <v/>
      </c>
      <c r="B36" s="46">
        <f>IF('Licenses'!B36="","",'Licenses'!B36)</f>
        <v/>
      </c>
      <c r="C36" s="46">
        <f>IF('Licenses'!D36="","",'Licenses'!D36)</f>
        <v/>
      </c>
      <c r="D36" s="47">
        <f>IF('Licenses'!F36="","",IF(AND(MONTH('Licenses'!F36)=1,YEAR('Licenses'!F36)=Settings!$B$40),'Licenses'!I36,""))</f>
        <v/>
      </c>
      <c r="E36" s="47">
        <f>IF('Licenses'!F36="","",IF(AND(MONTH('Licenses'!F36)=2,YEAR('Licenses'!F36)=Settings!$B$40),'Licenses'!I36,""))</f>
        <v/>
      </c>
      <c r="F36" s="47">
        <f>IF('Licenses'!F36="","",IF(AND(MONTH('Licenses'!F36)=3,YEAR('Licenses'!F36)=Settings!$B$40),'Licenses'!I36,""))</f>
        <v/>
      </c>
      <c r="G36" s="47">
        <f>IF('Licenses'!F36="","",IF(AND(MONTH('Licenses'!F36)=4,YEAR('Licenses'!F36)=Settings!$B$40),'Licenses'!I36,""))</f>
        <v/>
      </c>
      <c r="H36" s="47">
        <f>IF('Licenses'!F36="","",IF(AND(MONTH('Licenses'!F36)=5,YEAR('Licenses'!F36)=Settings!$B$40),'Licenses'!I36,""))</f>
        <v/>
      </c>
      <c r="I36" s="47">
        <f>IF('Licenses'!F36="","",IF(AND(MONTH('Licenses'!F36)=6,YEAR('Licenses'!F36)=Settings!$B$40),'Licenses'!I36,""))</f>
        <v/>
      </c>
      <c r="J36" s="47">
        <f>IF('Licenses'!F36="","",IF(AND(MONTH('Licenses'!F36)=7,YEAR('Licenses'!F36)=Settings!$B$40),'Licenses'!I36,""))</f>
        <v/>
      </c>
      <c r="K36" s="47">
        <f>IF('Licenses'!F36="","",IF(AND(MONTH('Licenses'!F36)=8,YEAR('Licenses'!F36)=Settings!$B$40),'Licenses'!I36,""))</f>
        <v/>
      </c>
      <c r="L36" s="47">
        <f>IF('Licenses'!F36="","",IF(AND(MONTH('Licenses'!F36)=9,YEAR('Licenses'!F36)=Settings!$B$40),'Licenses'!I36,""))</f>
        <v/>
      </c>
      <c r="M36" s="47">
        <f>IF('Licenses'!F36="","",IF(AND(MONTH('Licenses'!F36)=10,YEAR('Licenses'!F36)=Settings!$B$40),'Licenses'!I36,""))</f>
        <v/>
      </c>
      <c r="N36" s="47">
        <f>IF('Licenses'!F36="","",IF(AND(MONTH('Licenses'!F36)=11,YEAR('Licenses'!F36)=Settings!$B$40),'Licenses'!I36,""))</f>
        <v/>
      </c>
      <c r="O36" s="47">
        <f>IF('Licenses'!F36="","",IF(AND(MONTH('Licenses'!F36)=12,YEAR('Licenses'!F36)=Settings!$B$40),'Licenses'!I36,""))</f>
        <v/>
      </c>
    </row>
    <row r="37" ht="18" customHeight="1">
      <c r="A37" s="44">
        <f>IF('Licenses'!A37="","",'Licenses'!A37)</f>
        <v/>
      </c>
      <c r="B37" s="44">
        <f>IF('Licenses'!B37="","",'Licenses'!B37)</f>
        <v/>
      </c>
      <c r="C37" s="44">
        <f>IF('Licenses'!D37="","",'Licenses'!D37)</f>
        <v/>
      </c>
      <c r="D37" s="45">
        <f>IF('Licenses'!F37="","",IF(AND(MONTH('Licenses'!F37)=1,YEAR('Licenses'!F37)=Settings!$B$40),'Licenses'!I37,""))</f>
        <v/>
      </c>
      <c r="E37" s="45">
        <f>IF('Licenses'!F37="","",IF(AND(MONTH('Licenses'!F37)=2,YEAR('Licenses'!F37)=Settings!$B$40),'Licenses'!I37,""))</f>
        <v/>
      </c>
      <c r="F37" s="45">
        <f>IF('Licenses'!F37="","",IF(AND(MONTH('Licenses'!F37)=3,YEAR('Licenses'!F37)=Settings!$B$40),'Licenses'!I37,""))</f>
        <v/>
      </c>
      <c r="G37" s="45">
        <f>IF('Licenses'!F37="","",IF(AND(MONTH('Licenses'!F37)=4,YEAR('Licenses'!F37)=Settings!$B$40),'Licenses'!I37,""))</f>
        <v/>
      </c>
      <c r="H37" s="45">
        <f>IF('Licenses'!F37="","",IF(AND(MONTH('Licenses'!F37)=5,YEAR('Licenses'!F37)=Settings!$B$40),'Licenses'!I37,""))</f>
        <v/>
      </c>
      <c r="I37" s="45">
        <f>IF('Licenses'!F37="","",IF(AND(MONTH('Licenses'!F37)=6,YEAR('Licenses'!F37)=Settings!$B$40),'Licenses'!I37,""))</f>
        <v/>
      </c>
      <c r="J37" s="45">
        <f>IF('Licenses'!F37="","",IF(AND(MONTH('Licenses'!F37)=7,YEAR('Licenses'!F37)=Settings!$B$40),'Licenses'!I37,""))</f>
        <v/>
      </c>
      <c r="K37" s="45">
        <f>IF('Licenses'!F37="","",IF(AND(MONTH('Licenses'!F37)=8,YEAR('Licenses'!F37)=Settings!$B$40),'Licenses'!I37,""))</f>
        <v/>
      </c>
      <c r="L37" s="45">
        <f>IF('Licenses'!F37="","",IF(AND(MONTH('Licenses'!F37)=9,YEAR('Licenses'!F37)=Settings!$B$40),'Licenses'!I37,""))</f>
        <v/>
      </c>
      <c r="M37" s="45">
        <f>IF('Licenses'!F37="","",IF(AND(MONTH('Licenses'!F37)=10,YEAR('Licenses'!F37)=Settings!$B$40),'Licenses'!I37,""))</f>
        <v/>
      </c>
      <c r="N37" s="45">
        <f>IF('Licenses'!F37="","",IF(AND(MONTH('Licenses'!F37)=11,YEAR('Licenses'!F37)=Settings!$B$40),'Licenses'!I37,""))</f>
        <v/>
      </c>
      <c r="O37" s="45">
        <f>IF('Licenses'!F37="","",IF(AND(MONTH('Licenses'!F37)=12,YEAR('Licenses'!F37)=Settings!$B$40),'Licenses'!I37,""))</f>
        <v/>
      </c>
    </row>
    <row r="38" ht="18" customHeight="1">
      <c r="A38" s="46">
        <f>IF('Licenses'!A38="","",'Licenses'!A38)</f>
        <v/>
      </c>
      <c r="B38" s="46">
        <f>IF('Licenses'!B38="","",'Licenses'!B38)</f>
        <v/>
      </c>
      <c r="C38" s="46">
        <f>IF('Licenses'!D38="","",'Licenses'!D38)</f>
        <v/>
      </c>
      <c r="D38" s="47">
        <f>IF('Licenses'!F38="","",IF(AND(MONTH('Licenses'!F38)=1,YEAR('Licenses'!F38)=Settings!$B$40),'Licenses'!I38,""))</f>
        <v/>
      </c>
      <c r="E38" s="47">
        <f>IF('Licenses'!F38="","",IF(AND(MONTH('Licenses'!F38)=2,YEAR('Licenses'!F38)=Settings!$B$40),'Licenses'!I38,""))</f>
        <v/>
      </c>
      <c r="F38" s="47">
        <f>IF('Licenses'!F38="","",IF(AND(MONTH('Licenses'!F38)=3,YEAR('Licenses'!F38)=Settings!$B$40),'Licenses'!I38,""))</f>
        <v/>
      </c>
      <c r="G38" s="47">
        <f>IF('Licenses'!F38="","",IF(AND(MONTH('Licenses'!F38)=4,YEAR('Licenses'!F38)=Settings!$B$40),'Licenses'!I38,""))</f>
        <v/>
      </c>
      <c r="H38" s="47">
        <f>IF('Licenses'!F38="","",IF(AND(MONTH('Licenses'!F38)=5,YEAR('Licenses'!F38)=Settings!$B$40),'Licenses'!I38,""))</f>
        <v/>
      </c>
      <c r="I38" s="47">
        <f>IF('Licenses'!F38="","",IF(AND(MONTH('Licenses'!F38)=6,YEAR('Licenses'!F38)=Settings!$B$40),'Licenses'!I38,""))</f>
        <v/>
      </c>
      <c r="J38" s="47">
        <f>IF('Licenses'!F38="","",IF(AND(MONTH('Licenses'!F38)=7,YEAR('Licenses'!F38)=Settings!$B$40),'Licenses'!I38,""))</f>
        <v/>
      </c>
      <c r="K38" s="47">
        <f>IF('Licenses'!F38="","",IF(AND(MONTH('Licenses'!F38)=8,YEAR('Licenses'!F38)=Settings!$B$40),'Licenses'!I38,""))</f>
        <v/>
      </c>
      <c r="L38" s="47">
        <f>IF('Licenses'!F38="","",IF(AND(MONTH('Licenses'!F38)=9,YEAR('Licenses'!F38)=Settings!$B$40),'Licenses'!I38,""))</f>
        <v/>
      </c>
      <c r="M38" s="47">
        <f>IF('Licenses'!F38="","",IF(AND(MONTH('Licenses'!F38)=10,YEAR('Licenses'!F38)=Settings!$B$40),'Licenses'!I38,""))</f>
        <v/>
      </c>
      <c r="N38" s="47">
        <f>IF('Licenses'!F38="","",IF(AND(MONTH('Licenses'!F38)=11,YEAR('Licenses'!F38)=Settings!$B$40),'Licenses'!I38,""))</f>
        <v/>
      </c>
      <c r="O38" s="47">
        <f>IF('Licenses'!F38="","",IF(AND(MONTH('Licenses'!F38)=12,YEAR('Licenses'!F38)=Settings!$B$40),'Licenses'!I38,""))</f>
        <v/>
      </c>
    </row>
    <row r="39" ht="18" customHeight="1">
      <c r="A39" s="44">
        <f>IF('Licenses'!A39="","",'Licenses'!A39)</f>
        <v/>
      </c>
      <c r="B39" s="44">
        <f>IF('Licenses'!B39="","",'Licenses'!B39)</f>
        <v/>
      </c>
      <c r="C39" s="44">
        <f>IF('Licenses'!D39="","",'Licenses'!D39)</f>
        <v/>
      </c>
      <c r="D39" s="45">
        <f>IF('Licenses'!F39="","",IF(AND(MONTH('Licenses'!F39)=1,YEAR('Licenses'!F39)=Settings!$B$40),'Licenses'!I39,""))</f>
        <v/>
      </c>
      <c r="E39" s="45">
        <f>IF('Licenses'!F39="","",IF(AND(MONTH('Licenses'!F39)=2,YEAR('Licenses'!F39)=Settings!$B$40),'Licenses'!I39,""))</f>
        <v/>
      </c>
      <c r="F39" s="45">
        <f>IF('Licenses'!F39="","",IF(AND(MONTH('Licenses'!F39)=3,YEAR('Licenses'!F39)=Settings!$B$40),'Licenses'!I39,""))</f>
        <v/>
      </c>
      <c r="G39" s="45">
        <f>IF('Licenses'!F39="","",IF(AND(MONTH('Licenses'!F39)=4,YEAR('Licenses'!F39)=Settings!$B$40),'Licenses'!I39,""))</f>
        <v/>
      </c>
      <c r="H39" s="45">
        <f>IF('Licenses'!F39="","",IF(AND(MONTH('Licenses'!F39)=5,YEAR('Licenses'!F39)=Settings!$B$40),'Licenses'!I39,""))</f>
        <v/>
      </c>
      <c r="I39" s="45">
        <f>IF('Licenses'!F39="","",IF(AND(MONTH('Licenses'!F39)=6,YEAR('Licenses'!F39)=Settings!$B$40),'Licenses'!I39,""))</f>
        <v/>
      </c>
      <c r="J39" s="45">
        <f>IF('Licenses'!F39="","",IF(AND(MONTH('Licenses'!F39)=7,YEAR('Licenses'!F39)=Settings!$B$40),'Licenses'!I39,""))</f>
        <v/>
      </c>
      <c r="K39" s="45">
        <f>IF('Licenses'!F39="","",IF(AND(MONTH('Licenses'!F39)=8,YEAR('Licenses'!F39)=Settings!$B$40),'Licenses'!I39,""))</f>
        <v/>
      </c>
      <c r="L39" s="45">
        <f>IF('Licenses'!F39="","",IF(AND(MONTH('Licenses'!F39)=9,YEAR('Licenses'!F39)=Settings!$B$40),'Licenses'!I39,""))</f>
        <v/>
      </c>
      <c r="M39" s="45">
        <f>IF('Licenses'!F39="","",IF(AND(MONTH('Licenses'!F39)=10,YEAR('Licenses'!F39)=Settings!$B$40),'Licenses'!I39,""))</f>
        <v/>
      </c>
      <c r="N39" s="45">
        <f>IF('Licenses'!F39="","",IF(AND(MONTH('Licenses'!F39)=11,YEAR('Licenses'!F39)=Settings!$B$40),'Licenses'!I39,""))</f>
        <v/>
      </c>
      <c r="O39" s="45">
        <f>IF('Licenses'!F39="","",IF(AND(MONTH('Licenses'!F39)=12,YEAR('Licenses'!F39)=Settings!$B$40),'Licenses'!I39,""))</f>
        <v/>
      </c>
    </row>
    <row r="40" ht="18" customHeight="1">
      <c r="A40" s="46">
        <f>IF('Licenses'!A40="","",'Licenses'!A40)</f>
        <v/>
      </c>
      <c r="B40" s="46">
        <f>IF('Licenses'!B40="","",'Licenses'!B40)</f>
        <v/>
      </c>
      <c r="C40" s="46">
        <f>IF('Licenses'!D40="","",'Licenses'!D40)</f>
        <v/>
      </c>
      <c r="D40" s="47">
        <f>IF('Licenses'!F40="","",IF(AND(MONTH('Licenses'!F40)=1,YEAR('Licenses'!F40)=Settings!$B$40),'Licenses'!I40,""))</f>
        <v/>
      </c>
      <c r="E40" s="47">
        <f>IF('Licenses'!F40="","",IF(AND(MONTH('Licenses'!F40)=2,YEAR('Licenses'!F40)=Settings!$B$40),'Licenses'!I40,""))</f>
        <v/>
      </c>
      <c r="F40" s="47">
        <f>IF('Licenses'!F40="","",IF(AND(MONTH('Licenses'!F40)=3,YEAR('Licenses'!F40)=Settings!$B$40),'Licenses'!I40,""))</f>
        <v/>
      </c>
      <c r="G40" s="47">
        <f>IF('Licenses'!F40="","",IF(AND(MONTH('Licenses'!F40)=4,YEAR('Licenses'!F40)=Settings!$B$40),'Licenses'!I40,""))</f>
        <v/>
      </c>
      <c r="H40" s="47">
        <f>IF('Licenses'!F40="","",IF(AND(MONTH('Licenses'!F40)=5,YEAR('Licenses'!F40)=Settings!$B$40),'Licenses'!I40,""))</f>
        <v/>
      </c>
      <c r="I40" s="47">
        <f>IF('Licenses'!F40="","",IF(AND(MONTH('Licenses'!F40)=6,YEAR('Licenses'!F40)=Settings!$B$40),'Licenses'!I40,""))</f>
        <v/>
      </c>
      <c r="J40" s="47">
        <f>IF('Licenses'!F40="","",IF(AND(MONTH('Licenses'!F40)=7,YEAR('Licenses'!F40)=Settings!$B$40),'Licenses'!I40,""))</f>
        <v/>
      </c>
      <c r="K40" s="47">
        <f>IF('Licenses'!F40="","",IF(AND(MONTH('Licenses'!F40)=8,YEAR('Licenses'!F40)=Settings!$B$40),'Licenses'!I40,""))</f>
        <v/>
      </c>
      <c r="L40" s="47">
        <f>IF('Licenses'!F40="","",IF(AND(MONTH('Licenses'!F40)=9,YEAR('Licenses'!F40)=Settings!$B$40),'Licenses'!I40,""))</f>
        <v/>
      </c>
      <c r="M40" s="47">
        <f>IF('Licenses'!F40="","",IF(AND(MONTH('Licenses'!F40)=10,YEAR('Licenses'!F40)=Settings!$B$40),'Licenses'!I40,""))</f>
        <v/>
      </c>
      <c r="N40" s="47">
        <f>IF('Licenses'!F40="","",IF(AND(MONTH('Licenses'!F40)=11,YEAR('Licenses'!F40)=Settings!$B$40),'Licenses'!I40,""))</f>
        <v/>
      </c>
      <c r="O40" s="47">
        <f>IF('Licenses'!F40="","",IF(AND(MONTH('Licenses'!F40)=12,YEAR('Licenses'!F40)=Settings!$B$40),'Licenses'!I40,""))</f>
        <v/>
      </c>
    </row>
    <row r="41" ht="18" customHeight="1">
      <c r="A41" s="44">
        <f>IF('Licenses'!A41="","",'Licenses'!A41)</f>
        <v/>
      </c>
      <c r="B41" s="44">
        <f>IF('Licenses'!B41="","",'Licenses'!B41)</f>
        <v/>
      </c>
      <c r="C41" s="44">
        <f>IF('Licenses'!D41="","",'Licenses'!D41)</f>
        <v/>
      </c>
      <c r="D41" s="45">
        <f>IF('Licenses'!F41="","",IF(AND(MONTH('Licenses'!F41)=1,YEAR('Licenses'!F41)=Settings!$B$40),'Licenses'!I41,""))</f>
        <v/>
      </c>
      <c r="E41" s="45">
        <f>IF('Licenses'!F41="","",IF(AND(MONTH('Licenses'!F41)=2,YEAR('Licenses'!F41)=Settings!$B$40),'Licenses'!I41,""))</f>
        <v/>
      </c>
      <c r="F41" s="45">
        <f>IF('Licenses'!F41="","",IF(AND(MONTH('Licenses'!F41)=3,YEAR('Licenses'!F41)=Settings!$B$40),'Licenses'!I41,""))</f>
        <v/>
      </c>
      <c r="G41" s="45">
        <f>IF('Licenses'!F41="","",IF(AND(MONTH('Licenses'!F41)=4,YEAR('Licenses'!F41)=Settings!$B$40),'Licenses'!I41,""))</f>
        <v/>
      </c>
      <c r="H41" s="45">
        <f>IF('Licenses'!F41="","",IF(AND(MONTH('Licenses'!F41)=5,YEAR('Licenses'!F41)=Settings!$B$40),'Licenses'!I41,""))</f>
        <v/>
      </c>
      <c r="I41" s="45">
        <f>IF('Licenses'!F41="","",IF(AND(MONTH('Licenses'!F41)=6,YEAR('Licenses'!F41)=Settings!$B$40),'Licenses'!I41,""))</f>
        <v/>
      </c>
      <c r="J41" s="45">
        <f>IF('Licenses'!F41="","",IF(AND(MONTH('Licenses'!F41)=7,YEAR('Licenses'!F41)=Settings!$B$40),'Licenses'!I41,""))</f>
        <v/>
      </c>
      <c r="K41" s="45">
        <f>IF('Licenses'!F41="","",IF(AND(MONTH('Licenses'!F41)=8,YEAR('Licenses'!F41)=Settings!$B$40),'Licenses'!I41,""))</f>
        <v/>
      </c>
      <c r="L41" s="45">
        <f>IF('Licenses'!F41="","",IF(AND(MONTH('Licenses'!F41)=9,YEAR('Licenses'!F41)=Settings!$B$40),'Licenses'!I41,""))</f>
        <v/>
      </c>
      <c r="M41" s="45">
        <f>IF('Licenses'!F41="","",IF(AND(MONTH('Licenses'!F41)=10,YEAR('Licenses'!F41)=Settings!$B$40),'Licenses'!I41,""))</f>
        <v/>
      </c>
      <c r="N41" s="45">
        <f>IF('Licenses'!F41="","",IF(AND(MONTH('Licenses'!F41)=11,YEAR('Licenses'!F41)=Settings!$B$40),'Licenses'!I41,""))</f>
        <v/>
      </c>
      <c r="O41" s="45">
        <f>IF('Licenses'!F41="","",IF(AND(MONTH('Licenses'!F41)=12,YEAR('Licenses'!F41)=Settings!$B$40),'Licenses'!I41,""))</f>
        <v/>
      </c>
    </row>
    <row r="42" ht="18" customHeight="1">
      <c r="A42" s="46">
        <f>IF('Licenses'!A42="","",'Licenses'!A42)</f>
        <v/>
      </c>
      <c r="B42" s="46">
        <f>IF('Licenses'!B42="","",'Licenses'!B42)</f>
        <v/>
      </c>
      <c r="C42" s="46">
        <f>IF('Licenses'!D42="","",'Licenses'!D42)</f>
        <v/>
      </c>
      <c r="D42" s="47">
        <f>IF('Licenses'!F42="","",IF(AND(MONTH('Licenses'!F42)=1,YEAR('Licenses'!F42)=Settings!$B$40),'Licenses'!I42,""))</f>
        <v/>
      </c>
      <c r="E42" s="47">
        <f>IF('Licenses'!F42="","",IF(AND(MONTH('Licenses'!F42)=2,YEAR('Licenses'!F42)=Settings!$B$40),'Licenses'!I42,""))</f>
        <v/>
      </c>
      <c r="F42" s="47">
        <f>IF('Licenses'!F42="","",IF(AND(MONTH('Licenses'!F42)=3,YEAR('Licenses'!F42)=Settings!$B$40),'Licenses'!I42,""))</f>
        <v/>
      </c>
      <c r="G42" s="47">
        <f>IF('Licenses'!F42="","",IF(AND(MONTH('Licenses'!F42)=4,YEAR('Licenses'!F42)=Settings!$B$40),'Licenses'!I42,""))</f>
        <v/>
      </c>
      <c r="H42" s="47">
        <f>IF('Licenses'!F42="","",IF(AND(MONTH('Licenses'!F42)=5,YEAR('Licenses'!F42)=Settings!$B$40),'Licenses'!I42,""))</f>
        <v/>
      </c>
      <c r="I42" s="47">
        <f>IF('Licenses'!F42="","",IF(AND(MONTH('Licenses'!F42)=6,YEAR('Licenses'!F42)=Settings!$B$40),'Licenses'!I42,""))</f>
        <v/>
      </c>
      <c r="J42" s="47">
        <f>IF('Licenses'!F42="","",IF(AND(MONTH('Licenses'!F42)=7,YEAR('Licenses'!F42)=Settings!$B$40),'Licenses'!I42,""))</f>
        <v/>
      </c>
      <c r="K42" s="47">
        <f>IF('Licenses'!F42="","",IF(AND(MONTH('Licenses'!F42)=8,YEAR('Licenses'!F42)=Settings!$B$40),'Licenses'!I42,""))</f>
        <v/>
      </c>
      <c r="L42" s="47">
        <f>IF('Licenses'!F42="","",IF(AND(MONTH('Licenses'!F42)=9,YEAR('Licenses'!F42)=Settings!$B$40),'Licenses'!I42,""))</f>
        <v/>
      </c>
      <c r="M42" s="47">
        <f>IF('Licenses'!F42="","",IF(AND(MONTH('Licenses'!F42)=10,YEAR('Licenses'!F42)=Settings!$B$40),'Licenses'!I42,""))</f>
        <v/>
      </c>
      <c r="N42" s="47">
        <f>IF('Licenses'!F42="","",IF(AND(MONTH('Licenses'!F42)=11,YEAR('Licenses'!F42)=Settings!$B$40),'Licenses'!I42,""))</f>
        <v/>
      </c>
      <c r="O42" s="47">
        <f>IF('Licenses'!F42="","",IF(AND(MONTH('Licenses'!F42)=12,YEAR('Licenses'!F42)=Settings!$B$40),'Licenses'!I42,""))</f>
        <v/>
      </c>
    </row>
    <row r="43" ht="18" customHeight="1">
      <c r="A43" s="44">
        <f>IF('Licenses'!A43="","",'Licenses'!A43)</f>
        <v/>
      </c>
      <c r="B43" s="44">
        <f>IF('Licenses'!B43="","",'Licenses'!B43)</f>
        <v/>
      </c>
      <c r="C43" s="44">
        <f>IF('Licenses'!D43="","",'Licenses'!D43)</f>
        <v/>
      </c>
      <c r="D43" s="45">
        <f>IF('Licenses'!F43="","",IF(AND(MONTH('Licenses'!F43)=1,YEAR('Licenses'!F43)=Settings!$B$40),'Licenses'!I43,""))</f>
        <v/>
      </c>
      <c r="E43" s="45">
        <f>IF('Licenses'!F43="","",IF(AND(MONTH('Licenses'!F43)=2,YEAR('Licenses'!F43)=Settings!$B$40),'Licenses'!I43,""))</f>
        <v/>
      </c>
      <c r="F43" s="45">
        <f>IF('Licenses'!F43="","",IF(AND(MONTH('Licenses'!F43)=3,YEAR('Licenses'!F43)=Settings!$B$40),'Licenses'!I43,""))</f>
        <v/>
      </c>
      <c r="G43" s="45">
        <f>IF('Licenses'!F43="","",IF(AND(MONTH('Licenses'!F43)=4,YEAR('Licenses'!F43)=Settings!$B$40),'Licenses'!I43,""))</f>
        <v/>
      </c>
      <c r="H43" s="45">
        <f>IF('Licenses'!F43="","",IF(AND(MONTH('Licenses'!F43)=5,YEAR('Licenses'!F43)=Settings!$B$40),'Licenses'!I43,""))</f>
        <v/>
      </c>
      <c r="I43" s="45">
        <f>IF('Licenses'!F43="","",IF(AND(MONTH('Licenses'!F43)=6,YEAR('Licenses'!F43)=Settings!$B$40),'Licenses'!I43,""))</f>
        <v/>
      </c>
      <c r="J43" s="45">
        <f>IF('Licenses'!F43="","",IF(AND(MONTH('Licenses'!F43)=7,YEAR('Licenses'!F43)=Settings!$B$40),'Licenses'!I43,""))</f>
        <v/>
      </c>
      <c r="K43" s="45">
        <f>IF('Licenses'!F43="","",IF(AND(MONTH('Licenses'!F43)=8,YEAR('Licenses'!F43)=Settings!$B$40),'Licenses'!I43,""))</f>
        <v/>
      </c>
      <c r="L43" s="45">
        <f>IF('Licenses'!F43="","",IF(AND(MONTH('Licenses'!F43)=9,YEAR('Licenses'!F43)=Settings!$B$40),'Licenses'!I43,""))</f>
        <v/>
      </c>
      <c r="M43" s="45">
        <f>IF('Licenses'!F43="","",IF(AND(MONTH('Licenses'!F43)=10,YEAR('Licenses'!F43)=Settings!$B$40),'Licenses'!I43,""))</f>
        <v/>
      </c>
      <c r="N43" s="45">
        <f>IF('Licenses'!F43="","",IF(AND(MONTH('Licenses'!F43)=11,YEAR('Licenses'!F43)=Settings!$B$40),'Licenses'!I43,""))</f>
        <v/>
      </c>
      <c r="O43" s="45">
        <f>IF('Licenses'!F43="","",IF(AND(MONTH('Licenses'!F43)=12,YEAR('Licenses'!F43)=Settings!$B$40),'Licenses'!I43,""))</f>
        <v/>
      </c>
    </row>
    <row r="44" ht="18" customHeight="1">
      <c r="A44" s="46">
        <f>IF('Licenses'!A44="","",'Licenses'!A44)</f>
        <v/>
      </c>
      <c r="B44" s="46">
        <f>IF('Licenses'!B44="","",'Licenses'!B44)</f>
        <v/>
      </c>
      <c r="C44" s="46">
        <f>IF('Licenses'!D44="","",'Licenses'!D44)</f>
        <v/>
      </c>
      <c r="D44" s="47">
        <f>IF('Licenses'!F44="","",IF(AND(MONTH('Licenses'!F44)=1,YEAR('Licenses'!F44)=Settings!$B$40),'Licenses'!I44,""))</f>
        <v/>
      </c>
      <c r="E44" s="47">
        <f>IF('Licenses'!F44="","",IF(AND(MONTH('Licenses'!F44)=2,YEAR('Licenses'!F44)=Settings!$B$40),'Licenses'!I44,""))</f>
        <v/>
      </c>
      <c r="F44" s="47">
        <f>IF('Licenses'!F44="","",IF(AND(MONTH('Licenses'!F44)=3,YEAR('Licenses'!F44)=Settings!$B$40),'Licenses'!I44,""))</f>
        <v/>
      </c>
      <c r="G44" s="47">
        <f>IF('Licenses'!F44="","",IF(AND(MONTH('Licenses'!F44)=4,YEAR('Licenses'!F44)=Settings!$B$40),'Licenses'!I44,""))</f>
        <v/>
      </c>
      <c r="H44" s="47">
        <f>IF('Licenses'!F44="","",IF(AND(MONTH('Licenses'!F44)=5,YEAR('Licenses'!F44)=Settings!$B$40),'Licenses'!I44,""))</f>
        <v/>
      </c>
      <c r="I44" s="47">
        <f>IF('Licenses'!F44="","",IF(AND(MONTH('Licenses'!F44)=6,YEAR('Licenses'!F44)=Settings!$B$40),'Licenses'!I44,""))</f>
        <v/>
      </c>
      <c r="J44" s="47">
        <f>IF('Licenses'!F44="","",IF(AND(MONTH('Licenses'!F44)=7,YEAR('Licenses'!F44)=Settings!$B$40),'Licenses'!I44,""))</f>
        <v/>
      </c>
      <c r="K44" s="47">
        <f>IF('Licenses'!F44="","",IF(AND(MONTH('Licenses'!F44)=8,YEAR('Licenses'!F44)=Settings!$B$40),'Licenses'!I44,""))</f>
        <v/>
      </c>
      <c r="L44" s="47">
        <f>IF('Licenses'!F44="","",IF(AND(MONTH('Licenses'!F44)=9,YEAR('Licenses'!F44)=Settings!$B$40),'Licenses'!I44,""))</f>
        <v/>
      </c>
      <c r="M44" s="47">
        <f>IF('Licenses'!F44="","",IF(AND(MONTH('Licenses'!F44)=10,YEAR('Licenses'!F44)=Settings!$B$40),'Licenses'!I44,""))</f>
        <v/>
      </c>
      <c r="N44" s="47">
        <f>IF('Licenses'!F44="","",IF(AND(MONTH('Licenses'!F44)=11,YEAR('Licenses'!F44)=Settings!$B$40),'Licenses'!I44,""))</f>
        <v/>
      </c>
      <c r="O44" s="47">
        <f>IF('Licenses'!F44="","",IF(AND(MONTH('Licenses'!F44)=12,YEAR('Licenses'!F44)=Settings!$B$40),'Licenses'!I44,""))</f>
        <v/>
      </c>
    </row>
    <row r="45" ht="18" customHeight="1">
      <c r="A45" s="44">
        <f>IF('Licenses'!A45="","",'Licenses'!A45)</f>
        <v/>
      </c>
      <c r="B45" s="44">
        <f>IF('Licenses'!B45="","",'Licenses'!B45)</f>
        <v/>
      </c>
      <c r="C45" s="44">
        <f>IF('Licenses'!D45="","",'Licenses'!D45)</f>
        <v/>
      </c>
      <c r="D45" s="45">
        <f>IF('Licenses'!F45="","",IF(AND(MONTH('Licenses'!F45)=1,YEAR('Licenses'!F45)=Settings!$B$40),'Licenses'!I45,""))</f>
        <v/>
      </c>
      <c r="E45" s="45">
        <f>IF('Licenses'!F45="","",IF(AND(MONTH('Licenses'!F45)=2,YEAR('Licenses'!F45)=Settings!$B$40),'Licenses'!I45,""))</f>
        <v/>
      </c>
      <c r="F45" s="45">
        <f>IF('Licenses'!F45="","",IF(AND(MONTH('Licenses'!F45)=3,YEAR('Licenses'!F45)=Settings!$B$40),'Licenses'!I45,""))</f>
        <v/>
      </c>
      <c r="G45" s="45">
        <f>IF('Licenses'!F45="","",IF(AND(MONTH('Licenses'!F45)=4,YEAR('Licenses'!F45)=Settings!$B$40),'Licenses'!I45,""))</f>
        <v/>
      </c>
      <c r="H45" s="45">
        <f>IF('Licenses'!F45="","",IF(AND(MONTH('Licenses'!F45)=5,YEAR('Licenses'!F45)=Settings!$B$40),'Licenses'!I45,""))</f>
        <v/>
      </c>
      <c r="I45" s="45">
        <f>IF('Licenses'!F45="","",IF(AND(MONTH('Licenses'!F45)=6,YEAR('Licenses'!F45)=Settings!$B$40),'Licenses'!I45,""))</f>
        <v/>
      </c>
      <c r="J45" s="45">
        <f>IF('Licenses'!F45="","",IF(AND(MONTH('Licenses'!F45)=7,YEAR('Licenses'!F45)=Settings!$B$40),'Licenses'!I45,""))</f>
        <v/>
      </c>
      <c r="K45" s="45">
        <f>IF('Licenses'!F45="","",IF(AND(MONTH('Licenses'!F45)=8,YEAR('Licenses'!F45)=Settings!$B$40),'Licenses'!I45,""))</f>
        <v/>
      </c>
      <c r="L45" s="45">
        <f>IF('Licenses'!F45="","",IF(AND(MONTH('Licenses'!F45)=9,YEAR('Licenses'!F45)=Settings!$B$40),'Licenses'!I45,""))</f>
        <v/>
      </c>
      <c r="M45" s="45">
        <f>IF('Licenses'!F45="","",IF(AND(MONTH('Licenses'!F45)=10,YEAR('Licenses'!F45)=Settings!$B$40),'Licenses'!I45,""))</f>
        <v/>
      </c>
      <c r="N45" s="45">
        <f>IF('Licenses'!F45="","",IF(AND(MONTH('Licenses'!F45)=11,YEAR('Licenses'!F45)=Settings!$B$40),'Licenses'!I45,""))</f>
        <v/>
      </c>
      <c r="O45" s="45">
        <f>IF('Licenses'!F45="","",IF(AND(MONTH('Licenses'!F45)=12,YEAR('Licenses'!F45)=Settings!$B$40),'Licenses'!I45,""))</f>
        <v/>
      </c>
    </row>
    <row r="46" ht="18" customHeight="1">
      <c r="A46" s="46">
        <f>IF('Licenses'!A46="","",'Licenses'!A46)</f>
        <v/>
      </c>
      <c r="B46" s="46">
        <f>IF('Licenses'!B46="","",'Licenses'!B46)</f>
        <v/>
      </c>
      <c r="C46" s="46">
        <f>IF('Licenses'!D46="","",'Licenses'!D46)</f>
        <v/>
      </c>
      <c r="D46" s="47">
        <f>IF('Licenses'!F46="","",IF(AND(MONTH('Licenses'!F46)=1,YEAR('Licenses'!F46)=Settings!$B$40),'Licenses'!I46,""))</f>
        <v/>
      </c>
      <c r="E46" s="47">
        <f>IF('Licenses'!F46="","",IF(AND(MONTH('Licenses'!F46)=2,YEAR('Licenses'!F46)=Settings!$B$40),'Licenses'!I46,""))</f>
        <v/>
      </c>
      <c r="F46" s="47">
        <f>IF('Licenses'!F46="","",IF(AND(MONTH('Licenses'!F46)=3,YEAR('Licenses'!F46)=Settings!$B$40),'Licenses'!I46,""))</f>
        <v/>
      </c>
      <c r="G46" s="47">
        <f>IF('Licenses'!F46="","",IF(AND(MONTH('Licenses'!F46)=4,YEAR('Licenses'!F46)=Settings!$B$40),'Licenses'!I46,""))</f>
        <v/>
      </c>
      <c r="H46" s="47">
        <f>IF('Licenses'!F46="","",IF(AND(MONTH('Licenses'!F46)=5,YEAR('Licenses'!F46)=Settings!$B$40),'Licenses'!I46,""))</f>
        <v/>
      </c>
      <c r="I46" s="47">
        <f>IF('Licenses'!F46="","",IF(AND(MONTH('Licenses'!F46)=6,YEAR('Licenses'!F46)=Settings!$B$40),'Licenses'!I46,""))</f>
        <v/>
      </c>
      <c r="J46" s="47">
        <f>IF('Licenses'!F46="","",IF(AND(MONTH('Licenses'!F46)=7,YEAR('Licenses'!F46)=Settings!$B$40),'Licenses'!I46,""))</f>
        <v/>
      </c>
      <c r="K46" s="47">
        <f>IF('Licenses'!F46="","",IF(AND(MONTH('Licenses'!F46)=8,YEAR('Licenses'!F46)=Settings!$B$40),'Licenses'!I46,""))</f>
        <v/>
      </c>
      <c r="L46" s="47">
        <f>IF('Licenses'!F46="","",IF(AND(MONTH('Licenses'!F46)=9,YEAR('Licenses'!F46)=Settings!$B$40),'Licenses'!I46,""))</f>
        <v/>
      </c>
      <c r="M46" s="47">
        <f>IF('Licenses'!F46="","",IF(AND(MONTH('Licenses'!F46)=10,YEAR('Licenses'!F46)=Settings!$B$40),'Licenses'!I46,""))</f>
        <v/>
      </c>
      <c r="N46" s="47">
        <f>IF('Licenses'!F46="","",IF(AND(MONTH('Licenses'!F46)=11,YEAR('Licenses'!F46)=Settings!$B$40),'Licenses'!I46,""))</f>
        <v/>
      </c>
      <c r="O46" s="47">
        <f>IF('Licenses'!F46="","",IF(AND(MONTH('Licenses'!F46)=12,YEAR('Licenses'!F46)=Settings!$B$40),'Licenses'!I46,""))</f>
        <v/>
      </c>
    </row>
    <row r="47" ht="18" customHeight="1">
      <c r="A47" s="44">
        <f>IF('Licenses'!A47="","",'Licenses'!A47)</f>
        <v/>
      </c>
      <c r="B47" s="44">
        <f>IF('Licenses'!B47="","",'Licenses'!B47)</f>
        <v/>
      </c>
      <c r="C47" s="44">
        <f>IF('Licenses'!D47="","",'Licenses'!D47)</f>
        <v/>
      </c>
      <c r="D47" s="45">
        <f>IF('Licenses'!F47="","",IF(AND(MONTH('Licenses'!F47)=1,YEAR('Licenses'!F47)=Settings!$B$40),'Licenses'!I47,""))</f>
        <v/>
      </c>
      <c r="E47" s="45">
        <f>IF('Licenses'!F47="","",IF(AND(MONTH('Licenses'!F47)=2,YEAR('Licenses'!F47)=Settings!$B$40),'Licenses'!I47,""))</f>
        <v/>
      </c>
      <c r="F47" s="45">
        <f>IF('Licenses'!F47="","",IF(AND(MONTH('Licenses'!F47)=3,YEAR('Licenses'!F47)=Settings!$B$40),'Licenses'!I47,""))</f>
        <v/>
      </c>
      <c r="G47" s="45">
        <f>IF('Licenses'!F47="","",IF(AND(MONTH('Licenses'!F47)=4,YEAR('Licenses'!F47)=Settings!$B$40),'Licenses'!I47,""))</f>
        <v/>
      </c>
      <c r="H47" s="45">
        <f>IF('Licenses'!F47="","",IF(AND(MONTH('Licenses'!F47)=5,YEAR('Licenses'!F47)=Settings!$B$40),'Licenses'!I47,""))</f>
        <v/>
      </c>
      <c r="I47" s="45">
        <f>IF('Licenses'!F47="","",IF(AND(MONTH('Licenses'!F47)=6,YEAR('Licenses'!F47)=Settings!$B$40),'Licenses'!I47,""))</f>
        <v/>
      </c>
      <c r="J47" s="45">
        <f>IF('Licenses'!F47="","",IF(AND(MONTH('Licenses'!F47)=7,YEAR('Licenses'!F47)=Settings!$B$40),'Licenses'!I47,""))</f>
        <v/>
      </c>
      <c r="K47" s="45">
        <f>IF('Licenses'!F47="","",IF(AND(MONTH('Licenses'!F47)=8,YEAR('Licenses'!F47)=Settings!$B$40),'Licenses'!I47,""))</f>
        <v/>
      </c>
      <c r="L47" s="45">
        <f>IF('Licenses'!F47="","",IF(AND(MONTH('Licenses'!F47)=9,YEAR('Licenses'!F47)=Settings!$B$40),'Licenses'!I47,""))</f>
        <v/>
      </c>
      <c r="M47" s="45">
        <f>IF('Licenses'!F47="","",IF(AND(MONTH('Licenses'!F47)=10,YEAR('Licenses'!F47)=Settings!$B$40),'Licenses'!I47,""))</f>
        <v/>
      </c>
      <c r="N47" s="45">
        <f>IF('Licenses'!F47="","",IF(AND(MONTH('Licenses'!F47)=11,YEAR('Licenses'!F47)=Settings!$B$40),'Licenses'!I47,""))</f>
        <v/>
      </c>
      <c r="O47" s="45">
        <f>IF('Licenses'!F47="","",IF(AND(MONTH('Licenses'!F47)=12,YEAR('Licenses'!F47)=Settings!$B$40),'Licenses'!I47,""))</f>
        <v/>
      </c>
    </row>
    <row r="48" ht="18" customHeight="1">
      <c r="A48" s="46">
        <f>IF('Licenses'!A48="","",'Licenses'!A48)</f>
        <v/>
      </c>
      <c r="B48" s="46">
        <f>IF('Licenses'!B48="","",'Licenses'!B48)</f>
        <v/>
      </c>
      <c r="C48" s="46">
        <f>IF('Licenses'!D48="","",'Licenses'!D48)</f>
        <v/>
      </c>
      <c r="D48" s="47">
        <f>IF('Licenses'!F48="","",IF(AND(MONTH('Licenses'!F48)=1,YEAR('Licenses'!F48)=Settings!$B$40),'Licenses'!I48,""))</f>
        <v/>
      </c>
      <c r="E48" s="47">
        <f>IF('Licenses'!F48="","",IF(AND(MONTH('Licenses'!F48)=2,YEAR('Licenses'!F48)=Settings!$B$40),'Licenses'!I48,""))</f>
        <v/>
      </c>
      <c r="F48" s="47">
        <f>IF('Licenses'!F48="","",IF(AND(MONTH('Licenses'!F48)=3,YEAR('Licenses'!F48)=Settings!$B$40),'Licenses'!I48,""))</f>
        <v/>
      </c>
      <c r="G48" s="47">
        <f>IF('Licenses'!F48="","",IF(AND(MONTH('Licenses'!F48)=4,YEAR('Licenses'!F48)=Settings!$B$40),'Licenses'!I48,""))</f>
        <v/>
      </c>
      <c r="H48" s="47">
        <f>IF('Licenses'!F48="","",IF(AND(MONTH('Licenses'!F48)=5,YEAR('Licenses'!F48)=Settings!$B$40),'Licenses'!I48,""))</f>
        <v/>
      </c>
      <c r="I48" s="47">
        <f>IF('Licenses'!F48="","",IF(AND(MONTH('Licenses'!F48)=6,YEAR('Licenses'!F48)=Settings!$B$40),'Licenses'!I48,""))</f>
        <v/>
      </c>
      <c r="J48" s="47">
        <f>IF('Licenses'!F48="","",IF(AND(MONTH('Licenses'!F48)=7,YEAR('Licenses'!F48)=Settings!$B$40),'Licenses'!I48,""))</f>
        <v/>
      </c>
      <c r="K48" s="47">
        <f>IF('Licenses'!F48="","",IF(AND(MONTH('Licenses'!F48)=8,YEAR('Licenses'!F48)=Settings!$B$40),'Licenses'!I48,""))</f>
        <v/>
      </c>
      <c r="L48" s="47">
        <f>IF('Licenses'!F48="","",IF(AND(MONTH('Licenses'!F48)=9,YEAR('Licenses'!F48)=Settings!$B$40),'Licenses'!I48,""))</f>
        <v/>
      </c>
      <c r="M48" s="47">
        <f>IF('Licenses'!F48="","",IF(AND(MONTH('Licenses'!F48)=10,YEAR('Licenses'!F48)=Settings!$B$40),'Licenses'!I48,""))</f>
        <v/>
      </c>
      <c r="N48" s="47">
        <f>IF('Licenses'!F48="","",IF(AND(MONTH('Licenses'!F48)=11,YEAR('Licenses'!F48)=Settings!$B$40),'Licenses'!I48,""))</f>
        <v/>
      </c>
      <c r="O48" s="47">
        <f>IF('Licenses'!F48="","",IF(AND(MONTH('Licenses'!F48)=12,YEAR('Licenses'!F48)=Settings!$B$40),'Licenses'!I48,""))</f>
        <v/>
      </c>
    </row>
    <row r="49" ht="18" customHeight="1">
      <c r="A49" s="44">
        <f>IF('Licenses'!A49="","",'Licenses'!A49)</f>
        <v/>
      </c>
      <c r="B49" s="44">
        <f>IF('Licenses'!B49="","",'Licenses'!B49)</f>
        <v/>
      </c>
      <c r="C49" s="44">
        <f>IF('Licenses'!D49="","",'Licenses'!D49)</f>
        <v/>
      </c>
      <c r="D49" s="45">
        <f>IF('Licenses'!F49="","",IF(AND(MONTH('Licenses'!F49)=1,YEAR('Licenses'!F49)=Settings!$B$40),'Licenses'!I49,""))</f>
        <v/>
      </c>
      <c r="E49" s="45">
        <f>IF('Licenses'!F49="","",IF(AND(MONTH('Licenses'!F49)=2,YEAR('Licenses'!F49)=Settings!$B$40),'Licenses'!I49,""))</f>
        <v/>
      </c>
      <c r="F49" s="45">
        <f>IF('Licenses'!F49="","",IF(AND(MONTH('Licenses'!F49)=3,YEAR('Licenses'!F49)=Settings!$B$40),'Licenses'!I49,""))</f>
        <v/>
      </c>
      <c r="G49" s="45">
        <f>IF('Licenses'!F49="","",IF(AND(MONTH('Licenses'!F49)=4,YEAR('Licenses'!F49)=Settings!$B$40),'Licenses'!I49,""))</f>
        <v/>
      </c>
      <c r="H49" s="45">
        <f>IF('Licenses'!F49="","",IF(AND(MONTH('Licenses'!F49)=5,YEAR('Licenses'!F49)=Settings!$B$40),'Licenses'!I49,""))</f>
        <v/>
      </c>
      <c r="I49" s="45">
        <f>IF('Licenses'!F49="","",IF(AND(MONTH('Licenses'!F49)=6,YEAR('Licenses'!F49)=Settings!$B$40),'Licenses'!I49,""))</f>
        <v/>
      </c>
      <c r="J49" s="45">
        <f>IF('Licenses'!F49="","",IF(AND(MONTH('Licenses'!F49)=7,YEAR('Licenses'!F49)=Settings!$B$40),'Licenses'!I49,""))</f>
        <v/>
      </c>
      <c r="K49" s="45">
        <f>IF('Licenses'!F49="","",IF(AND(MONTH('Licenses'!F49)=8,YEAR('Licenses'!F49)=Settings!$B$40),'Licenses'!I49,""))</f>
        <v/>
      </c>
      <c r="L49" s="45">
        <f>IF('Licenses'!F49="","",IF(AND(MONTH('Licenses'!F49)=9,YEAR('Licenses'!F49)=Settings!$B$40),'Licenses'!I49,""))</f>
        <v/>
      </c>
      <c r="M49" s="45">
        <f>IF('Licenses'!F49="","",IF(AND(MONTH('Licenses'!F49)=10,YEAR('Licenses'!F49)=Settings!$B$40),'Licenses'!I49,""))</f>
        <v/>
      </c>
      <c r="N49" s="45">
        <f>IF('Licenses'!F49="","",IF(AND(MONTH('Licenses'!F49)=11,YEAR('Licenses'!F49)=Settings!$B$40),'Licenses'!I49,""))</f>
        <v/>
      </c>
      <c r="O49" s="45">
        <f>IF('Licenses'!F49="","",IF(AND(MONTH('Licenses'!F49)=12,YEAR('Licenses'!F49)=Settings!$B$40),'Licenses'!I49,""))</f>
        <v/>
      </c>
    </row>
    <row r="50" ht="18" customHeight="1">
      <c r="A50" s="46">
        <f>IF('Licenses'!A50="","",'Licenses'!A50)</f>
        <v/>
      </c>
      <c r="B50" s="46">
        <f>IF('Licenses'!B50="","",'Licenses'!B50)</f>
        <v/>
      </c>
      <c r="C50" s="46">
        <f>IF('Licenses'!D50="","",'Licenses'!D50)</f>
        <v/>
      </c>
      <c r="D50" s="47">
        <f>IF('Licenses'!F50="","",IF(AND(MONTH('Licenses'!F50)=1,YEAR('Licenses'!F50)=Settings!$B$40),'Licenses'!I50,""))</f>
        <v/>
      </c>
      <c r="E50" s="47">
        <f>IF('Licenses'!F50="","",IF(AND(MONTH('Licenses'!F50)=2,YEAR('Licenses'!F50)=Settings!$B$40),'Licenses'!I50,""))</f>
        <v/>
      </c>
      <c r="F50" s="47">
        <f>IF('Licenses'!F50="","",IF(AND(MONTH('Licenses'!F50)=3,YEAR('Licenses'!F50)=Settings!$B$40),'Licenses'!I50,""))</f>
        <v/>
      </c>
      <c r="G50" s="47">
        <f>IF('Licenses'!F50="","",IF(AND(MONTH('Licenses'!F50)=4,YEAR('Licenses'!F50)=Settings!$B$40),'Licenses'!I50,""))</f>
        <v/>
      </c>
      <c r="H50" s="47">
        <f>IF('Licenses'!F50="","",IF(AND(MONTH('Licenses'!F50)=5,YEAR('Licenses'!F50)=Settings!$B$40),'Licenses'!I50,""))</f>
        <v/>
      </c>
      <c r="I50" s="47">
        <f>IF('Licenses'!F50="","",IF(AND(MONTH('Licenses'!F50)=6,YEAR('Licenses'!F50)=Settings!$B$40),'Licenses'!I50,""))</f>
        <v/>
      </c>
      <c r="J50" s="47">
        <f>IF('Licenses'!F50="","",IF(AND(MONTH('Licenses'!F50)=7,YEAR('Licenses'!F50)=Settings!$B$40),'Licenses'!I50,""))</f>
        <v/>
      </c>
      <c r="K50" s="47">
        <f>IF('Licenses'!F50="","",IF(AND(MONTH('Licenses'!F50)=8,YEAR('Licenses'!F50)=Settings!$B$40),'Licenses'!I50,""))</f>
        <v/>
      </c>
      <c r="L50" s="47">
        <f>IF('Licenses'!F50="","",IF(AND(MONTH('Licenses'!F50)=9,YEAR('Licenses'!F50)=Settings!$B$40),'Licenses'!I50,""))</f>
        <v/>
      </c>
      <c r="M50" s="47">
        <f>IF('Licenses'!F50="","",IF(AND(MONTH('Licenses'!F50)=10,YEAR('Licenses'!F50)=Settings!$B$40),'Licenses'!I50,""))</f>
        <v/>
      </c>
      <c r="N50" s="47">
        <f>IF('Licenses'!F50="","",IF(AND(MONTH('Licenses'!F50)=11,YEAR('Licenses'!F50)=Settings!$B$40),'Licenses'!I50,""))</f>
        <v/>
      </c>
      <c r="O50" s="47">
        <f>IF('Licenses'!F50="","",IF(AND(MONTH('Licenses'!F50)=12,YEAR('Licenses'!F50)=Settings!$B$40),'Licenses'!I50,""))</f>
        <v/>
      </c>
    </row>
    <row r="51" ht="18" customHeight="1">
      <c r="A51" s="44">
        <f>IF('Licenses'!A51="","",'Licenses'!A51)</f>
        <v/>
      </c>
      <c r="B51" s="44">
        <f>IF('Licenses'!B51="","",'Licenses'!B51)</f>
        <v/>
      </c>
      <c r="C51" s="44">
        <f>IF('Licenses'!D51="","",'Licenses'!D51)</f>
        <v/>
      </c>
      <c r="D51" s="45">
        <f>IF('Licenses'!F51="","",IF(AND(MONTH('Licenses'!F51)=1,YEAR('Licenses'!F51)=Settings!$B$40),'Licenses'!I51,""))</f>
        <v/>
      </c>
      <c r="E51" s="45">
        <f>IF('Licenses'!F51="","",IF(AND(MONTH('Licenses'!F51)=2,YEAR('Licenses'!F51)=Settings!$B$40),'Licenses'!I51,""))</f>
        <v/>
      </c>
      <c r="F51" s="45">
        <f>IF('Licenses'!F51="","",IF(AND(MONTH('Licenses'!F51)=3,YEAR('Licenses'!F51)=Settings!$B$40),'Licenses'!I51,""))</f>
        <v/>
      </c>
      <c r="G51" s="45">
        <f>IF('Licenses'!F51="","",IF(AND(MONTH('Licenses'!F51)=4,YEAR('Licenses'!F51)=Settings!$B$40),'Licenses'!I51,""))</f>
        <v/>
      </c>
      <c r="H51" s="45">
        <f>IF('Licenses'!F51="","",IF(AND(MONTH('Licenses'!F51)=5,YEAR('Licenses'!F51)=Settings!$B$40),'Licenses'!I51,""))</f>
        <v/>
      </c>
      <c r="I51" s="45">
        <f>IF('Licenses'!F51="","",IF(AND(MONTH('Licenses'!F51)=6,YEAR('Licenses'!F51)=Settings!$B$40),'Licenses'!I51,""))</f>
        <v/>
      </c>
      <c r="J51" s="45">
        <f>IF('Licenses'!F51="","",IF(AND(MONTH('Licenses'!F51)=7,YEAR('Licenses'!F51)=Settings!$B$40),'Licenses'!I51,""))</f>
        <v/>
      </c>
      <c r="K51" s="45">
        <f>IF('Licenses'!F51="","",IF(AND(MONTH('Licenses'!F51)=8,YEAR('Licenses'!F51)=Settings!$B$40),'Licenses'!I51,""))</f>
        <v/>
      </c>
      <c r="L51" s="45">
        <f>IF('Licenses'!F51="","",IF(AND(MONTH('Licenses'!F51)=9,YEAR('Licenses'!F51)=Settings!$B$40),'Licenses'!I51,""))</f>
        <v/>
      </c>
      <c r="M51" s="45">
        <f>IF('Licenses'!F51="","",IF(AND(MONTH('Licenses'!F51)=10,YEAR('Licenses'!F51)=Settings!$B$40),'Licenses'!I51,""))</f>
        <v/>
      </c>
      <c r="N51" s="45">
        <f>IF('Licenses'!F51="","",IF(AND(MONTH('Licenses'!F51)=11,YEAR('Licenses'!F51)=Settings!$B$40),'Licenses'!I51,""))</f>
        <v/>
      </c>
      <c r="O51" s="45">
        <f>IF('Licenses'!F51="","",IF(AND(MONTH('Licenses'!F51)=12,YEAR('Licenses'!F51)=Settings!$B$40),'Licenses'!I51,""))</f>
        <v/>
      </c>
    </row>
    <row r="52" ht="18" customHeight="1">
      <c r="A52" s="46">
        <f>IF('Licenses'!A52="","",'Licenses'!A52)</f>
        <v/>
      </c>
      <c r="B52" s="46">
        <f>IF('Licenses'!B52="","",'Licenses'!B52)</f>
        <v/>
      </c>
      <c r="C52" s="46">
        <f>IF('Licenses'!D52="","",'Licenses'!D52)</f>
        <v/>
      </c>
      <c r="D52" s="47">
        <f>IF('Licenses'!F52="","",IF(AND(MONTH('Licenses'!F52)=1,YEAR('Licenses'!F52)=Settings!$B$40),'Licenses'!I52,""))</f>
        <v/>
      </c>
      <c r="E52" s="47">
        <f>IF('Licenses'!F52="","",IF(AND(MONTH('Licenses'!F52)=2,YEAR('Licenses'!F52)=Settings!$B$40),'Licenses'!I52,""))</f>
        <v/>
      </c>
      <c r="F52" s="47">
        <f>IF('Licenses'!F52="","",IF(AND(MONTH('Licenses'!F52)=3,YEAR('Licenses'!F52)=Settings!$B$40),'Licenses'!I52,""))</f>
        <v/>
      </c>
      <c r="G52" s="47">
        <f>IF('Licenses'!F52="","",IF(AND(MONTH('Licenses'!F52)=4,YEAR('Licenses'!F52)=Settings!$B$40),'Licenses'!I52,""))</f>
        <v/>
      </c>
      <c r="H52" s="47">
        <f>IF('Licenses'!F52="","",IF(AND(MONTH('Licenses'!F52)=5,YEAR('Licenses'!F52)=Settings!$B$40),'Licenses'!I52,""))</f>
        <v/>
      </c>
      <c r="I52" s="47">
        <f>IF('Licenses'!F52="","",IF(AND(MONTH('Licenses'!F52)=6,YEAR('Licenses'!F52)=Settings!$B$40),'Licenses'!I52,""))</f>
        <v/>
      </c>
      <c r="J52" s="47">
        <f>IF('Licenses'!F52="","",IF(AND(MONTH('Licenses'!F52)=7,YEAR('Licenses'!F52)=Settings!$B$40),'Licenses'!I52,""))</f>
        <v/>
      </c>
      <c r="K52" s="47">
        <f>IF('Licenses'!F52="","",IF(AND(MONTH('Licenses'!F52)=8,YEAR('Licenses'!F52)=Settings!$B$40),'Licenses'!I52,""))</f>
        <v/>
      </c>
      <c r="L52" s="47">
        <f>IF('Licenses'!F52="","",IF(AND(MONTH('Licenses'!F52)=9,YEAR('Licenses'!F52)=Settings!$B$40),'Licenses'!I52,""))</f>
        <v/>
      </c>
      <c r="M52" s="47">
        <f>IF('Licenses'!F52="","",IF(AND(MONTH('Licenses'!F52)=10,YEAR('Licenses'!F52)=Settings!$B$40),'Licenses'!I52,""))</f>
        <v/>
      </c>
      <c r="N52" s="47">
        <f>IF('Licenses'!F52="","",IF(AND(MONTH('Licenses'!F52)=11,YEAR('Licenses'!F52)=Settings!$B$40),'Licenses'!I52,""))</f>
        <v/>
      </c>
      <c r="O52" s="47">
        <f>IF('Licenses'!F52="","",IF(AND(MONTH('Licenses'!F52)=12,YEAR('Licenses'!F52)=Settings!$B$40),'Licenses'!I52,""))</f>
        <v/>
      </c>
    </row>
    <row r="53" ht="18" customHeight="1">
      <c r="A53" s="44">
        <f>IF('Licenses'!A53="","",'Licenses'!A53)</f>
        <v/>
      </c>
      <c r="B53" s="44">
        <f>IF('Licenses'!B53="","",'Licenses'!B53)</f>
        <v/>
      </c>
      <c r="C53" s="44">
        <f>IF('Licenses'!D53="","",'Licenses'!D53)</f>
        <v/>
      </c>
      <c r="D53" s="45">
        <f>IF('Licenses'!F53="","",IF(AND(MONTH('Licenses'!F53)=1,YEAR('Licenses'!F53)=Settings!$B$40),'Licenses'!I53,""))</f>
        <v/>
      </c>
      <c r="E53" s="45">
        <f>IF('Licenses'!F53="","",IF(AND(MONTH('Licenses'!F53)=2,YEAR('Licenses'!F53)=Settings!$B$40),'Licenses'!I53,""))</f>
        <v/>
      </c>
      <c r="F53" s="45">
        <f>IF('Licenses'!F53="","",IF(AND(MONTH('Licenses'!F53)=3,YEAR('Licenses'!F53)=Settings!$B$40),'Licenses'!I53,""))</f>
        <v/>
      </c>
      <c r="G53" s="45">
        <f>IF('Licenses'!F53="","",IF(AND(MONTH('Licenses'!F53)=4,YEAR('Licenses'!F53)=Settings!$B$40),'Licenses'!I53,""))</f>
        <v/>
      </c>
      <c r="H53" s="45">
        <f>IF('Licenses'!F53="","",IF(AND(MONTH('Licenses'!F53)=5,YEAR('Licenses'!F53)=Settings!$B$40),'Licenses'!I53,""))</f>
        <v/>
      </c>
      <c r="I53" s="45">
        <f>IF('Licenses'!F53="","",IF(AND(MONTH('Licenses'!F53)=6,YEAR('Licenses'!F53)=Settings!$B$40),'Licenses'!I53,""))</f>
        <v/>
      </c>
      <c r="J53" s="45">
        <f>IF('Licenses'!F53="","",IF(AND(MONTH('Licenses'!F53)=7,YEAR('Licenses'!F53)=Settings!$B$40),'Licenses'!I53,""))</f>
        <v/>
      </c>
      <c r="K53" s="45">
        <f>IF('Licenses'!F53="","",IF(AND(MONTH('Licenses'!F53)=8,YEAR('Licenses'!F53)=Settings!$B$40),'Licenses'!I53,""))</f>
        <v/>
      </c>
      <c r="L53" s="45">
        <f>IF('Licenses'!F53="","",IF(AND(MONTH('Licenses'!F53)=9,YEAR('Licenses'!F53)=Settings!$B$40),'Licenses'!I53,""))</f>
        <v/>
      </c>
      <c r="M53" s="45">
        <f>IF('Licenses'!F53="","",IF(AND(MONTH('Licenses'!F53)=10,YEAR('Licenses'!F53)=Settings!$B$40),'Licenses'!I53,""))</f>
        <v/>
      </c>
      <c r="N53" s="45">
        <f>IF('Licenses'!F53="","",IF(AND(MONTH('Licenses'!F53)=11,YEAR('Licenses'!F53)=Settings!$B$40),'Licenses'!I53,""))</f>
        <v/>
      </c>
      <c r="O53" s="45">
        <f>IF('Licenses'!F53="","",IF(AND(MONTH('Licenses'!F53)=12,YEAR('Licenses'!F53)=Settings!$B$40),'Licenses'!I53,""))</f>
        <v/>
      </c>
    </row>
    <row r="54" ht="18" customHeight="1">
      <c r="A54" s="46">
        <f>IF('Licenses'!A54="","",'Licenses'!A54)</f>
        <v/>
      </c>
      <c r="B54" s="46">
        <f>IF('Licenses'!B54="","",'Licenses'!B54)</f>
        <v/>
      </c>
      <c r="C54" s="46">
        <f>IF('Licenses'!D54="","",'Licenses'!D54)</f>
        <v/>
      </c>
      <c r="D54" s="47">
        <f>IF('Licenses'!F54="","",IF(AND(MONTH('Licenses'!F54)=1,YEAR('Licenses'!F54)=Settings!$B$40),'Licenses'!I54,""))</f>
        <v/>
      </c>
      <c r="E54" s="47">
        <f>IF('Licenses'!F54="","",IF(AND(MONTH('Licenses'!F54)=2,YEAR('Licenses'!F54)=Settings!$B$40),'Licenses'!I54,""))</f>
        <v/>
      </c>
      <c r="F54" s="47">
        <f>IF('Licenses'!F54="","",IF(AND(MONTH('Licenses'!F54)=3,YEAR('Licenses'!F54)=Settings!$B$40),'Licenses'!I54,""))</f>
        <v/>
      </c>
      <c r="G54" s="47">
        <f>IF('Licenses'!F54="","",IF(AND(MONTH('Licenses'!F54)=4,YEAR('Licenses'!F54)=Settings!$B$40),'Licenses'!I54,""))</f>
        <v/>
      </c>
      <c r="H54" s="47">
        <f>IF('Licenses'!F54="","",IF(AND(MONTH('Licenses'!F54)=5,YEAR('Licenses'!F54)=Settings!$B$40),'Licenses'!I54,""))</f>
        <v/>
      </c>
      <c r="I54" s="47">
        <f>IF('Licenses'!F54="","",IF(AND(MONTH('Licenses'!F54)=6,YEAR('Licenses'!F54)=Settings!$B$40),'Licenses'!I54,""))</f>
        <v/>
      </c>
      <c r="J54" s="47">
        <f>IF('Licenses'!F54="","",IF(AND(MONTH('Licenses'!F54)=7,YEAR('Licenses'!F54)=Settings!$B$40),'Licenses'!I54,""))</f>
        <v/>
      </c>
      <c r="K54" s="47">
        <f>IF('Licenses'!F54="","",IF(AND(MONTH('Licenses'!F54)=8,YEAR('Licenses'!F54)=Settings!$B$40),'Licenses'!I54,""))</f>
        <v/>
      </c>
      <c r="L54" s="47">
        <f>IF('Licenses'!F54="","",IF(AND(MONTH('Licenses'!F54)=9,YEAR('Licenses'!F54)=Settings!$B$40),'Licenses'!I54,""))</f>
        <v/>
      </c>
      <c r="M54" s="47">
        <f>IF('Licenses'!F54="","",IF(AND(MONTH('Licenses'!F54)=10,YEAR('Licenses'!F54)=Settings!$B$40),'Licenses'!I54,""))</f>
        <v/>
      </c>
      <c r="N54" s="47">
        <f>IF('Licenses'!F54="","",IF(AND(MONTH('Licenses'!F54)=11,YEAR('Licenses'!F54)=Settings!$B$40),'Licenses'!I54,""))</f>
        <v/>
      </c>
      <c r="O54" s="47">
        <f>IF('Licenses'!F54="","",IF(AND(MONTH('Licenses'!F54)=12,YEAR('Licenses'!F54)=Settings!$B$40),'Licenses'!I54,""))</f>
        <v/>
      </c>
    </row>
    <row r="55" ht="18" customHeight="1">
      <c r="A55" s="44">
        <f>IF('Licenses'!A55="","",'Licenses'!A55)</f>
        <v/>
      </c>
      <c r="B55" s="44">
        <f>IF('Licenses'!B55="","",'Licenses'!B55)</f>
        <v/>
      </c>
      <c r="C55" s="44">
        <f>IF('Licenses'!D55="","",'Licenses'!D55)</f>
        <v/>
      </c>
      <c r="D55" s="45">
        <f>IF('Licenses'!F55="","",IF(AND(MONTH('Licenses'!F55)=1,YEAR('Licenses'!F55)=Settings!$B$40),'Licenses'!I55,""))</f>
        <v/>
      </c>
      <c r="E55" s="45">
        <f>IF('Licenses'!F55="","",IF(AND(MONTH('Licenses'!F55)=2,YEAR('Licenses'!F55)=Settings!$B$40),'Licenses'!I55,""))</f>
        <v/>
      </c>
      <c r="F55" s="45">
        <f>IF('Licenses'!F55="","",IF(AND(MONTH('Licenses'!F55)=3,YEAR('Licenses'!F55)=Settings!$B$40),'Licenses'!I55,""))</f>
        <v/>
      </c>
      <c r="G55" s="45">
        <f>IF('Licenses'!F55="","",IF(AND(MONTH('Licenses'!F55)=4,YEAR('Licenses'!F55)=Settings!$B$40),'Licenses'!I55,""))</f>
        <v/>
      </c>
      <c r="H55" s="45">
        <f>IF('Licenses'!F55="","",IF(AND(MONTH('Licenses'!F55)=5,YEAR('Licenses'!F55)=Settings!$B$40),'Licenses'!I55,""))</f>
        <v/>
      </c>
      <c r="I55" s="45">
        <f>IF('Licenses'!F55="","",IF(AND(MONTH('Licenses'!F55)=6,YEAR('Licenses'!F55)=Settings!$B$40),'Licenses'!I55,""))</f>
        <v/>
      </c>
      <c r="J55" s="45">
        <f>IF('Licenses'!F55="","",IF(AND(MONTH('Licenses'!F55)=7,YEAR('Licenses'!F55)=Settings!$B$40),'Licenses'!I55,""))</f>
        <v/>
      </c>
      <c r="K55" s="45">
        <f>IF('Licenses'!F55="","",IF(AND(MONTH('Licenses'!F55)=8,YEAR('Licenses'!F55)=Settings!$B$40),'Licenses'!I55,""))</f>
        <v/>
      </c>
      <c r="L55" s="45">
        <f>IF('Licenses'!F55="","",IF(AND(MONTH('Licenses'!F55)=9,YEAR('Licenses'!F55)=Settings!$B$40),'Licenses'!I55,""))</f>
        <v/>
      </c>
      <c r="M55" s="45">
        <f>IF('Licenses'!F55="","",IF(AND(MONTH('Licenses'!F55)=10,YEAR('Licenses'!F55)=Settings!$B$40),'Licenses'!I55,""))</f>
        <v/>
      </c>
      <c r="N55" s="45">
        <f>IF('Licenses'!F55="","",IF(AND(MONTH('Licenses'!F55)=11,YEAR('Licenses'!F55)=Settings!$B$40),'Licenses'!I55,""))</f>
        <v/>
      </c>
      <c r="O55" s="45">
        <f>IF('Licenses'!F55="","",IF(AND(MONTH('Licenses'!F55)=12,YEAR('Licenses'!F55)=Settings!$B$40),'Licenses'!I55,""))</f>
        <v/>
      </c>
    </row>
    <row r="56" ht="18" customHeight="1">
      <c r="A56" s="46">
        <f>IF('Licenses'!A56="","",'Licenses'!A56)</f>
        <v/>
      </c>
      <c r="B56" s="46">
        <f>IF('Licenses'!B56="","",'Licenses'!B56)</f>
        <v/>
      </c>
      <c r="C56" s="46">
        <f>IF('Licenses'!D56="","",'Licenses'!D56)</f>
        <v/>
      </c>
      <c r="D56" s="47">
        <f>IF('Licenses'!F56="","",IF(AND(MONTH('Licenses'!F56)=1,YEAR('Licenses'!F56)=Settings!$B$40),'Licenses'!I56,""))</f>
        <v/>
      </c>
      <c r="E56" s="47">
        <f>IF('Licenses'!F56="","",IF(AND(MONTH('Licenses'!F56)=2,YEAR('Licenses'!F56)=Settings!$B$40),'Licenses'!I56,""))</f>
        <v/>
      </c>
      <c r="F56" s="47">
        <f>IF('Licenses'!F56="","",IF(AND(MONTH('Licenses'!F56)=3,YEAR('Licenses'!F56)=Settings!$B$40),'Licenses'!I56,""))</f>
        <v/>
      </c>
      <c r="G56" s="47">
        <f>IF('Licenses'!F56="","",IF(AND(MONTH('Licenses'!F56)=4,YEAR('Licenses'!F56)=Settings!$B$40),'Licenses'!I56,""))</f>
        <v/>
      </c>
      <c r="H56" s="47">
        <f>IF('Licenses'!F56="","",IF(AND(MONTH('Licenses'!F56)=5,YEAR('Licenses'!F56)=Settings!$B$40),'Licenses'!I56,""))</f>
        <v/>
      </c>
      <c r="I56" s="47">
        <f>IF('Licenses'!F56="","",IF(AND(MONTH('Licenses'!F56)=6,YEAR('Licenses'!F56)=Settings!$B$40),'Licenses'!I56,""))</f>
        <v/>
      </c>
      <c r="J56" s="47">
        <f>IF('Licenses'!F56="","",IF(AND(MONTH('Licenses'!F56)=7,YEAR('Licenses'!F56)=Settings!$B$40),'Licenses'!I56,""))</f>
        <v/>
      </c>
      <c r="K56" s="47">
        <f>IF('Licenses'!F56="","",IF(AND(MONTH('Licenses'!F56)=8,YEAR('Licenses'!F56)=Settings!$B$40),'Licenses'!I56,""))</f>
        <v/>
      </c>
      <c r="L56" s="47">
        <f>IF('Licenses'!F56="","",IF(AND(MONTH('Licenses'!F56)=9,YEAR('Licenses'!F56)=Settings!$B$40),'Licenses'!I56,""))</f>
        <v/>
      </c>
      <c r="M56" s="47">
        <f>IF('Licenses'!F56="","",IF(AND(MONTH('Licenses'!F56)=10,YEAR('Licenses'!F56)=Settings!$B$40),'Licenses'!I56,""))</f>
        <v/>
      </c>
      <c r="N56" s="47">
        <f>IF('Licenses'!F56="","",IF(AND(MONTH('Licenses'!F56)=11,YEAR('Licenses'!F56)=Settings!$B$40),'Licenses'!I56,""))</f>
        <v/>
      </c>
      <c r="O56" s="47">
        <f>IF('Licenses'!F56="","",IF(AND(MONTH('Licenses'!F56)=12,YEAR('Licenses'!F56)=Settings!$B$40),'Licenses'!I56,""))</f>
        <v/>
      </c>
    </row>
    <row r="57" ht="18" customHeight="1">
      <c r="A57" s="44">
        <f>IF('Licenses'!A57="","",'Licenses'!A57)</f>
        <v/>
      </c>
      <c r="B57" s="44">
        <f>IF('Licenses'!B57="","",'Licenses'!B57)</f>
        <v/>
      </c>
      <c r="C57" s="44">
        <f>IF('Licenses'!D57="","",'Licenses'!D57)</f>
        <v/>
      </c>
      <c r="D57" s="45">
        <f>IF('Licenses'!F57="","",IF(AND(MONTH('Licenses'!F57)=1,YEAR('Licenses'!F57)=Settings!$B$40),'Licenses'!I57,""))</f>
        <v/>
      </c>
      <c r="E57" s="45">
        <f>IF('Licenses'!F57="","",IF(AND(MONTH('Licenses'!F57)=2,YEAR('Licenses'!F57)=Settings!$B$40),'Licenses'!I57,""))</f>
        <v/>
      </c>
      <c r="F57" s="45">
        <f>IF('Licenses'!F57="","",IF(AND(MONTH('Licenses'!F57)=3,YEAR('Licenses'!F57)=Settings!$B$40),'Licenses'!I57,""))</f>
        <v/>
      </c>
      <c r="G57" s="45">
        <f>IF('Licenses'!F57="","",IF(AND(MONTH('Licenses'!F57)=4,YEAR('Licenses'!F57)=Settings!$B$40),'Licenses'!I57,""))</f>
        <v/>
      </c>
      <c r="H57" s="45">
        <f>IF('Licenses'!F57="","",IF(AND(MONTH('Licenses'!F57)=5,YEAR('Licenses'!F57)=Settings!$B$40),'Licenses'!I57,""))</f>
        <v/>
      </c>
      <c r="I57" s="45">
        <f>IF('Licenses'!F57="","",IF(AND(MONTH('Licenses'!F57)=6,YEAR('Licenses'!F57)=Settings!$B$40),'Licenses'!I57,""))</f>
        <v/>
      </c>
      <c r="J57" s="45">
        <f>IF('Licenses'!F57="","",IF(AND(MONTH('Licenses'!F57)=7,YEAR('Licenses'!F57)=Settings!$B$40),'Licenses'!I57,""))</f>
        <v/>
      </c>
      <c r="K57" s="45">
        <f>IF('Licenses'!F57="","",IF(AND(MONTH('Licenses'!F57)=8,YEAR('Licenses'!F57)=Settings!$B$40),'Licenses'!I57,""))</f>
        <v/>
      </c>
      <c r="L57" s="45">
        <f>IF('Licenses'!F57="","",IF(AND(MONTH('Licenses'!F57)=9,YEAR('Licenses'!F57)=Settings!$B$40),'Licenses'!I57,""))</f>
        <v/>
      </c>
      <c r="M57" s="45">
        <f>IF('Licenses'!F57="","",IF(AND(MONTH('Licenses'!F57)=10,YEAR('Licenses'!F57)=Settings!$B$40),'Licenses'!I57,""))</f>
        <v/>
      </c>
      <c r="N57" s="45">
        <f>IF('Licenses'!F57="","",IF(AND(MONTH('Licenses'!F57)=11,YEAR('Licenses'!F57)=Settings!$B$40),'Licenses'!I57,""))</f>
        <v/>
      </c>
      <c r="O57" s="45">
        <f>IF('Licenses'!F57="","",IF(AND(MONTH('Licenses'!F57)=12,YEAR('Licenses'!F57)=Settings!$B$40),'Licenses'!I57,""))</f>
        <v/>
      </c>
    </row>
    <row r="58" ht="18" customHeight="1">
      <c r="A58" s="46">
        <f>IF('Licenses'!A58="","",'Licenses'!A58)</f>
        <v/>
      </c>
      <c r="B58" s="46">
        <f>IF('Licenses'!B58="","",'Licenses'!B58)</f>
        <v/>
      </c>
      <c r="C58" s="46">
        <f>IF('Licenses'!D58="","",'Licenses'!D58)</f>
        <v/>
      </c>
      <c r="D58" s="47">
        <f>IF('Licenses'!F58="","",IF(AND(MONTH('Licenses'!F58)=1,YEAR('Licenses'!F58)=Settings!$B$40),'Licenses'!I58,""))</f>
        <v/>
      </c>
      <c r="E58" s="47">
        <f>IF('Licenses'!F58="","",IF(AND(MONTH('Licenses'!F58)=2,YEAR('Licenses'!F58)=Settings!$B$40),'Licenses'!I58,""))</f>
        <v/>
      </c>
      <c r="F58" s="47">
        <f>IF('Licenses'!F58="","",IF(AND(MONTH('Licenses'!F58)=3,YEAR('Licenses'!F58)=Settings!$B$40),'Licenses'!I58,""))</f>
        <v/>
      </c>
      <c r="G58" s="47">
        <f>IF('Licenses'!F58="","",IF(AND(MONTH('Licenses'!F58)=4,YEAR('Licenses'!F58)=Settings!$B$40),'Licenses'!I58,""))</f>
        <v/>
      </c>
      <c r="H58" s="47">
        <f>IF('Licenses'!F58="","",IF(AND(MONTH('Licenses'!F58)=5,YEAR('Licenses'!F58)=Settings!$B$40),'Licenses'!I58,""))</f>
        <v/>
      </c>
      <c r="I58" s="47">
        <f>IF('Licenses'!F58="","",IF(AND(MONTH('Licenses'!F58)=6,YEAR('Licenses'!F58)=Settings!$B$40),'Licenses'!I58,""))</f>
        <v/>
      </c>
      <c r="J58" s="47">
        <f>IF('Licenses'!F58="","",IF(AND(MONTH('Licenses'!F58)=7,YEAR('Licenses'!F58)=Settings!$B$40),'Licenses'!I58,""))</f>
        <v/>
      </c>
      <c r="K58" s="47">
        <f>IF('Licenses'!F58="","",IF(AND(MONTH('Licenses'!F58)=8,YEAR('Licenses'!F58)=Settings!$B$40),'Licenses'!I58,""))</f>
        <v/>
      </c>
      <c r="L58" s="47">
        <f>IF('Licenses'!F58="","",IF(AND(MONTH('Licenses'!F58)=9,YEAR('Licenses'!F58)=Settings!$B$40),'Licenses'!I58,""))</f>
        <v/>
      </c>
      <c r="M58" s="47">
        <f>IF('Licenses'!F58="","",IF(AND(MONTH('Licenses'!F58)=10,YEAR('Licenses'!F58)=Settings!$B$40),'Licenses'!I58,""))</f>
        <v/>
      </c>
      <c r="N58" s="47">
        <f>IF('Licenses'!F58="","",IF(AND(MONTH('Licenses'!F58)=11,YEAR('Licenses'!F58)=Settings!$B$40),'Licenses'!I58,""))</f>
        <v/>
      </c>
      <c r="O58" s="47">
        <f>IF('Licenses'!F58="","",IF(AND(MONTH('Licenses'!F58)=12,YEAR('Licenses'!F58)=Settings!$B$40),'Licenses'!I58,""))</f>
        <v/>
      </c>
    </row>
    <row r="59" ht="18" customHeight="1">
      <c r="A59" s="44">
        <f>IF('Licenses'!A59="","",'Licenses'!A59)</f>
        <v/>
      </c>
      <c r="B59" s="44">
        <f>IF('Licenses'!B59="","",'Licenses'!B59)</f>
        <v/>
      </c>
      <c r="C59" s="44">
        <f>IF('Licenses'!D59="","",'Licenses'!D59)</f>
        <v/>
      </c>
      <c r="D59" s="45">
        <f>IF('Licenses'!F59="","",IF(AND(MONTH('Licenses'!F59)=1,YEAR('Licenses'!F59)=Settings!$B$40),'Licenses'!I59,""))</f>
        <v/>
      </c>
      <c r="E59" s="45">
        <f>IF('Licenses'!F59="","",IF(AND(MONTH('Licenses'!F59)=2,YEAR('Licenses'!F59)=Settings!$B$40),'Licenses'!I59,""))</f>
        <v/>
      </c>
      <c r="F59" s="45">
        <f>IF('Licenses'!F59="","",IF(AND(MONTH('Licenses'!F59)=3,YEAR('Licenses'!F59)=Settings!$B$40),'Licenses'!I59,""))</f>
        <v/>
      </c>
      <c r="G59" s="45">
        <f>IF('Licenses'!F59="","",IF(AND(MONTH('Licenses'!F59)=4,YEAR('Licenses'!F59)=Settings!$B$40),'Licenses'!I59,""))</f>
        <v/>
      </c>
      <c r="H59" s="45">
        <f>IF('Licenses'!F59="","",IF(AND(MONTH('Licenses'!F59)=5,YEAR('Licenses'!F59)=Settings!$B$40),'Licenses'!I59,""))</f>
        <v/>
      </c>
      <c r="I59" s="45">
        <f>IF('Licenses'!F59="","",IF(AND(MONTH('Licenses'!F59)=6,YEAR('Licenses'!F59)=Settings!$B$40),'Licenses'!I59,""))</f>
        <v/>
      </c>
      <c r="J59" s="45">
        <f>IF('Licenses'!F59="","",IF(AND(MONTH('Licenses'!F59)=7,YEAR('Licenses'!F59)=Settings!$B$40),'Licenses'!I59,""))</f>
        <v/>
      </c>
      <c r="K59" s="45">
        <f>IF('Licenses'!F59="","",IF(AND(MONTH('Licenses'!F59)=8,YEAR('Licenses'!F59)=Settings!$B$40),'Licenses'!I59,""))</f>
        <v/>
      </c>
      <c r="L59" s="45">
        <f>IF('Licenses'!F59="","",IF(AND(MONTH('Licenses'!F59)=9,YEAR('Licenses'!F59)=Settings!$B$40),'Licenses'!I59,""))</f>
        <v/>
      </c>
      <c r="M59" s="45">
        <f>IF('Licenses'!F59="","",IF(AND(MONTH('Licenses'!F59)=10,YEAR('Licenses'!F59)=Settings!$B$40),'Licenses'!I59,""))</f>
        <v/>
      </c>
      <c r="N59" s="45">
        <f>IF('Licenses'!F59="","",IF(AND(MONTH('Licenses'!F59)=11,YEAR('Licenses'!F59)=Settings!$B$40),'Licenses'!I59,""))</f>
        <v/>
      </c>
      <c r="O59" s="45">
        <f>IF('Licenses'!F59="","",IF(AND(MONTH('Licenses'!F59)=12,YEAR('Licenses'!F59)=Settings!$B$40),'Licenses'!I59,""))</f>
        <v/>
      </c>
    </row>
    <row r="60" ht="18" customHeight="1">
      <c r="A60" s="46">
        <f>IF('Licenses'!A60="","",'Licenses'!A60)</f>
        <v/>
      </c>
      <c r="B60" s="46">
        <f>IF('Licenses'!B60="","",'Licenses'!B60)</f>
        <v/>
      </c>
      <c r="C60" s="46">
        <f>IF('Licenses'!D60="","",'Licenses'!D60)</f>
        <v/>
      </c>
      <c r="D60" s="47">
        <f>IF('Licenses'!F60="","",IF(AND(MONTH('Licenses'!F60)=1,YEAR('Licenses'!F60)=Settings!$B$40),'Licenses'!I60,""))</f>
        <v/>
      </c>
      <c r="E60" s="47">
        <f>IF('Licenses'!F60="","",IF(AND(MONTH('Licenses'!F60)=2,YEAR('Licenses'!F60)=Settings!$B$40),'Licenses'!I60,""))</f>
        <v/>
      </c>
      <c r="F60" s="47">
        <f>IF('Licenses'!F60="","",IF(AND(MONTH('Licenses'!F60)=3,YEAR('Licenses'!F60)=Settings!$B$40),'Licenses'!I60,""))</f>
        <v/>
      </c>
      <c r="G60" s="47">
        <f>IF('Licenses'!F60="","",IF(AND(MONTH('Licenses'!F60)=4,YEAR('Licenses'!F60)=Settings!$B$40),'Licenses'!I60,""))</f>
        <v/>
      </c>
      <c r="H60" s="47">
        <f>IF('Licenses'!F60="","",IF(AND(MONTH('Licenses'!F60)=5,YEAR('Licenses'!F60)=Settings!$B$40),'Licenses'!I60,""))</f>
        <v/>
      </c>
      <c r="I60" s="47">
        <f>IF('Licenses'!F60="","",IF(AND(MONTH('Licenses'!F60)=6,YEAR('Licenses'!F60)=Settings!$B$40),'Licenses'!I60,""))</f>
        <v/>
      </c>
      <c r="J60" s="47">
        <f>IF('Licenses'!F60="","",IF(AND(MONTH('Licenses'!F60)=7,YEAR('Licenses'!F60)=Settings!$B$40),'Licenses'!I60,""))</f>
        <v/>
      </c>
      <c r="K60" s="47">
        <f>IF('Licenses'!F60="","",IF(AND(MONTH('Licenses'!F60)=8,YEAR('Licenses'!F60)=Settings!$B$40),'Licenses'!I60,""))</f>
        <v/>
      </c>
      <c r="L60" s="47">
        <f>IF('Licenses'!F60="","",IF(AND(MONTH('Licenses'!F60)=9,YEAR('Licenses'!F60)=Settings!$B$40),'Licenses'!I60,""))</f>
        <v/>
      </c>
      <c r="M60" s="47">
        <f>IF('Licenses'!F60="","",IF(AND(MONTH('Licenses'!F60)=10,YEAR('Licenses'!F60)=Settings!$B$40),'Licenses'!I60,""))</f>
        <v/>
      </c>
      <c r="N60" s="47">
        <f>IF('Licenses'!F60="","",IF(AND(MONTH('Licenses'!F60)=11,YEAR('Licenses'!F60)=Settings!$B$40),'Licenses'!I60,""))</f>
        <v/>
      </c>
      <c r="O60" s="47">
        <f>IF('Licenses'!F60="","",IF(AND(MONTH('Licenses'!F60)=12,YEAR('Licenses'!F60)=Settings!$B$40),'Licenses'!I60,""))</f>
        <v/>
      </c>
    </row>
    <row r="61" ht="18" customHeight="1">
      <c r="A61" s="44">
        <f>IF('Licenses'!A61="","",'Licenses'!A61)</f>
        <v/>
      </c>
      <c r="B61" s="44">
        <f>IF('Licenses'!B61="","",'Licenses'!B61)</f>
        <v/>
      </c>
      <c r="C61" s="44">
        <f>IF('Licenses'!D61="","",'Licenses'!D61)</f>
        <v/>
      </c>
      <c r="D61" s="45">
        <f>IF('Licenses'!F61="","",IF(AND(MONTH('Licenses'!F61)=1,YEAR('Licenses'!F61)=Settings!$B$40),'Licenses'!I61,""))</f>
        <v/>
      </c>
      <c r="E61" s="45">
        <f>IF('Licenses'!F61="","",IF(AND(MONTH('Licenses'!F61)=2,YEAR('Licenses'!F61)=Settings!$B$40),'Licenses'!I61,""))</f>
        <v/>
      </c>
      <c r="F61" s="45">
        <f>IF('Licenses'!F61="","",IF(AND(MONTH('Licenses'!F61)=3,YEAR('Licenses'!F61)=Settings!$B$40),'Licenses'!I61,""))</f>
        <v/>
      </c>
      <c r="G61" s="45">
        <f>IF('Licenses'!F61="","",IF(AND(MONTH('Licenses'!F61)=4,YEAR('Licenses'!F61)=Settings!$B$40),'Licenses'!I61,""))</f>
        <v/>
      </c>
      <c r="H61" s="45">
        <f>IF('Licenses'!F61="","",IF(AND(MONTH('Licenses'!F61)=5,YEAR('Licenses'!F61)=Settings!$B$40),'Licenses'!I61,""))</f>
        <v/>
      </c>
      <c r="I61" s="45">
        <f>IF('Licenses'!F61="","",IF(AND(MONTH('Licenses'!F61)=6,YEAR('Licenses'!F61)=Settings!$B$40),'Licenses'!I61,""))</f>
        <v/>
      </c>
      <c r="J61" s="45">
        <f>IF('Licenses'!F61="","",IF(AND(MONTH('Licenses'!F61)=7,YEAR('Licenses'!F61)=Settings!$B$40),'Licenses'!I61,""))</f>
        <v/>
      </c>
      <c r="K61" s="45">
        <f>IF('Licenses'!F61="","",IF(AND(MONTH('Licenses'!F61)=8,YEAR('Licenses'!F61)=Settings!$B$40),'Licenses'!I61,""))</f>
        <v/>
      </c>
      <c r="L61" s="45">
        <f>IF('Licenses'!F61="","",IF(AND(MONTH('Licenses'!F61)=9,YEAR('Licenses'!F61)=Settings!$B$40),'Licenses'!I61,""))</f>
        <v/>
      </c>
      <c r="M61" s="45">
        <f>IF('Licenses'!F61="","",IF(AND(MONTH('Licenses'!F61)=10,YEAR('Licenses'!F61)=Settings!$B$40),'Licenses'!I61,""))</f>
        <v/>
      </c>
      <c r="N61" s="45">
        <f>IF('Licenses'!F61="","",IF(AND(MONTH('Licenses'!F61)=11,YEAR('Licenses'!F61)=Settings!$B$40),'Licenses'!I61,""))</f>
        <v/>
      </c>
      <c r="O61" s="45">
        <f>IF('Licenses'!F61="","",IF(AND(MONTH('Licenses'!F61)=12,YEAR('Licenses'!F61)=Settings!$B$40),'Licenses'!I61,""))</f>
        <v/>
      </c>
    </row>
    <row r="62" ht="18" customHeight="1">
      <c r="A62" s="46">
        <f>IF('Licenses'!A62="","",'Licenses'!A62)</f>
        <v/>
      </c>
      <c r="B62" s="46">
        <f>IF('Licenses'!B62="","",'Licenses'!B62)</f>
        <v/>
      </c>
      <c r="C62" s="46">
        <f>IF('Licenses'!D62="","",'Licenses'!D62)</f>
        <v/>
      </c>
      <c r="D62" s="47">
        <f>IF('Licenses'!F62="","",IF(AND(MONTH('Licenses'!F62)=1,YEAR('Licenses'!F62)=Settings!$B$40),'Licenses'!I62,""))</f>
        <v/>
      </c>
      <c r="E62" s="47">
        <f>IF('Licenses'!F62="","",IF(AND(MONTH('Licenses'!F62)=2,YEAR('Licenses'!F62)=Settings!$B$40),'Licenses'!I62,""))</f>
        <v/>
      </c>
      <c r="F62" s="47">
        <f>IF('Licenses'!F62="","",IF(AND(MONTH('Licenses'!F62)=3,YEAR('Licenses'!F62)=Settings!$B$40),'Licenses'!I62,""))</f>
        <v/>
      </c>
      <c r="G62" s="47">
        <f>IF('Licenses'!F62="","",IF(AND(MONTH('Licenses'!F62)=4,YEAR('Licenses'!F62)=Settings!$B$40),'Licenses'!I62,""))</f>
        <v/>
      </c>
      <c r="H62" s="47">
        <f>IF('Licenses'!F62="","",IF(AND(MONTH('Licenses'!F62)=5,YEAR('Licenses'!F62)=Settings!$B$40),'Licenses'!I62,""))</f>
        <v/>
      </c>
      <c r="I62" s="47">
        <f>IF('Licenses'!F62="","",IF(AND(MONTH('Licenses'!F62)=6,YEAR('Licenses'!F62)=Settings!$B$40),'Licenses'!I62,""))</f>
        <v/>
      </c>
      <c r="J62" s="47">
        <f>IF('Licenses'!F62="","",IF(AND(MONTH('Licenses'!F62)=7,YEAR('Licenses'!F62)=Settings!$B$40),'Licenses'!I62,""))</f>
        <v/>
      </c>
      <c r="K62" s="47">
        <f>IF('Licenses'!F62="","",IF(AND(MONTH('Licenses'!F62)=8,YEAR('Licenses'!F62)=Settings!$B$40),'Licenses'!I62,""))</f>
        <v/>
      </c>
      <c r="L62" s="47">
        <f>IF('Licenses'!F62="","",IF(AND(MONTH('Licenses'!F62)=9,YEAR('Licenses'!F62)=Settings!$B$40),'Licenses'!I62,""))</f>
        <v/>
      </c>
      <c r="M62" s="47">
        <f>IF('Licenses'!F62="","",IF(AND(MONTH('Licenses'!F62)=10,YEAR('Licenses'!F62)=Settings!$B$40),'Licenses'!I62,""))</f>
        <v/>
      </c>
      <c r="N62" s="47">
        <f>IF('Licenses'!F62="","",IF(AND(MONTH('Licenses'!F62)=11,YEAR('Licenses'!F62)=Settings!$B$40),'Licenses'!I62,""))</f>
        <v/>
      </c>
      <c r="O62" s="47">
        <f>IF('Licenses'!F62="","",IF(AND(MONTH('Licenses'!F62)=12,YEAR('Licenses'!F62)=Settings!$B$40),'Licenses'!I62,""))</f>
        <v/>
      </c>
    </row>
    <row r="63" ht="18" customHeight="1">
      <c r="A63" s="44">
        <f>IF('Licenses'!A63="","",'Licenses'!A63)</f>
        <v/>
      </c>
      <c r="B63" s="44">
        <f>IF('Licenses'!B63="","",'Licenses'!B63)</f>
        <v/>
      </c>
      <c r="C63" s="44">
        <f>IF('Licenses'!D63="","",'Licenses'!D63)</f>
        <v/>
      </c>
      <c r="D63" s="45">
        <f>IF('Licenses'!F63="","",IF(AND(MONTH('Licenses'!F63)=1,YEAR('Licenses'!F63)=Settings!$B$40),'Licenses'!I63,""))</f>
        <v/>
      </c>
      <c r="E63" s="45">
        <f>IF('Licenses'!F63="","",IF(AND(MONTH('Licenses'!F63)=2,YEAR('Licenses'!F63)=Settings!$B$40),'Licenses'!I63,""))</f>
        <v/>
      </c>
      <c r="F63" s="45">
        <f>IF('Licenses'!F63="","",IF(AND(MONTH('Licenses'!F63)=3,YEAR('Licenses'!F63)=Settings!$B$40),'Licenses'!I63,""))</f>
        <v/>
      </c>
      <c r="G63" s="45">
        <f>IF('Licenses'!F63="","",IF(AND(MONTH('Licenses'!F63)=4,YEAR('Licenses'!F63)=Settings!$B$40),'Licenses'!I63,""))</f>
        <v/>
      </c>
      <c r="H63" s="45">
        <f>IF('Licenses'!F63="","",IF(AND(MONTH('Licenses'!F63)=5,YEAR('Licenses'!F63)=Settings!$B$40),'Licenses'!I63,""))</f>
        <v/>
      </c>
      <c r="I63" s="45">
        <f>IF('Licenses'!F63="","",IF(AND(MONTH('Licenses'!F63)=6,YEAR('Licenses'!F63)=Settings!$B$40),'Licenses'!I63,""))</f>
        <v/>
      </c>
      <c r="J63" s="45">
        <f>IF('Licenses'!F63="","",IF(AND(MONTH('Licenses'!F63)=7,YEAR('Licenses'!F63)=Settings!$B$40),'Licenses'!I63,""))</f>
        <v/>
      </c>
      <c r="K63" s="45">
        <f>IF('Licenses'!F63="","",IF(AND(MONTH('Licenses'!F63)=8,YEAR('Licenses'!F63)=Settings!$B$40),'Licenses'!I63,""))</f>
        <v/>
      </c>
      <c r="L63" s="45">
        <f>IF('Licenses'!F63="","",IF(AND(MONTH('Licenses'!F63)=9,YEAR('Licenses'!F63)=Settings!$B$40),'Licenses'!I63,""))</f>
        <v/>
      </c>
      <c r="M63" s="45">
        <f>IF('Licenses'!F63="","",IF(AND(MONTH('Licenses'!F63)=10,YEAR('Licenses'!F63)=Settings!$B$40),'Licenses'!I63,""))</f>
        <v/>
      </c>
      <c r="N63" s="45">
        <f>IF('Licenses'!F63="","",IF(AND(MONTH('Licenses'!F63)=11,YEAR('Licenses'!F63)=Settings!$B$40),'Licenses'!I63,""))</f>
        <v/>
      </c>
      <c r="O63" s="45">
        <f>IF('Licenses'!F63="","",IF(AND(MONTH('Licenses'!F63)=12,YEAR('Licenses'!F63)=Settings!$B$40),'Licenses'!I63,""))</f>
        <v/>
      </c>
    </row>
    <row r="64" ht="18" customHeight="1">
      <c r="A64" s="46">
        <f>IF('Licenses'!A64="","",'Licenses'!A64)</f>
        <v/>
      </c>
      <c r="B64" s="46">
        <f>IF('Licenses'!B64="","",'Licenses'!B64)</f>
        <v/>
      </c>
      <c r="C64" s="46">
        <f>IF('Licenses'!D64="","",'Licenses'!D64)</f>
        <v/>
      </c>
      <c r="D64" s="47">
        <f>IF('Licenses'!F64="","",IF(AND(MONTH('Licenses'!F64)=1,YEAR('Licenses'!F64)=Settings!$B$40),'Licenses'!I64,""))</f>
        <v/>
      </c>
      <c r="E64" s="47">
        <f>IF('Licenses'!F64="","",IF(AND(MONTH('Licenses'!F64)=2,YEAR('Licenses'!F64)=Settings!$B$40),'Licenses'!I64,""))</f>
        <v/>
      </c>
      <c r="F64" s="47">
        <f>IF('Licenses'!F64="","",IF(AND(MONTH('Licenses'!F64)=3,YEAR('Licenses'!F64)=Settings!$B$40),'Licenses'!I64,""))</f>
        <v/>
      </c>
      <c r="G64" s="47">
        <f>IF('Licenses'!F64="","",IF(AND(MONTH('Licenses'!F64)=4,YEAR('Licenses'!F64)=Settings!$B$40),'Licenses'!I64,""))</f>
        <v/>
      </c>
      <c r="H64" s="47">
        <f>IF('Licenses'!F64="","",IF(AND(MONTH('Licenses'!F64)=5,YEAR('Licenses'!F64)=Settings!$B$40),'Licenses'!I64,""))</f>
        <v/>
      </c>
      <c r="I64" s="47">
        <f>IF('Licenses'!F64="","",IF(AND(MONTH('Licenses'!F64)=6,YEAR('Licenses'!F64)=Settings!$B$40),'Licenses'!I64,""))</f>
        <v/>
      </c>
      <c r="J64" s="47">
        <f>IF('Licenses'!F64="","",IF(AND(MONTH('Licenses'!F64)=7,YEAR('Licenses'!F64)=Settings!$B$40),'Licenses'!I64,""))</f>
        <v/>
      </c>
      <c r="K64" s="47">
        <f>IF('Licenses'!F64="","",IF(AND(MONTH('Licenses'!F64)=8,YEAR('Licenses'!F64)=Settings!$B$40),'Licenses'!I64,""))</f>
        <v/>
      </c>
      <c r="L64" s="47">
        <f>IF('Licenses'!F64="","",IF(AND(MONTH('Licenses'!F64)=9,YEAR('Licenses'!F64)=Settings!$B$40),'Licenses'!I64,""))</f>
        <v/>
      </c>
      <c r="M64" s="47">
        <f>IF('Licenses'!F64="","",IF(AND(MONTH('Licenses'!F64)=10,YEAR('Licenses'!F64)=Settings!$B$40),'Licenses'!I64,""))</f>
        <v/>
      </c>
      <c r="N64" s="47">
        <f>IF('Licenses'!F64="","",IF(AND(MONTH('Licenses'!F64)=11,YEAR('Licenses'!F64)=Settings!$B$40),'Licenses'!I64,""))</f>
        <v/>
      </c>
      <c r="O64" s="47">
        <f>IF('Licenses'!F64="","",IF(AND(MONTH('Licenses'!F64)=12,YEAR('Licenses'!F64)=Settings!$B$40),'Licenses'!I64,""))</f>
        <v/>
      </c>
    </row>
    <row r="65" ht="18" customHeight="1">
      <c r="A65" s="44">
        <f>IF('Licenses'!A65="","",'Licenses'!A65)</f>
        <v/>
      </c>
      <c r="B65" s="44">
        <f>IF('Licenses'!B65="","",'Licenses'!B65)</f>
        <v/>
      </c>
      <c r="C65" s="44">
        <f>IF('Licenses'!D65="","",'Licenses'!D65)</f>
        <v/>
      </c>
      <c r="D65" s="45">
        <f>IF('Licenses'!F65="","",IF(AND(MONTH('Licenses'!F65)=1,YEAR('Licenses'!F65)=Settings!$B$40),'Licenses'!I65,""))</f>
        <v/>
      </c>
      <c r="E65" s="45">
        <f>IF('Licenses'!F65="","",IF(AND(MONTH('Licenses'!F65)=2,YEAR('Licenses'!F65)=Settings!$B$40),'Licenses'!I65,""))</f>
        <v/>
      </c>
      <c r="F65" s="45">
        <f>IF('Licenses'!F65="","",IF(AND(MONTH('Licenses'!F65)=3,YEAR('Licenses'!F65)=Settings!$B$40),'Licenses'!I65,""))</f>
        <v/>
      </c>
      <c r="G65" s="45">
        <f>IF('Licenses'!F65="","",IF(AND(MONTH('Licenses'!F65)=4,YEAR('Licenses'!F65)=Settings!$B$40),'Licenses'!I65,""))</f>
        <v/>
      </c>
      <c r="H65" s="45">
        <f>IF('Licenses'!F65="","",IF(AND(MONTH('Licenses'!F65)=5,YEAR('Licenses'!F65)=Settings!$B$40),'Licenses'!I65,""))</f>
        <v/>
      </c>
      <c r="I65" s="45">
        <f>IF('Licenses'!F65="","",IF(AND(MONTH('Licenses'!F65)=6,YEAR('Licenses'!F65)=Settings!$B$40),'Licenses'!I65,""))</f>
        <v/>
      </c>
      <c r="J65" s="45">
        <f>IF('Licenses'!F65="","",IF(AND(MONTH('Licenses'!F65)=7,YEAR('Licenses'!F65)=Settings!$B$40),'Licenses'!I65,""))</f>
        <v/>
      </c>
      <c r="K65" s="45">
        <f>IF('Licenses'!F65="","",IF(AND(MONTH('Licenses'!F65)=8,YEAR('Licenses'!F65)=Settings!$B$40),'Licenses'!I65,""))</f>
        <v/>
      </c>
      <c r="L65" s="45">
        <f>IF('Licenses'!F65="","",IF(AND(MONTH('Licenses'!F65)=9,YEAR('Licenses'!F65)=Settings!$B$40),'Licenses'!I65,""))</f>
        <v/>
      </c>
      <c r="M65" s="45">
        <f>IF('Licenses'!F65="","",IF(AND(MONTH('Licenses'!F65)=10,YEAR('Licenses'!F65)=Settings!$B$40),'Licenses'!I65,""))</f>
        <v/>
      </c>
      <c r="N65" s="45">
        <f>IF('Licenses'!F65="","",IF(AND(MONTH('Licenses'!F65)=11,YEAR('Licenses'!F65)=Settings!$B$40),'Licenses'!I65,""))</f>
        <v/>
      </c>
      <c r="O65" s="45">
        <f>IF('Licenses'!F65="","",IF(AND(MONTH('Licenses'!F65)=12,YEAR('Licenses'!F65)=Settings!$B$40),'Licenses'!I65,""))</f>
        <v/>
      </c>
    </row>
    <row r="66" ht="18" customHeight="1">
      <c r="A66" s="46">
        <f>IF('Licenses'!A66="","",'Licenses'!A66)</f>
        <v/>
      </c>
      <c r="B66" s="46">
        <f>IF('Licenses'!B66="","",'Licenses'!B66)</f>
        <v/>
      </c>
      <c r="C66" s="46">
        <f>IF('Licenses'!D66="","",'Licenses'!D66)</f>
        <v/>
      </c>
      <c r="D66" s="47">
        <f>IF('Licenses'!F66="","",IF(AND(MONTH('Licenses'!F66)=1,YEAR('Licenses'!F66)=Settings!$B$40),'Licenses'!I66,""))</f>
        <v/>
      </c>
      <c r="E66" s="47">
        <f>IF('Licenses'!F66="","",IF(AND(MONTH('Licenses'!F66)=2,YEAR('Licenses'!F66)=Settings!$B$40),'Licenses'!I66,""))</f>
        <v/>
      </c>
      <c r="F66" s="47">
        <f>IF('Licenses'!F66="","",IF(AND(MONTH('Licenses'!F66)=3,YEAR('Licenses'!F66)=Settings!$B$40),'Licenses'!I66,""))</f>
        <v/>
      </c>
      <c r="G66" s="47">
        <f>IF('Licenses'!F66="","",IF(AND(MONTH('Licenses'!F66)=4,YEAR('Licenses'!F66)=Settings!$B$40),'Licenses'!I66,""))</f>
        <v/>
      </c>
      <c r="H66" s="47">
        <f>IF('Licenses'!F66="","",IF(AND(MONTH('Licenses'!F66)=5,YEAR('Licenses'!F66)=Settings!$B$40),'Licenses'!I66,""))</f>
        <v/>
      </c>
      <c r="I66" s="47">
        <f>IF('Licenses'!F66="","",IF(AND(MONTH('Licenses'!F66)=6,YEAR('Licenses'!F66)=Settings!$B$40),'Licenses'!I66,""))</f>
        <v/>
      </c>
      <c r="J66" s="47">
        <f>IF('Licenses'!F66="","",IF(AND(MONTH('Licenses'!F66)=7,YEAR('Licenses'!F66)=Settings!$B$40),'Licenses'!I66,""))</f>
        <v/>
      </c>
      <c r="K66" s="47">
        <f>IF('Licenses'!F66="","",IF(AND(MONTH('Licenses'!F66)=8,YEAR('Licenses'!F66)=Settings!$B$40),'Licenses'!I66,""))</f>
        <v/>
      </c>
      <c r="L66" s="47">
        <f>IF('Licenses'!F66="","",IF(AND(MONTH('Licenses'!F66)=9,YEAR('Licenses'!F66)=Settings!$B$40),'Licenses'!I66,""))</f>
        <v/>
      </c>
      <c r="M66" s="47">
        <f>IF('Licenses'!F66="","",IF(AND(MONTH('Licenses'!F66)=10,YEAR('Licenses'!F66)=Settings!$B$40),'Licenses'!I66,""))</f>
        <v/>
      </c>
      <c r="N66" s="47">
        <f>IF('Licenses'!F66="","",IF(AND(MONTH('Licenses'!F66)=11,YEAR('Licenses'!F66)=Settings!$B$40),'Licenses'!I66,""))</f>
        <v/>
      </c>
      <c r="O66" s="47">
        <f>IF('Licenses'!F66="","",IF(AND(MONTH('Licenses'!F66)=12,YEAR('Licenses'!F66)=Settings!$B$40),'Licenses'!I66,""))</f>
        <v/>
      </c>
    </row>
    <row r="67" ht="18" customHeight="1">
      <c r="A67" s="44">
        <f>IF('Licenses'!A67="","",'Licenses'!A67)</f>
        <v/>
      </c>
      <c r="B67" s="44">
        <f>IF('Licenses'!B67="","",'Licenses'!B67)</f>
        <v/>
      </c>
      <c r="C67" s="44">
        <f>IF('Licenses'!D67="","",'Licenses'!D67)</f>
        <v/>
      </c>
      <c r="D67" s="45">
        <f>IF('Licenses'!F67="","",IF(AND(MONTH('Licenses'!F67)=1,YEAR('Licenses'!F67)=Settings!$B$40),'Licenses'!I67,""))</f>
        <v/>
      </c>
      <c r="E67" s="45">
        <f>IF('Licenses'!F67="","",IF(AND(MONTH('Licenses'!F67)=2,YEAR('Licenses'!F67)=Settings!$B$40),'Licenses'!I67,""))</f>
        <v/>
      </c>
      <c r="F67" s="45">
        <f>IF('Licenses'!F67="","",IF(AND(MONTH('Licenses'!F67)=3,YEAR('Licenses'!F67)=Settings!$B$40),'Licenses'!I67,""))</f>
        <v/>
      </c>
      <c r="G67" s="45">
        <f>IF('Licenses'!F67="","",IF(AND(MONTH('Licenses'!F67)=4,YEAR('Licenses'!F67)=Settings!$B$40),'Licenses'!I67,""))</f>
        <v/>
      </c>
      <c r="H67" s="45">
        <f>IF('Licenses'!F67="","",IF(AND(MONTH('Licenses'!F67)=5,YEAR('Licenses'!F67)=Settings!$B$40),'Licenses'!I67,""))</f>
        <v/>
      </c>
      <c r="I67" s="45">
        <f>IF('Licenses'!F67="","",IF(AND(MONTH('Licenses'!F67)=6,YEAR('Licenses'!F67)=Settings!$B$40),'Licenses'!I67,""))</f>
        <v/>
      </c>
      <c r="J67" s="45">
        <f>IF('Licenses'!F67="","",IF(AND(MONTH('Licenses'!F67)=7,YEAR('Licenses'!F67)=Settings!$B$40),'Licenses'!I67,""))</f>
        <v/>
      </c>
      <c r="K67" s="45">
        <f>IF('Licenses'!F67="","",IF(AND(MONTH('Licenses'!F67)=8,YEAR('Licenses'!F67)=Settings!$B$40),'Licenses'!I67,""))</f>
        <v/>
      </c>
      <c r="L67" s="45">
        <f>IF('Licenses'!F67="","",IF(AND(MONTH('Licenses'!F67)=9,YEAR('Licenses'!F67)=Settings!$B$40),'Licenses'!I67,""))</f>
        <v/>
      </c>
      <c r="M67" s="45">
        <f>IF('Licenses'!F67="","",IF(AND(MONTH('Licenses'!F67)=10,YEAR('Licenses'!F67)=Settings!$B$40),'Licenses'!I67,""))</f>
        <v/>
      </c>
      <c r="N67" s="45">
        <f>IF('Licenses'!F67="","",IF(AND(MONTH('Licenses'!F67)=11,YEAR('Licenses'!F67)=Settings!$B$40),'Licenses'!I67,""))</f>
        <v/>
      </c>
      <c r="O67" s="45">
        <f>IF('Licenses'!F67="","",IF(AND(MONTH('Licenses'!F67)=12,YEAR('Licenses'!F67)=Settings!$B$40),'Licenses'!I67,""))</f>
        <v/>
      </c>
    </row>
    <row r="68" ht="18" customHeight="1">
      <c r="A68" s="46">
        <f>IF('Licenses'!A68="","",'Licenses'!A68)</f>
        <v/>
      </c>
      <c r="B68" s="46">
        <f>IF('Licenses'!B68="","",'Licenses'!B68)</f>
        <v/>
      </c>
      <c r="C68" s="46">
        <f>IF('Licenses'!D68="","",'Licenses'!D68)</f>
        <v/>
      </c>
      <c r="D68" s="47">
        <f>IF('Licenses'!F68="","",IF(AND(MONTH('Licenses'!F68)=1,YEAR('Licenses'!F68)=Settings!$B$40),'Licenses'!I68,""))</f>
        <v/>
      </c>
      <c r="E68" s="47">
        <f>IF('Licenses'!F68="","",IF(AND(MONTH('Licenses'!F68)=2,YEAR('Licenses'!F68)=Settings!$B$40),'Licenses'!I68,""))</f>
        <v/>
      </c>
      <c r="F68" s="47">
        <f>IF('Licenses'!F68="","",IF(AND(MONTH('Licenses'!F68)=3,YEAR('Licenses'!F68)=Settings!$B$40),'Licenses'!I68,""))</f>
        <v/>
      </c>
      <c r="G68" s="47">
        <f>IF('Licenses'!F68="","",IF(AND(MONTH('Licenses'!F68)=4,YEAR('Licenses'!F68)=Settings!$B$40),'Licenses'!I68,""))</f>
        <v/>
      </c>
      <c r="H68" s="47">
        <f>IF('Licenses'!F68="","",IF(AND(MONTH('Licenses'!F68)=5,YEAR('Licenses'!F68)=Settings!$B$40),'Licenses'!I68,""))</f>
        <v/>
      </c>
      <c r="I68" s="47">
        <f>IF('Licenses'!F68="","",IF(AND(MONTH('Licenses'!F68)=6,YEAR('Licenses'!F68)=Settings!$B$40),'Licenses'!I68,""))</f>
        <v/>
      </c>
      <c r="J68" s="47">
        <f>IF('Licenses'!F68="","",IF(AND(MONTH('Licenses'!F68)=7,YEAR('Licenses'!F68)=Settings!$B$40),'Licenses'!I68,""))</f>
        <v/>
      </c>
      <c r="K68" s="47">
        <f>IF('Licenses'!F68="","",IF(AND(MONTH('Licenses'!F68)=8,YEAR('Licenses'!F68)=Settings!$B$40),'Licenses'!I68,""))</f>
        <v/>
      </c>
      <c r="L68" s="47">
        <f>IF('Licenses'!F68="","",IF(AND(MONTH('Licenses'!F68)=9,YEAR('Licenses'!F68)=Settings!$B$40),'Licenses'!I68,""))</f>
        <v/>
      </c>
      <c r="M68" s="47">
        <f>IF('Licenses'!F68="","",IF(AND(MONTH('Licenses'!F68)=10,YEAR('Licenses'!F68)=Settings!$B$40),'Licenses'!I68,""))</f>
        <v/>
      </c>
      <c r="N68" s="47">
        <f>IF('Licenses'!F68="","",IF(AND(MONTH('Licenses'!F68)=11,YEAR('Licenses'!F68)=Settings!$B$40),'Licenses'!I68,""))</f>
        <v/>
      </c>
      <c r="O68" s="47">
        <f>IF('Licenses'!F68="","",IF(AND(MONTH('Licenses'!F68)=12,YEAR('Licenses'!F68)=Settings!$B$40),'Licenses'!I68,""))</f>
        <v/>
      </c>
    </row>
    <row r="69" ht="18" customHeight="1">
      <c r="A69" s="44">
        <f>IF('Licenses'!A69="","",'Licenses'!A69)</f>
        <v/>
      </c>
      <c r="B69" s="44">
        <f>IF('Licenses'!B69="","",'Licenses'!B69)</f>
        <v/>
      </c>
      <c r="C69" s="44">
        <f>IF('Licenses'!D69="","",'Licenses'!D69)</f>
        <v/>
      </c>
      <c r="D69" s="45">
        <f>IF('Licenses'!F69="","",IF(AND(MONTH('Licenses'!F69)=1,YEAR('Licenses'!F69)=Settings!$B$40),'Licenses'!I69,""))</f>
        <v/>
      </c>
      <c r="E69" s="45">
        <f>IF('Licenses'!F69="","",IF(AND(MONTH('Licenses'!F69)=2,YEAR('Licenses'!F69)=Settings!$B$40),'Licenses'!I69,""))</f>
        <v/>
      </c>
      <c r="F69" s="45">
        <f>IF('Licenses'!F69="","",IF(AND(MONTH('Licenses'!F69)=3,YEAR('Licenses'!F69)=Settings!$B$40),'Licenses'!I69,""))</f>
        <v/>
      </c>
      <c r="G69" s="45">
        <f>IF('Licenses'!F69="","",IF(AND(MONTH('Licenses'!F69)=4,YEAR('Licenses'!F69)=Settings!$B$40),'Licenses'!I69,""))</f>
        <v/>
      </c>
      <c r="H69" s="45">
        <f>IF('Licenses'!F69="","",IF(AND(MONTH('Licenses'!F69)=5,YEAR('Licenses'!F69)=Settings!$B$40),'Licenses'!I69,""))</f>
        <v/>
      </c>
      <c r="I69" s="45">
        <f>IF('Licenses'!F69="","",IF(AND(MONTH('Licenses'!F69)=6,YEAR('Licenses'!F69)=Settings!$B$40),'Licenses'!I69,""))</f>
        <v/>
      </c>
      <c r="J69" s="45">
        <f>IF('Licenses'!F69="","",IF(AND(MONTH('Licenses'!F69)=7,YEAR('Licenses'!F69)=Settings!$B$40),'Licenses'!I69,""))</f>
        <v/>
      </c>
      <c r="K69" s="45">
        <f>IF('Licenses'!F69="","",IF(AND(MONTH('Licenses'!F69)=8,YEAR('Licenses'!F69)=Settings!$B$40),'Licenses'!I69,""))</f>
        <v/>
      </c>
      <c r="L69" s="45">
        <f>IF('Licenses'!F69="","",IF(AND(MONTH('Licenses'!F69)=9,YEAR('Licenses'!F69)=Settings!$B$40),'Licenses'!I69,""))</f>
        <v/>
      </c>
      <c r="M69" s="45">
        <f>IF('Licenses'!F69="","",IF(AND(MONTH('Licenses'!F69)=10,YEAR('Licenses'!F69)=Settings!$B$40),'Licenses'!I69,""))</f>
        <v/>
      </c>
      <c r="N69" s="45">
        <f>IF('Licenses'!F69="","",IF(AND(MONTH('Licenses'!F69)=11,YEAR('Licenses'!F69)=Settings!$B$40),'Licenses'!I69,""))</f>
        <v/>
      </c>
      <c r="O69" s="45">
        <f>IF('Licenses'!F69="","",IF(AND(MONTH('Licenses'!F69)=12,YEAR('Licenses'!F69)=Settings!$B$40),'Licenses'!I69,""))</f>
        <v/>
      </c>
    </row>
    <row r="70" ht="18" customHeight="1">
      <c r="A70" s="46">
        <f>IF('Licenses'!A70="","",'Licenses'!A70)</f>
        <v/>
      </c>
      <c r="B70" s="46">
        <f>IF('Licenses'!B70="","",'Licenses'!B70)</f>
        <v/>
      </c>
      <c r="C70" s="46">
        <f>IF('Licenses'!D70="","",'Licenses'!D70)</f>
        <v/>
      </c>
      <c r="D70" s="47">
        <f>IF('Licenses'!F70="","",IF(AND(MONTH('Licenses'!F70)=1,YEAR('Licenses'!F70)=Settings!$B$40),'Licenses'!I70,""))</f>
        <v/>
      </c>
      <c r="E70" s="47">
        <f>IF('Licenses'!F70="","",IF(AND(MONTH('Licenses'!F70)=2,YEAR('Licenses'!F70)=Settings!$B$40),'Licenses'!I70,""))</f>
        <v/>
      </c>
      <c r="F70" s="47">
        <f>IF('Licenses'!F70="","",IF(AND(MONTH('Licenses'!F70)=3,YEAR('Licenses'!F70)=Settings!$B$40),'Licenses'!I70,""))</f>
        <v/>
      </c>
      <c r="G70" s="47">
        <f>IF('Licenses'!F70="","",IF(AND(MONTH('Licenses'!F70)=4,YEAR('Licenses'!F70)=Settings!$B$40),'Licenses'!I70,""))</f>
        <v/>
      </c>
      <c r="H70" s="47">
        <f>IF('Licenses'!F70="","",IF(AND(MONTH('Licenses'!F70)=5,YEAR('Licenses'!F70)=Settings!$B$40),'Licenses'!I70,""))</f>
        <v/>
      </c>
      <c r="I70" s="47">
        <f>IF('Licenses'!F70="","",IF(AND(MONTH('Licenses'!F70)=6,YEAR('Licenses'!F70)=Settings!$B$40),'Licenses'!I70,""))</f>
        <v/>
      </c>
      <c r="J70" s="47">
        <f>IF('Licenses'!F70="","",IF(AND(MONTH('Licenses'!F70)=7,YEAR('Licenses'!F70)=Settings!$B$40),'Licenses'!I70,""))</f>
        <v/>
      </c>
      <c r="K70" s="47">
        <f>IF('Licenses'!F70="","",IF(AND(MONTH('Licenses'!F70)=8,YEAR('Licenses'!F70)=Settings!$B$40),'Licenses'!I70,""))</f>
        <v/>
      </c>
      <c r="L70" s="47">
        <f>IF('Licenses'!F70="","",IF(AND(MONTH('Licenses'!F70)=9,YEAR('Licenses'!F70)=Settings!$B$40),'Licenses'!I70,""))</f>
        <v/>
      </c>
      <c r="M70" s="47">
        <f>IF('Licenses'!F70="","",IF(AND(MONTH('Licenses'!F70)=10,YEAR('Licenses'!F70)=Settings!$B$40),'Licenses'!I70,""))</f>
        <v/>
      </c>
      <c r="N70" s="47">
        <f>IF('Licenses'!F70="","",IF(AND(MONTH('Licenses'!F70)=11,YEAR('Licenses'!F70)=Settings!$B$40),'Licenses'!I70,""))</f>
        <v/>
      </c>
      <c r="O70" s="47">
        <f>IF('Licenses'!F70="","",IF(AND(MONTH('Licenses'!F70)=12,YEAR('Licenses'!F70)=Settings!$B$40),'Licenses'!I70,""))</f>
        <v/>
      </c>
    </row>
    <row r="71" ht="18" customHeight="1">
      <c r="A71" s="44">
        <f>IF('Licenses'!A71="","",'Licenses'!A71)</f>
        <v/>
      </c>
      <c r="B71" s="44">
        <f>IF('Licenses'!B71="","",'Licenses'!B71)</f>
        <v/>
      </c>
      <c r="C71" s="44">
        <f>IF('Licenses'!D71="","",'Licenses'!D71)</f>
        <v/>
      </c>
      <c r="D71" s="45">
        <f>IF('Licenses'!F71="","",IF(AND(MONTH('Licenses'!F71)=1,YEAR('Licenses'!F71)=Settings!$B$40),'Licenses'!I71,""))</f>
        <v/>
      </c>
      <c r="E71" s="45">
        <f>IF('Licenses'!F71="","",IF(AND(MONTH('Licenses'!F71)=2,YEAR('Licenses'!F71)=Settings!$B$40),'Licenses'!I71,""))</f>
        <v/>
      </c>
      <c r="F71" s="45">
        <f>IF('Licenses'!F71="","",IF(AND(MONTH('Licenses'!F71)=3,YEAR('Licenses'!F71)=Settings!$B$40),'Licenses'!I71,""))</f>
        <v/>
      </c>
      <c r="G71" s="45">
        <f>IF('Licenses'!F71="","",IF(AND(MONTH('Licenses'!F71)=4,YEAR('Licenses'!F71)=Settings!$B$40),'Licenses'!I71,""))</f>
        <v/>
      </c>
      <c r="H71" s="45">
        <f>IF('Licenses'!F71="","",IF(AND(MONTH('Licenses'!F71)=5,YEAR('Licenses'!F71)=Settings!$B$40),'Licenses'!I71,""))</f>
        <v/>
      </c>
      <c r="I71" s="45">
        <f>IF('Licenses'!F71="","",IF(AND(MONTH('Licenses'!F71)=6,YEAR('Licenses'!F71)=Settings!$B$40),'Licenses'!I71,""))</f>
        <v/>
      </c>
      <c r="J71" s="45">
        <f>IF('Licenses'!F71="","",IF(AND(MONTH('Licenses'!F71)=7,YEAR('Licenses'!F71)=Settings!$B$40),'Licenses'!I71,""))</f>
        <v/>
      </c>
      <c r="K71" s="45">
        <f>IF('Licenses'!F71="","",IF(AND(MONTH('Licenses'!F71)=8,YEAR('Licenses'!F71)=Settings!$B$40),'Licenses'!I71,""))</f>
        <v/>
      </c>
      <c r="L71" s="45">
        <f>IF('Licenses'!F71="","",IF(AND(MONTH('Licenses'!F71)=9,YEAR('Licenses'!F71)=Settings!$B$40),'Licenses'!I71,""))</f>
        <v/>
      </c>
      <c r="M71" s="45">
        <f>IF('Licenses'!F71="","",IF(AND(MONTH('Licenses'!F71)=10,YEAR('Licenses'!F71)=Settings!$B$40),'Licenses'!I71,""))</f>
        <v/>
      </c>
      <c r="N71" s="45">
        <f>IF('Licenses'!F71="","",IF(AND(MONTH('Licenses'!F71)=11,YEAR('Licenses'!F71)=Settings!$B$40),'Licenses'!I71,""))</f>
        <v/>
      </c>
      <c r="O71" s="45">
        <f>IF('Licenses'!F71="","",IF(AND(MONTH('Licenses'!F71)=12,YEAR('Licenses'!F71)=Settings!$B$40),'Licenses'!I71,""))</f>
        <v/>
      </c>
    </row>
    <row r="72" ht="18" customHeight="1">
      <c r="A72" s="46">
        <f>IF('Licenses'!A72="","",'Licenses'!A72)</f>
        <v/>
      </c>
      <c r="B72" s="46">
        <f>IF('Licenses'!B72="","",'Licenses'!B72)</f>
        <v/>
      </c>
      <c r="C72" s="46">
        <f>IF('Licenses'!D72="","",'Licenses'!D72)</f>
        <v/>
      </c>
      <c r="D72" s="47">
        <f>IF('Licenses'!F72="","",IF(AND(MONTH('Licenses'!F72)=1,YEAR('Licenses'!F72)=Settings!$B$40),'Licenses'!I72,""))</f>
        <v/>
      </c>
      <c r="E72" s="47">
        <f>IF('Licenses'!F72="","",IF(AND(MONTH('Licenses'!F72)=2,YEAR('Licenses'!F72)=Settings!$B$40),'Licenses'!I72,""))</f>
        <v/>
      </c>
      <c r="F72" s="47">
        <f>IF('Licenses'!F72="","",IF(AND(MONTH('Licenses'!F72)=3,YEAR('Licenses'!F72)=Settings!$B$40),'Licenses'!I72,""))</f>
        <v/>
      </c>
      <c r="G72" s="47">
        <f>IF('Licenses'!F72="","",IF(AND(MONTH('Licenses'!F72)=4,YEAR('Licenses'!F72)=Settings!$B$40),'Licenses'!I72,""))</f>
        <v/>
      </c>
      <c r="H72" s="47">
        <f>IF('Licenses'!F72="","",IF(AND(MONTH('Licenses'!F72)=5,YEAR('Licenses'!F72)=Settings!$B$40),'Licenses'!I72,""))</f>
        <v/>
      </c>
      <c r="I72" s="47">
        <f>IF('Licenses'!F72="","",IF(AND(MONTH('Licenses'!F72)=6,YEAR('Licenses'!F72)=Settings!$B$40),'Licenses'!I72,""))</f>
        <v/>
      </c>
      <c r="J72" s="47">
        <f>IF('Licenses'!F72="","",IF(AND(MONTH('Licenses'!F72)=7,YEAR('Licenses'!F72)=Settings!$B$40),'Licenses'!I72,""))</f>
        <v/>
      </c>
      <c r="K72" s="47">
        <f>IF('Licenses'!F72="","",IF(AND(MONTH('Licenses'!F72)=8,YEAR('Licenses'!F72)=Settings!$B$40),'Licenses'!I72,""))</f>
        <v/>
      </c>
      <c r="L72" s="47">
        <f>IF('Licenses'!F72="","",IF(AND(MONTH('Licenses'!F72)=9,YEAR('Licenses'!F72)=Settings!$B$40),'Licenses'!I72,""))</f>
        <v/>
      </c>
      <c r="M72" s="47">
        <f>IF('Licenses'!F72="","",IF(AND(MONTH('Licenses'!F72)=10,YEAR('Licenses'!F72)=Settings!$B$40),'Licenses'!I72,""))</f>
        <v/>
      </c>
      <c r="N72" s="47">
        <f>IF('Licenses'!F72="","",IF(AND(MONTH('Licenses'!F72)=11,YEAR('Licenses'!F72)=Settings!$B$40),'Licenses'!I72,""))</f>
        <v/>
      </c>
      <c r="O72" s="47">
        <f>IF('Licenses'!F72="","",IF(AND(MONTH('Licenses'!F72)=12,YEAR('Licenses'!F72)=Settings!$B$40),'Licenses'!I72,""))</f>
        <v/>
      </c>
    </row>
    <row r="73" ht="18" customHeight="1">
      <c r="A73" s="44">
        <f>IF('Licenses'!A73="","",'Licenses'!A73)</f>
        <v/>
      </c>
      <c r="B73" s="44">
        <f>IF('Licenses'!B73="","",'Licenses'!B73)</f>
        <v/>
      </c>
      <c r="C73" s="44">
        <f>IF('Licenses'!D73="","",'Licenses'!D73)</f>
        <v/>
      </c>
      <c r="D73" s="45">
        <f>IF('Licenses'!F73="","",IF(AND(MONTH('Licenses'!F73)=1,YEAR('Licenses'!F73)=Settings!$B$40),'Licenses'!I73,""))</f>
        <v/>
      </c>
      <c r="E73" s="45">
        <f>IF('Licenses'!F73="","",IF(AND(MONTH('Licenses'!F73)=2,YEAR('Licenses'!F73)=Settings!$B$40),'Licenses'!I73,""))</f>
        <v/>
      </c>
      <c r="F73" s="45">
        <f>IF('Licenses'!F73="","",IF(AND(MONTH('Licenses'!F73)=3,YEAR('Licenses'!F73)=Settings!$B$40),'Licenses'!I73,""))</f>
        <v/>
      </c>
      <c r="G73" s="45">
        <f>IF('Licenses'!F73="","",IF(AND(MONTH('Licenses'!F73)=4,YEAR('Licenses'!F73)=Settings!$B$40),'Licenses'!I73,""))</f>
        <v/>
      </c>
      <c r="H73" s="45">
        <f>IF('Licenses'!F73="","",IF(AND(MONTH('Licenses'!F73)=5,YEAR('Licenses'!F73)=Settings!$B$40),'Licenses'!I73,""))</f>
        <v/>
      </c>
      <c r="I73" s="45">
        <f>IF('Licenses'!F73="","",IF(AND(MONTH('Licenses'!F73)=6,YEAR('Licenses'!F73)=Settings!$B$40),'Licenses'!I73,""))</f>
        <v/>
      </c>
      <c r="J73" s="45">
        <f>IF('Licenses'!F73="","",IF(AND(MONTH('Licenses'!F73)=7,YEAR('Licenses'!F73)=Settings!$B$40),'Licenses'!I73,""))</f>
        <v/>
      </c>
      <c r="K73" s="45">
        <f>IF('Licenses'!F73="","",IF(AND(MONTH('Licenses'!F73)=8,YEAR('Licenses'!F73)=Settings!$B$40),'Licenses'!I73,""))</f>
        <v/>
      </c>
      <c r="L73" s="45">
        <f>IF('Licenses'!F73="","",IF(AND(MONTH('Licenses'!F73)=9,YEAR('Licenses'!F73)=Settings!$B$40),'Licenses'!I73,""))</f>
        <v/>
      </c>
      <c r="M73" s="45">
        <f>IF('Licenses'!F73="","",IF(AND(MONTH('Licenses'!F73)=10,YEAR('Licenses'!F73)=Settings!$B$40),'Licenses'!I73,""))</f>
        <v/>
      </c>
      <c r="N73" s="45">
        <f>IF('Licenses'!F73="","",IF(AND(MONTH('Licenses'!F73)=11,YEAR('Licenses'!F73)=Settings!$B$40),'Licenses'!I73,""))</f>
        <v/>
      </c>
      <c r="O73" s="45">
        <f>IF('Licenses'!F73="","",IF(AND(MONTH('Licenses'!F73)=12,YEAR('Licenses'!F73)=Settings!$B$40),'Licenses'!I73,""))</f>
        <v/>
      </c>
    </row>
    <row r="74" ht="18" customHeight="1">
      <c r="A74" s="46">
        <f>IF('Licenses'!A74="","",'Licenses'!A74)</f>
        <v/>
      </c>
      <c r="B74" s="46">
        <f>IF('Licenses'!B74="","",'Licenses'!B74)</f>
        <v/>
      </c>
      <c r="C74" s="46">
        <f>IF('Licenses'!D74="","",'Licenses'!D74)</f>
        <v/>
      </c>
      <c r="D74" s="47">
        <f>IF('Licenses'!F74="","",IF(AND(MONTH('Licenses'!F74)=1,YEAR('Licenses'!F74)=Settings!$B$40),'Licenses'!I74,""))</f>
        <v/>
      </c>
      <c r="E74" s="47">
        <f>IF('Licenses'!F74="","",IF(AND(MONTH('Licenses'!F74)=2,YEAR('Licenses'!F74)=Settings!$B$40),'Licenses'!I74,""))</f>
        <v/>
      </c>
      <c r="F74" s="47">
        <f>IF('Licenses'!F74="","",IF(AND(MONTH('Licenses'!F74)=3,YEAR('Licenses'!F74)=Settings!$B$40),'Licenses'!I74,""))</f>
        <v/>
      </c>
      <c r="G74" s="47">
        <f>IF('Licenses'!F74="","",IF(AND(MONTH('Licenses'!F74)=4,YEAR('Licenses'!F74)=Settings!$B$40),'Licenses'!I74,""))</f>
        <v/>
      </c>
      <c r="H74" s="47">
        <f>IF('Licenses'!F74="","",IF(AND(MONTH('Licenses'!F74)=5,YEAR('Licenses'!F74)=Settings!$B$40),'Licenses'!I74,""))</f>
        <v/>
      </c>
      <c r="I74" s="47">
        <f>IF('Licenses'!F74="","",IF(AND(MONTH('Licenses'!F74)=6,YEAR('Licenses'!F74)=Settings!$B$40),'Licenses'!I74,""))</f>
        <v/>
      </c>
      <c r="J74" s="47">
        <f>IF('Licenses'!F74="","",IF(AND(MONTH('Licenses'!F74)=7,YEAR('Licenses'!F74)=Settings!$B$40),'Licenses'!I74,""))</f>
        <v/>
      </c>
      <c r="K74" s="47">
        <f>IF('Licenses'!F74="","",IF(AND(MONTH('Licenses'!F74)=8,YEAR('Licenses'!F74)=Settings!$B$40),'Licenses'!I74,""))</f>
        <v/>
      </c>
      <c r="L74" s="47">
        <f>IF('Licenses'!F74="","",IF(AND(MONTH('Licenses'!F74)=9,YEAR('Licenses'!F74)=Settings!$B$40),'Licenses'!I74,""))</f>
        <v/>
      </c>
      <c r="M74" s="47">
        <f>IF('Licenses'!F74="","",IF(AND(MONTH('Licenses'!F74)=10,YEAR('Licenses'!F74)=Settings!$B$40),'Licenses'!I74,""))</f>
        <v/>
      </c>
      <c r="N74" s="47">
        <f>IF('Licenses'!F74="","",IF(AND(MONTH('Licenses'!F74)=11,YEAR('Licenses'!F74)=Settings!$B$40),'Licenses'!I74,""))</f>
        <v/>
      </c>
      <c r="O74" s="47">
        <f>IF('Licenses'!F74="","",IF(AND(MONTH('Licenses'!F74)=12,YEAR('Licenses'!F74)=Settings!$B$40),'Licenses'!I74,""))</f>
        <v/>
      </c>
    </row>
    <row r="75" ht="18" customHeight="1">
      <c r="A75" s="44">
        <f>IF('Licenses'!A75="","",'Licenses'!A75)</f>
        <v/>
      </c>
      <c r="B75" s="44">
        <f>IF('Licenses'!B75="","",'Licenses'!B75)</f>
        <v/>
      </c>
      <c r="C75" s="44">
        <f>IF('Licenses'!D75="","",'Licenses'!D75)</f>
        <v/>
      </c>
      <c r="D75" s="45">
        <f>IF('Licenses'!F75="","",IF(AND(MONTH('Licenses'!F75)=1,YEAR('Licenses'!F75)=Settings!$B$40),'Licenses'!I75,""))</f>
        <v/>
      </c>
      <c r="E75" s="45">
        <f>IF('Licenses'!F75="","",IF(AND(MONTH('Licenses'!F75)=2,YEAR('Licenses'!F75)=Settings!$B$40),'Licenses'!I75,""))</f>
        <v/>
      </c>
      <c r="F75" s="45">
        <f>IF('Licenses'!F75="","",IF(AND(MONTH('Licenses'!F75)=3,YEAR('Licenses'!F75)=Settings!$B$40),'Licenses'!I75,""))</f>
        <v/>
      </c>
      <c r="G75" s="45">
        <f>IF('Licenses'!F75="","",IF(AND(MONTH('Licenses'!F75)=4,YEAR('Licenses'!F75)=Settings!$B$40),'Licenses'!I75,""))</f>
        <v/>
      </c>
      <c r="H75" s="45">
        <f>IF('Licenses'!F75="","",IF(AND(MONTH('Licenses'!F75)=5,YEAR('Licenses'!F75)=Settings!$B$40),'Licenses'!I75,""))</f>
        <v/>
      </c>
      <c r="I75" s="45">
        <f>IF('Licenses'!F75="","",IF(AND(MONTH('Licenses'!F75)=6,YEAR('Licenses'!F75)=Settings!$B$40),'Licenses'!I75,""))</f>
        <v/>
      </c>
      <c r="J75" s="45">
        <f>IF('Licenses'!F75="","",IF(AND(MONTH('Licenses'!F75)=7,YEAR('Licenses'!F75)=Settings!$B$40),'Licenses'!I75,""))</f>
        <v/>
      </c>
      <c r="K75" s="45">
        <f>IF('Licenses'!F75="","",IF(AND(MONTH('Licenses'!F75)=8,YEAR('Licenses'!F75)=Settings!$B$40),'Licenses'!I75,""))</f>
        <v/>
      </c>
      <c r="L75" s="45">
        <f>IF('Licenses'!F75="","",IF(AND(MONTH('Licenses'!F75)=9,YEAR('Licenses'!F75)=Settings!$B$40),'Licenses'!I75,""))</f>
        <v/>
      </c>
      <c r="M75" s="45">
        <f>IF('Licenses'!F75="","",IF(AND(MONTH('Licenses'!F75)=10,YEAR('Licenses'!F75)=Settings!$B$40),'Licenses'!I75,""))</f>
        <v/>
      </c>
      <c r="N75" s="45">
        <f>IF('Licenses'!F75="","",IF(AND(MONTH('Licenses'!F75)=11,YEAR('Licenses'!F75)=Settings!$B$40),'Licenses'!I75,""))</f>
        <v/>
      </c>
      <c r="O75" s="45">
        <f>IF('Licenses'!F75="","",IF(AND(MONTH('Licenses'!F75)=12,YEAR('Licenses'!F75)=Settings!$B$40),'Licenses'!I75,""))</f>
        <v/>
      </c>
    </row>
    <row r="76" ht="18" customHeight="1">
      <c r="A76" s="46">
        <f>IF('Licenses'!A76="","",'Licenses'!A76)</f>
        <v/>
      </c>
      <c r="B76" s="46">
        <f>IF('Licenses'!B76="","",'Licenses'!B76)</f>
        <v/>
      </c>
      <c r="C76" s="46">
        <f>IF('Licenses'!D76="","",'Licenses'!D76)</f>
        <v/>
      </c>
      <c r="D76" s="47">
        <f>IF('Licenses'!F76="","",IF(AND(MONTH('Licenses'!F76)=1,YEAR('Licenses'!F76)=Settings!$B$40),'Licenses'!I76,""))</f>
        <v/>
      </c>
      <c r="E76" s="47">
        <f>IF('Licenses'!F76="","",IF(AND(MONTH('Licenses'!F76)=2,YEAR('Licenses'!F76)=Settings!$B$40),'Licenses'!I76,""))</f>
        <v/>
      </c>
      <c r="F76" s="47">
        <f>IF('Licenses'!F76="","",IF(AND(MONTH('Licenses'!F76)=3,YEAR('Licenses'!F76)=Settings!$B$40),'Licenses'!I76,""))</f>
        <v/>
      </c>
      <c r="G76" s="47">
        <f>IF('Licenses'!F76="","",IF(AND(MONTH('Licenses'!F76)=4,YEAR('Licenses'!F76)=Settings!$B$40),'Licenses'!I76,""))</f>
        <v/>
      </c>
      <c r="H76" s="47">
        <f>IF('Licenses'!F76="","",IF(AND(MONTH('Licenses'!F76)=5,YEAR('Licenses'!F76)=Settings!$B$40),'Licenses'!I76,""))</f>
        <v/>
      </c>
      <c r="I76" s="47">
        <f>IF('Licenses'!F76="","",IF(AND(MONTH('Licenses'!F76)=6,YEAR('Licenses'!F76)=Settings!$B$40),'Licenses'!I76,""))</f>
        <v/>
      </c>
      <c r="J76" s="47">
        <f>IF('Licenses'!F76="","",IF(AND(MONTH('Licenses'!F76)=7,YEAR('Licenses'!F76)=Settings!$B$40),'Licenses'!I76,""))</f>
        <v/>
      </c>
      <c r="K76" s="47">
        <f>IF('Licenses'!F76="","",IF(AND(MONTH('Licenses'!F76)=8,YEAR('Licenses'!F76)=Settings!$B$40),'Licenses'!I76,""))</f>
        <v/>
      </c>
      <c r="L76" s="47">
        <f>IF('Licenses'!F76="","",IF(AND(MONTH('Licenses'!F76)=9,YEAR('Licenses'!F76)=Settings!$B$40),'Licenses'!I76,""))</f>
        <v/>
      </c>
      <c r="M76" s="47">
        <f>IF('Licenses'!F76="","",IF(AND(MONTH('Licenses'!F76)=10,YEAR('Licenses'!F76)=Settings!$B$40),'Licenses'!I76,""))</f>
        <v/>
      </c>
      <c r="N76" s="47">
        <f>IF('Licenses'!F76="","",IF(AND(MONTH('Licenses'!F76)=11,YEAR('Licenses'!F76)=Settings!$B$40),'Licenses'!I76,""))</f>
        <v/>
      </c>
      <c r="O76" s="47">
        <f>IF('Licenses'!F76="","",IF(AND(MONTH('Licenses'!F76)=12,YEAR('Licenses'!F76)=Settings!$B$40),'Licenses'!I76,""))</f>
        <v/>
      </c>
    </row>
    <row r="77" ht="18" customHeight="1">
      <c r="A77" s="44">
        <f>IF('Licenses'!A77="","",'Licenses'!A77)</f>
        <v/>
      </c>
      <c r="B77" s="44">
        <f>IF('Licenses'!B77="","",'Licenses'!B77)</f>
        <v/>
      </c>
      <c r="C77" s="44">
        <f>IF('Licenses'!D77="","",'Licenses'!D77)</f>
        <v/>
      </c>
      <c r="D77" s="45">
        <f>IF('Licenses'!F77="","",IF(AND(MONTH('Licenses'!F77)=1,YEAR('Licenses'!F77)=Settings!$B$40),'Licenses'!I77,""))</f>
        <v/>
      </c>
      <c r="E77" s="45">
        <f>IF('Licenses'!F77="","",IF(AND(MONTH('Licenses'!F77)=2,YEAR('Licenses'!F77)=Settings!$B$40),'Licenses'!I77,""))</f>
        <v/>
      </c>
      <c r="F77" s="45">
        <f>IF('Licenses'!F77="","",IF(AND(MONTH('Licenses'!F77)=3,YEAR('Licenses'!F77)=Settings!$B$40),'Licenses'!I77,""))</f>
        <v/>
      </c>
      <c r="G77" s="45">
        <f>IF('Licenses'!F77="","",IF(AND(MONTH('Licenses'!F77)=4,YEAR('Licenses'!F77)=Settings!$B$40),'Licenses'!I77,""))</f>
        <v/>
      </c>
      <c r="H77" s="45">
        <f>IF('Licenses'!F77="","",IF(AND(MONTH('Licenses'!F77)=5,YEAR('Licenses'!F77)=Settings!$B$40),'Licenses'!I77,""))</f>
        <v/>
      </c>
      <c r="I77" s="45">
        <f>IF('Licenses'!F77="","",IF(AND(MONTH('Licenses'!F77)=6,YEAR('Licenses'!F77)=Settings!$B$40),'Licenses'!I77,""))</f>
        <v/>
      </c>
      <c r="J77" s="45">
        <f>IF('Licenses'!F77="","",IF(AND(MONTH('Licenses'!F77)=7,YEAR('Licenses'!F77)=Settings!$B$40),'Licenses'!I77,""))</f>
        <v/>
      </c>
      <c r="K77" s="45">
        <f>IF('Licenses'!F77="","",IF(AND(MONTH('Licenses'!F77)=8,YEAR('Licenses'!F77)=Settings!$B$40),'Licenses'!I77,""))</f>
        <v/>
      </c>
      <c r="L77" s="45">
        <f>IF('Licenses'!F77="","",IF(AND(MONTH('Licenses'!F77)=9,YEAR('Licenses'!F77)=Settings!$B$40),'Licenses'!I77,""))</f>
        <v/>
      </c>
      <c r="M77" s="45">
        <f>IF('Licenses'!F77="","",IF(AND(MONTH('Licenses'!F77)=10,YEAR('Licenses'!F77)=Settings!$B$40),'Licenses'!I77,""))</f>
        <v/>
      </c>
      <c r="N77" s="45">
        <f>IF('Licenses'!F77="","",IF(AND(MONTH('Licenses'!F77)=11,YEAR('Licenses'!F77)=Settings!$B$40),'Licenses'!I77,""))</f>
        <v/>
      </c>
      <c r="O77" s="45">
        <f>IF('Licenses'!F77="","",IF(AND(MONTH('Licenses'!F77)=12,YEAR('Licenses'!F77)=Settings!$B$40),'Licenses'!I77,""))</f>
        <v/>
      </c>
    </row>
    <row r="78" ht="18" customHeight="1">
      <c r="A78" s="46">
        <f>IF('Licenses'!A78="","",'Licenses'!A78)</f>
        <v/>
      </c>
      <c r="B78" s="46">
        <f>IF('Licenses'!B78="","",'Licenses'!B78)</f>
        <v/>
      </c>
      <c r="C78" s="46">
        <f>IF('Licenses'!D78="","",'Licenses'!D78)</f>
        <v/>
      </c>
      <c r="D78" s="47">
        <f>IF('Licenses'!F78="","",IF(AND(MONTH('Licenses'!F78)=1,YEAR('Licenses'!F78)=Settings!$B$40),'Licenses'!I78,""))</f>
        <v/>
      </c>
      <c r="E78" s="47">
        <f>IF('Licenses'!F78="","",IF(AND(MONTH('Licenses'!F78)=2,YEAR('Licenses'!F78)=Settings!$B$40),'Licenses'!I78,""))</f>
        <v/>
      </c>
      <c r="F78" s="47">
        <f>IF('Licenses'!F78="","",IF(AND(MONTH('Licenses'!F78)=3,YEAR('Licenses'!F78)=Settings!$B$40),'Licenses'!I78,""))</f>
        <v/>
      </c>
      <c r="G78" s="47">
        <f>IF('Licenses'!F78="","",IF(AND(MONTH('Licenses'!F78)=4,YEAR('Licenses'!F78)=Settings!$B$40),'Licenses'!I78,""))</f>
        <v/>
      </c>
      <c r="H78" s="47">
        <f>IF('Licenses'!F78="","",IF(AND(MONTH('Licenses'!F78)=5,YEAR('Licenses'!F78)=Settings!$B$40),'Licenses'!I78,""))</f>
        <v/>
      </c>
      <c r="I78" s="47">
        <f>IF('Licenses'!F78="","",IF(AND(MONTH('Licenses'!F78)=6,YEAR('Licenses'!F78)=Settings!$B$40),'Licenses'!I78,""))</f>
        <v/>
      </c>
      <c r="J78" s="47">
        <f>IF('Licenses'!F78="","",IF(AND(MONTH('Licenses'!F78)=7,YEAR('Licenses'!F78)=Settings!$B$40),'Licenses'!I78,""))</f>
        <v/>
      </c>
      <c r="K78" s="47">
        <f>IF('Licenses'!F78="","",IF(AND(MONTH('Licenses'!F78)=8,YEAR('Licenses'!F78)=Settings!$B$40),'Licenses'!I78,""))</f>
        <v/>
      </c>
      <c r="L78" s="47">
        <f>IF('Licenses'!F78="","",IF(AND(MONTH('Licenses'!F78)=9,YEAR('Licenses'!F78)=Settings!$B$40),'Licenses'!I78,""))</f>
        <v/>
      </c>
      <c r="M78" s="47">
        <f>IF('Licenses'!F78="","",IF(AND(MONTH('Licenses'!F78)=10,YEAR('Licenses'!F78)=Settings!$B$40),'Licenses'!I78,""))</f>
        <v/>
      </c>
      <c r="N78" s="47">
        <f>IF('Licenses'!F78="","",IF(AND(MONTH('Licenses'!F78)=11,YEAR('Licenses'!F78)=Settings!$B$40),'Licenses'!I78,""))</f>
        <v/>
      </c>
      <c r="O78" s="47">
        <f>IF('Licenses'!F78="","",IF(AND(MONTH('Licenses'!F78)=12,YEAR('Licenses'!F78)=Settings!$B$40),'Licenses'!I78,""))</f>
        <v/>
      </c>
    </row>
    <row r="79" ht="18" customHeight="1">
      <c r="A79" s="44">
        <f>IF('Licenses'!A79="","",'Licenses'!A79)</f>
        <v/>
      </c>
      <c r="B79" s="44">
        <f>IF('Licenses'!B79="","",'Licenses'!B79)</f>
        <v/>
      </c>
      <c r="C79" s="44">
        <f>IF('Licenses'!D79="","",'Licenses'!D79)</f>
        <v/>
      </c>
      <c r="D79" s="45">
        <f>IF('Licenses'!F79="","",IF(AND(MONTH('Licenses'!F79)=1,YEAR('Licenses'!F79)=Settings!$B$40),'Licenses'!I79,""))</f>
        <v/>
      </c>
      <c r="E79" s="45">
        <f>IF('Licenses'!F79="","",IF(AND(MONTH('Licenses'!F79)=2,YEAR('Licenses'!F79)=Settings!$B$40),'Licenses'!I79,""))</f>
        <v/>
      </c>
      <c r="F79" s="45">
        <f>IF('Licenses'!F79="","",IF(AND(MONTH('Licenses'!F79)=3,YEAR('Licenses'!F79)=Settings!$B$40),'Licenses'!I79,""))</f>
        <v/>
      </c>
      <c r="G79" s="45">
        <f>IF('Licenses'!F79="","",IF(AND(MONTH('Licenses'!F79)=4,YEAR('Licenses'!F79)=Settings!$B$40),'Licenses'!I79,""))</f>
        <v/>
      </c>
      <c r="H79" s="45">
        <f>IF('Licenses'!F79="","",IF(AND(MONTH('Licenses'!F79)=5,YEAR('Licenses'!F79)=Settings!$B$40),'Licenses'!I79,""))</f>
        <v/>
      </c>
      <c r="I79" s="45">
        <f>IF('Licenses'!F79="","",IF(AND(MONTH('Licenses'!F79)=6,YEAR('Licenses'!F79)=Settings!$B$40),'Licenses'!I79,""))</f>
        <v/>
      </c>
      <c r="J79" s="45">
        <f>IF('Licenses'!F79="","",IF(AND(MONTH('Licenses'!F79)=7,YEAR('Licenses'!F79)=Settings!$B$40),'Licenses'!I79,""))</f>
        <v/>
      </c>
      <c r="K79" s="45">
        <f>IF('Licenses'!F79="","",IF(AND(MONTH('Licenses'!F79)=8,YEAR('Licenses'!F79)=Settings!$B$40),'Licenses'!I79,""))</f>
        <v/>
      </c>
      <c r="L79" s="45">
        <f>IF('Licenses'!F79="","",IF(AND(MONTH('Licenses'!F79)=9,YEAR('Licenses'!F79)=Settings!$B$40),'Licenses'!I79,""))</f>
        <v/>
      </c>
      <c r="M79" s="45">
        <f>IF('Licenses'!F79="","",IF(AND(MONTH('Licenses'!F79)=10,YEAR('Licenses'!F79)=Settings!$B$40),'Licenses'!I79,""))</f>
        <v/>
      </c>
      <c r="N79" s="45">
        <f>IF('Licenses'!F79="","",IF(AND(MONTH('Licenses'!F79)=11,YEAR('Licenses'!F79)=Settings!$B$40),'Licenses'!I79,""))</f>
        <v/>
      </c>
      <c r="O79" s="45">
        <f>IF('Licenses'!F79="","",IF(AND(MONTH('Licenses'!F79)=12,YEAR('Licenses'!F79)=Settings!$B$40),'Licenses'!I79,""))</f>
        <v/>
      </c>
    </row>
    <row r="80" ht="18" customHeight="1">
      <c r="A80" s="46">
        <f>IF('Licenses'!A80="","",'Licenses'!A80)</f>
        <v/>
      </c>
      <c r="B80" s="46">
        <f>IF('Licenses'!B80="","",'Licenses'!B80)</f>
        <v/>
      </c>
      <c r="C80" s="46">
        <f>IF('Licenses'!D80="","",'Licenses'!D80)</f>
        <v/>
      </c>
      <c r="D80" s="47">
        <f>IF('Licenses'!F80="","",IF(AND(MONTH('Licenses'!F80)=1,YEAR('Licenses'!F80)=Settings!$B$40),'Licenses'!I80,""))</f>
        <v/>
      </c>
      <c r="E80" s="47">
        <f>IF('Licenses'!F80="","",IF(AND(MONTH('Licenses'!F80)=2,YEAR('Licenses'!F80)=Settings!$B$40),'Licenses'!I80,""))</f>
        <v/>
      </c>
      <c r="F80" s="47">
        <f>IF('Licenses'!F80="","",IF(AND(MONTH('Licenses'!F80)=3,YEAR('Licenses'!F80)=Settings!$B$40),'Licenses'!I80,""))</f>
        <v/>
      </c>
      <c r="G80" s="47">
        <f>IF('Licenses'!F80="","",IF(AND(MONTH('Licenses'!F80)=4,YEAR('Licenses'!F80)=Settings!$B$40),'Licenses'!I80,""))</f>
        <v/>
      </c>
      <c r="H80" s="47">
        <f>IF('Licenses'!F80="","",IF(AND(MONTH('Licenses'!F80)=5,YEAR('Licenses'!F80)=Settings!$B$40),'Licenses'!I80,""))</f>
        <v/>
      </c>
      <c r="I80" s="47">
        <f>IF('Licenses'!F80="","",IF(AND(MONTH('Licenses'!F80)=6,YEAR('Licenses'!F80)=Settings!$B$40),'Licenses'!I80,""))</f>
        <v/>
      </c>
      <c r="J80" s="47">
        <f>IF('Licenses'!F80="","",IF(AND(MONTH('Licenses'!F80)=7,YEAR('Licenses'!F80)=Settings!$B$40),'Licenses'!I80,""))</f>
        <v/>
      </c>
      <c r="K80" s="47">
        <f>IF('Licenses'!F80="","",IF(AND(MONTH('Licenses'!F80)=8,YEAR('Licenses'!F80)=Settings!$B$40),'Licenses'!I80,""))</f>
        <v/>
      </c>
      <c r="L80" s="47">
        <f>IF('Licenses'!F80="","",IF(AND(MONTH('Licenses'!F80)=9,YEAR('Licenses'!F80)=Settings!$B$40),'Licenses'!I80,""))</f>
        <v/>
      </c>
      <c r="M80" s="47">
        <f>IF('Licenses'!F80="","",IF(AND(MONTH('Licenses'!F80)=10,YEAR('Licenses'!F80)=Settings!$B$40),'Licenses'!I80,""))</f>
        <v/>
      </c>
      <c r="N80" s="47">
        <f>IF('Licenses'!F80="","",IF(AND(MONTH('Licenses'!F80)=11,YEAR('Licenses'!F80)=Settings!$B$40),'Licenses'!I80,""))</f>
        <v/>
      </c>
      <c r="O80" s="47">
        <f>IF('Licenses'!F80="","",IF(AND(MONTH('Licenses'!F80)=12,YEAR('Licenses'!F80)=Settings!$B$40),'Licenses'!I80,""))</f>
        <v/>
      </c>
    </row>
    <row r="81" ht="18" customHeight="1">
      <c r="A81" s="44">
        <f>IF('Licenses'!A81="","",'Licenses'!A81)</f>
        <v/>
      </c>
      <c r="B81" s="44">
        <f>IF('Licenses'!B81="","",'Licenses'!B81)</f>
        <v/>
      </c>
      <c r="C81" s="44">
        <f>IF('Licenses'!D81="","",'Licenses'!D81)</f>
        <v/>
      </c>
      <c r="D81" s="45">
        <f>IF('Licenses'!F81="","",IF(AND(MONTH('Licenses'!F81)=1,YEAR('Licenses'!F81)=Settings!$B$40),'Licenses'!I81,""))</f>
        <v/>
      </c>
      <c r="E81" s="45">
        <f>IF('Licenses'!F81="","",IF(AND(MONTH('Licenses'!F81)=2,YEAR('Licenses'!F81)=Settings!$B$40),'Licenses'!I81,""))</f>
        <v/>
      </c>
      <c r="F81" s="45">
        <f>IF('Licenses'!F81="","",IF(AND(MONTH('Licenses'!F81)=3,YEAR('Licenses'!F81)=Settings!$B$40),'Licenses'!I81,""))</f>
        <v/>
      </c>
      <c r="G81" s="45">
        <f>IF('Licenses'!F81="","",IF(AND(MONTH('Licenses'!F81)=4,YEAR('Licenses'!F81)=Settings!$B$40),'Licenses'!I81,""))</f>
        <v/>
      </c>
      <c r="H81" s="45">
        <f>IF('Licenses'!F81="","",IF(AND(MONTH('Licenses'!F81)=5,YEAR('Licenses'!F81)=Settings!$B$40),'Licenses'!I81,""))</f>
        <v/>
      </c>
      <c r="I81" s="45">
        <f>IF('Licenses'!F81="","",IF(AND(MONTH('Licenses'!F81)=6,YEAR('Licenses'!F81)=Settings!$B$40),'Licenses'!I81,""))</f>
        <v/>
      </c>
      <c r="J81" s="45">
        <f>IF('Licenses'!F81="","",IF(AND(MONTH('Licenses'!F81)=7,YEAR('Licenses'!F81)=Settings!$B$40),'Licenses'!I81,""))</f>
        <v/>
      </c>
      <c r="K81" s="45">
        <f>IF('Licenses'!F81="","",IF(AND(MONTH('Licenses'!F81)=8,YEAR('Licenses'!F81)=Settings!$B$40),'Licenses'!I81,""))</f>
        <v/>
      </c>
      <c r="L81" s="45">
        <f>IF('Licenses'!F81="","",IF(AND(MONTH('Licenses'!F81)=9,YEAR('Licenses'!F81)=Settings!$B$40),'Licenses'!I81,""))</f>
        <v/>
      </c>
      <c r="M81" s="45">
        <f>IF('Licenses'!F81="","",IF(AND(MONTH('Licenses'!F81)=10,YEAR('Licenses'!F81)=Settings!$B$40),'Licenses'!I81,""))</f>
        <v/>
      </c>
      <c r="N81" s="45">
        <f>IF('Licenses'!F81="","",IF(AND(MONTH('Licenses'!F81)=11,YEAR('Licenses'!F81)=Settings!$B$40),'Licenses'!I81,""))</f>
        <v/>
      </c>
      <c r="O81" s="45">
        <f>IF('Licenses'!F81="","",IF(AND(MONTH('Licenses'!F81)=12,YEAR('Licenses'!F81)=Settings!$B$40),'Licenses'!I81,""))</f>
        <v/>
      </c>
    </row>
    <row r="82" ht="18" customHeight="1">
      <c r="A82" s="46">
        <f>IF('Licenses'!A82="","",'Licenses'!A82)</f>
        <v/>
      </c>
      <c r="B82" s="46">
        <f>IF('Licenses'!B82="","",'Licenses'!B82)</f>
        <v/>
      </c>
      <c r="C82" s="46">
        <f>IF('Licenses'!D82="","",'Licenses'!D82)</f>
        <v/>
      </c>
      <c r="D82" s="47">
        <f>IF('Licenses'!F82="","",IF(AND(MONTH('Licenses'!F82)=1,YEAR('Licenses'!F82)=Settings!$B$40),'Licenses'!I82,""))</f>
        <v/>
      </c>
      <c r="E82" s="47">
        <f>IF('Licenses'!F82="","",IF(AND(MONTH('Licenses'!F82)=2,YEAR('Licenses'!F82)=Settings!$B$40),'Licenses'!I82,""))</f>
        <v/>
      </c>
      <c r="F82" s="47">
        <f>IF('Licenses'!F82="","",IF(AND(MONTH('Licenses'!F82)=3,YEAR('Licenses'!F82)=Settings!$B$40),'Licenses'!I82,""))</f>
        <v/>
      </c>
      <c r="G82" s="47">
        <f>IF('Licenses'!F82="","",IF(AND(MONTH('Licenses'!F82)=4,YEAR('Licenses'!F82)=Settings!$B$40),'Licenses'!I82,""))</f>
        <v/>
      </c>
      <c r="H82" s="47">
        <f>IF('Licenses'!F82="","",IF(AND(MONTH('Licenses'!F82)=5,YEAR('Licenses'!F82)=Settings!$B$40),'Licenses'!I82,""))</f>
        <v/>
      </c>
      <c r="I82" s="47">
        <f>IF('Licenses'!F82="","",IF(AND(MONTH('Licenses'!F82)=6,YEAR('Licenses'!F82)=Settings!$B$40),'Licenses'!I82,""))</f>
        <v/>
      </c>
      <c r="J82" s="47">
        <f>IF('Licenses'!F82="","",IF(AND(MONTH('Licenses'!F82)=7,YEAR('Licenses'!F82)=Settings!$B$40),'Licenses'!I82,""))</f>
        <v/>
      </c>
      <c r="K82" s="47">
        <f>IF('Licenses'!F82="","",IF(AND(MONTH('Licenses'!F82)=8,YEAR('Licenses'!F82)=Settings!$B$40),'Licenses'!I82,""))</f>
        <v/>
      </c>
      <c r="L82" s="47">
        <f>IF('Licenses'!F82="","",IF(AND(MONTH('Licenses'!F82)=9,YEAR('Licenses'!F82)=Settings!$B$40),'Licenses'!I82,""))</f>
        <v/>
      </c>
      <c r="M82" s="47">
        <f>IF('Licenses'!F82="","",IF(AND(MONTH('Licenses'!F82)=10,YEAR('Licenses'!F82)=Settings!$B$40),'Licenses'!I82,""))</f>
        <v/>
      </c>
      <c r="N82" s="47">
        <f>IF('Licenses'!F82="","",IF(AND(MONTH('Licenses'!F82)=11,YEAR('Licenses'!F82)=Settings!$B$40),'Licenses'!I82,""))</f>
        <v/>
      </c>
      <c r="O82" s="47">
        <f>IF('Licenses'!F82="","",IF(AND(MONTH('Licenses'!F82)=12,YEAR('Licenses'!F82)=Settings!$B$40),'Licenses'!I82,""))</f>
        <v/>
      </c>
    </row>
    <row r="83" ht="18" customHeight="1">
      <c r="A83" s="44">
        <f>IF('Licenses'!A83="","",'Licenses'!A83)</f>
        <v/>
      </c>
      <c r="B83" s="44">
        <f>IF('Licenses'!B83="","",'Licenses'!B83)</f>
        <v/>
      </c>
      <c r="C83" s="44">
        <f>IF('Licenses'!D83="","",'Licenses'!D83)</f>
        <v/>
      </c>
      <c r="D83" s="45">
        <f>IF('Licenses'!F83="","",IF(AND(MONTH('Licenses'!F83)=1,YEAR('Licenses'!F83)=Settings!$B$40),'Licenses'!I83,""))</f>
        <v/>
      </c>
      <c r="E83" s="45">
        <f>IF('Licenses'!F83="","",IF(AND(MONTH('Licenses'!F83)=2,YEAR('Licenses'!F83)=Settings!$B$40),'Licenses'!I83,""))</f>
        <v/>
      </c>
      <c r="F83" s="45">
        <f>IF('Licenses'!F83="","",IF(AND(MONTH('Licenses'!F83)=3,YEAR('Licenses'!F83)=Settings!$B$40),'Licenses'!I83,""))</f>
        <v/>
      </c>
      <c r="G83" s="45">
        <f>IF('Licenses'!F83="","",IF(AND(MONTH('Licenses'!F83)=4,YEAR('Licenses'!F83)=Settings!$B$40),'Licenses'!I83,""))</f>
        <v/>
      </c>
      <c r="H83" s="45">
        <f>IF('Licenses'!F83="","",IF(AND(MONTH('Licenses'!F83)=5,YEAR('Licenses'!F83)=Settings!$B$40),'Licenses'!I83,""))</f>
        <v/>
      </c>
      <c r="I83" s="45">
        <f>IF('Licenses'!F83="","",IF(AND(MONTH('Licenses'!F83)=6,YEAR('Licenses'!F83)=Settings!$B$40),'Licenses'!I83,""))</f>
        <v/>
      </c>
      <c r="J83" s="45">
        <f>IF('Licenses'!F83="","",IF(AND(MONTH('Licenses'!F83)=7,YEAR('Licenses'!F83)=Settings!$B$40),'Licenses'!I83,""))</f>
        <v/>
      </c>
      <c r="K83" s="45">
        <f>IF('Licenses'!F83="","",IF(AND(MONTH('Licenses'!F83)=8,YEAR('Licenses'!F83)=Settings!$B$40),'Licenses'!I83,""))</f>
        <v/>
      </c>
      <c r="L83" s="45">
        <f>IF('Licenses'!F83="","",IF(AND(MONTH('Licenses'!F83)=9,YEAR('Licenses'!F83)=Settings!$B$40),'Licenses'!I83,""))</f>
        <v/>
      </c>
      <c r="M83" s="45">
        <f>IF('Licenses'!F83="","",IF(AND(MONTH('Licenses'!F83)=10,YEAR('Licenses'!F83)=Settings!$B$40),'Licenses'!I83,""))</f>
        <v/>
      </c>
      <c r="N83" s="45">
        <f>IF('Licenses'!F83="","",IF(AND(MONTH('Licenses'!F83)=11,YEAR('Licenses'!F83)=Settings!$B$40),'Licenses'!I83,""))</f>
        <v/>
      </c>
      <c r="O83" s="45">
        <f>IF('Licenses'!F83="","",IF(AND(MONTH('Licenses'!F83)=12,YEAR('Licenses'!F83)=Settings!$B$40),'Licenses'!I83,""))</f>
        <v/>
      </c>
    </row>
    <row r="84" ht="18" customHeight="1">
      <c r="A84" s="46">
        <f>IF('Licenses'!A84="","",'Licenses'!A84)</f>
        <v/>
      </c>
      <c r="B84" s="46">
        <f>IF('Licenses'!B84="","",'Licenses'!B84)</f>
        <v/>
      </c>
      <c r="C84" s="46">
        <f>IF('Licenses'!D84="","",'Licenses'!D84)</f>
        <v/>
      </c>
      <c r="D84" s="47">
        <f>IF('Licenses'!F84="","",IF(AND(MONTH('Licenses'!F84)=1,YEAR('Licenses'!F84)=Settings!$B$40),'Licenses'!I84,""))</f>
        <v/>
      </c>
      <c r="E84" s="47">
        <f>IF('Licenses'!F84="","",IF(AND(MONTH('Licenses'!F84)=2,YEAR('Licenses'!F84)=Settings!$B$40),'Licenses'!I84,""))</f>
        <v/>
      </c>
      <c r="F84" s="47">
        <f>IF('Licenses'!F84="","",IF(AND(MONTH('Licenses'!F84)=3,YEAR('Licenses'!F84)=Settings!$B$40),'Licenses'!I84,""))</f>
        <v/>
      </c>
      <c r="G84" s="47">
        <f>IF('Licenses'!F84="","",IF(AND(MONTH('Licenses'!F84)=4,YEAR('Licenses'!F84)=Settings!$B$40),'Licenses'!I84,""))</f>
        <v/>
      </c>
      <c r="H84" s="47">
        <f>IF('Licenses'!F84="","",IF(AND(MONTH('Licenses'!F84)=5,YEAR('Licenses'!F84)=Settings!$B$40),'Licenses'!I84,""))</f>
        <v/>
      </c>
      <c r="I84" s="47">
        <f>IF('Licenses'!F84="","",IF(AND(MONTH('Licenses'!F84)=6,YEAR('Licenses'!F84)=Settings!$B$40),'Licenses'!I84,""))</f>
        <v/>
      </c>
      <c r="J84" s="47">
        <f>IF('Licenses'!F84="","",IF(AND(MONTH('Licenses'!F84)=7,YEAR('Licenses'!F84)=Settings!$B$40),'Licenses'!I84,""))</f>
        <v/>
      </c>
      <c r="K84" s="47">
        <f>IF('Licenses'!F84="","",IF(AND(MONTH('Licenses'!F84)=8,YEAR('Licenses'!F84)=Settings!$B$40),'Licenses'!I84,""))</f>
        <v/>
      </c>
      <c r="L84" s="47">
        <f>IF('Licenses'!F84="","",IF(AND(MONTH('Licenses'!F84)=9,YEAR('Licenses'!F84)=Settings!$B$40),'Licenses'!I84,""))</f>
        <v/>
      </c>
      <c r="M84" s="47">
        <f>IF('Licenses'!F84="","",IF(AND(MONTH('Licenses'!F84)=10,YEAR('Licenses'!F84)=Settings!$B$40),'Licenses'!I84,""))</f>
        <v/>
      </c>
      <c r="N84" s="47">
        <f>IF('Licenses'!F84="","",IF(AND(MONTH('Licenses'!F84)=11,YEAR('Licenses'!F84)=Settings!$B$40),'Licenses'!I84,""))</f>
        <v/>
      </c>
      <c r="O84" s="47">
        <f>IF('Licenses'!F84="","",IF(AND(MONTH('Licenses'!F84)=12,YEAR('Licenses'!F84)=Settings!$B$40),'Licenses'!I84,""))</f>
        <v/>
      </c>
    </row>
    <row r="85" ht="18" customHeight="1">
      <c r="A85" s="44">
        <f>IF('Licenses'!A85="","",'Licenses'!A85)</f>
        <v/>
      </c>
      <c r="B85" s="44">
        <f>IF('Licenses'!B85="","",'Licenses'!B85)</f>
        <v/>
      </c>
      <c r="C85" s="44">
        <f>IF('Licenses'!D85="","",'Licenses'!D85)</f>
        <v/>
      </c>
      <c r="D85" s="45">
        <f>IF('Licenses'!F85="","",IF(AND(MONTH('Licenses'!F85)=1,YEAR('Licenses'!F85)=Settings!$B$40),'Licenses'!I85,""))</f>
        <v/>
      </c>
      <c r="E85" s="45">
        <f>IF('Licenses'!F85="","",IF(AND(MONTH('Licenses'!F85)=2,YEAR('Licenses'!F85)=Settings!$B$40),'Licenses'!I85,""))</f>
        <v/>
      </c>
      <c r="F85" s="45">
        <f>IF('Licenses'!F85="","",IF(AND(MONTH('Licenses'!F85)=3,YEAR('Licenses'!F85)=Settings!$B$40),'Licenses'!I85,""))</f>
        <v/>
      </c>
      <c r="G85" s="45">
        <f>IF('Licenses'!F85="","",IF(AND(MONTH('Licenses'!F85)=4,YEAR('Licenses'!F85)=Settings!$B$40),'Licenses'!I85,""))</f>
        <v/>
      </c>
      <c r="H85" s="45">
        <f>IF('Licenses'!F85="","",IF(AND(MONTH('Licenses'!F85)=5,YEAR('Licenses'!F85)=Settings!$B$40),'Licenses'!I85,""))</f>
        <v/>
      </c>
      <c r="I85" s="45">
        <f>IF('Licenses'!F85="","",IF(AND(MONTH('Licenses'!F85)=6,YEAR('Licenses'!F85)=Settings!$B$40),'Licenses'!I85,""))</f>
        <v/>
      </c>
      <c r="J85" s="45">
        <f>IF('Licenses'!F85="","",IF(AND(MONTH('Licenses'!F85)=7,YEAR('Licenses'!F85)=Settings!$B$40),'Licenses'!I85,""))</f>
        <v/>
      </c>
      <c r="K85" s="45">
        <f>IF('Licenses'!F85="","",IF(AND(MONTH('Licenses'!F85)=8,YEAR('Licenses'!F85)=Settings!$B$40),'Licenses'!I85,""))</f>
        <v/>
      </c>
      <c r="L85" s="45">
        <f>IF('Licenses'!F85="","",IF(AND(MONTH('Licenses'!F85)=9,YEAR('Licenses'!F85)=Settings!$B$40),'Licenses'!I85,""))</f>
        <v/>
      </c>
      <c r="M85" s="45">
        <f>IF('Licenses'!F85="","",IF(AND(MONTH('Licenses'!F85)=10,YEAR('Licenses'!F85)=Settings!$B$40),'Licenses'!I85,""))</f>
        <v/>
      </c>
      <c r="N85" s="45">
        <f>IF('Licenses'!F85="","",IF(AND(MONTH('Licenses'!F85)=11,YEAR('Licenses'!F85)=Settings!$B$40),'Licenses'!I85,""))</f>
        <v/>
      </c>
      <c r="O85" s="45">
        <f>IF('Licenses'!F85="","",IF(AND(MONTH('Licenses'!F85)=12,YEAR('Licenses'!F85)=Settings!$B$40),'Licenses'!I85,""))</f>
        <v/>
      </c>
    </row>
    <row r="86" ht="18" customHeight="1">
      <c r="A86" s="46">
        <f>IF('Licenses'!A86="","",'Licenses'!A86)</f>
        <v/>
      </c>
      <c r="B86" s="46">
        <f>IF('Licenses'!B86="","",'Licenses'!B86)</f>
        <v/>
      </c>
      <c r="C86" s="46">
        <f>IF('Licenses'!D86="","",'Licenses'!D86)</f>
        <v/>
      </c>
      <c r="D86" s="47">
        <f>IF('Licenses'!F86="","",IF(AND(MONTH('Licenses'!F86)=1,YEAR('Licenses'!F86)=Settings!$B$40),'Licenses'!I86,""))</f>
        <v/>
      </c>
      <c r="E86" s="47">
        <f>IF('Licenses'!F86="","",IF(AND(MONTH('Licenses'!F86)=2,YEAR('Licenses'!F86)=Settings!$B$40),'Licenses'!I86,""))</f>
        <v/>
      </c>
      <c r="F86" s="47">
        <f>IF('Licenses'!F86="","",IF(AND(MONTH('Licenses'!F86)=3,YEAR('Licenses'!F86)=Settings!$B$40),'Licenses'!I86,""))</f>
        <v/>
      </c>
      <c r="G86" s="47">
        <f>IF('Licenses'!F86="","",IF(AND(MONTH('Licenses'!F86)=4,YEAR('Licenses'!F86)=Settings!$B$40),'Licenses'!I86,""))</f>
        <v/>
      </c>
      <c r="H86" s="47">
        <f>IF('Licenses'!F86="","",IF(AND(MONTH('Licenses'!F86)=5,YEAR('Licenses'!F86)=Settings!$B$40),'Licenses'!I86,""))</f>
        <v/>
      </c>
      <c r="I86" s="47">
        <f>IF('Licenses'!F86="","",IF(AND(MONTH('Licenses'!F86)=6,YEAR('Licenses'!F86)=Settings!$B$40),'Licenses'!I86,""))</f>
        <v/>
      </c>
      <c r="J86" s="47">
        <f>IF('Licenses'!F86="","",IF(AND(MONTH('Licenses'!F86)=7,YEAR('Licenses'!F86)=Settings!$B$40),'Licenses'!I86,""))</f>
        <v/>
      </c>
      <c r="K86" s="47">
        <f>IF('Licenses'!F86="","",IF(AND(MONTH('Licenses'!F86)=8,YEAR('Licenses'!F86)=Settings!$B$40),'Licenses'!I86,""))</f>
        <v/>
      </c>
      <c r="L86" s="47">
        <f>IF('Licenses'!F86="","",IF(AND(MONTH('Licenses'!F86)=9,YEAR('Licenses'!F86)=Settings!$B$40),'Licenses'!I86,""))</f>
        <v/>
      </c>
      <c r="M86" s="47">
        <f>IF('Licenses'!F86="","",IF(AND(MONTH('Licenses'!F86)=10,YEAR('Licenses'!F86)=Settings!$B$40),'Licenses'!I86,""))</f>
        <v/>
      </c>
      <c r="N86" s="47">
        <f>IF('Licenses'!F86="","",IF(AND(MONTH('Licenses'!F86)=11,YEAR('Licenses'!F86)=Settings!$B$40),'Licenses'!I86,""))</f>
        <v/>
      </c>
      <c r="O86" s="47">
        <f>IF('Licenses'!F86="","",IF(AND(MONTH('Licenses'!F86)=12,YEAR('Licenses'!F86)=Settings!$B$40),'Licenses'!I86,""))</f>
        <v/>
      </c>
    </row>
    <row r="87" ht="18" customHeight="1">
      <c r="A87" s="44">
        <f>IF('Licenses'!A87="","",'Licenses'!A87)</f>
        <v/>
      </c>
      <c r="B87" s="44">
        <f>IF('Licenses'!B87="","",'Licenses'!B87)</f>
        <v/>
      </c>
      <c r="C87" s="44">
        <f>IF('Licenses'!D87="","",'Licenses'!D87)</f>
        <v/>
      </c>
      <c r="D87" s="45">
        <f>IF('Licenses'!F87="","",IF(AND(MONTH('Licenses'!F87)=1,YEAR('Licenses'!F87)=Settings!$B$40),'Licenses'!I87,""))</f>
        <v/>
      </c>
      <c r="E87" s="45">
        <f>IF('Licenses'!F87="","",IF(AND(MONTH('Licenses'!F87)=2,YEAR('Licenses'!F87)=Settings!$B$40),'Licenses'!I87,""))</f>
        <v/>
      </c>
      <c r="F87" s="45">
        <f>IF('Licenses'!F87="","",IF(AND(MONTH('Licenses'!F87)=3,YEAR('Licenses'!F87)=Settings!$B$40),'Licenses'!I87,""))</f>
        <v/>
      </c>
      <c r="G87" s="45">
        <f>IF('Licenses'!F87="","",IF(AND(MONTH('Licenses'!F87)=4,YEAR('Licenses'!F87)=Settings!$B$40),'Licenses'!I87,""))</f>
        <v/>
      </c>
      <c r="H87" s="45">
        <f>IF('Licenses'!F87="","",IF(AND(MONTH('Licenses'!F87)=5,YEAR('Licenses'!F87)=Settings!$B$40),'Licenses'!I87,""))</f>
        <v/>
      </c>
      <c r="I87" s="45">
        <f>IF('Licenses'!F87="","",IF(AND(MONTH('Licenses'!F87)=6,YEAR('Licenses'!F87)=Settings!$B$40),'Licenses'!I87,""))</f>
        <v/>
      </c>
      <c r="J87" s="45">
        <f>IF('Licenses'!F87="","",IF(AND(MONTH('Licenses'!F87)=7,YEAR('Licenses'!F87)=Settings!$B$40),'Licenses'!I87,""))</f>
        <v/>
      </c>
      <c r="K87" s="45">
        <f>IF('Licenses'!F87="","",IF(AND(MONTH('Licenses'!F87)=8,YEAR('Licenses'!F87)=Settings!$B$40),'Licenses'!I87,""))</f>
        <v/>
      </c>
      <c r="L87" s="45">
        <f>IF('Licenses'!F87="","",IF(AND(MONTH('Licenses'!F87)=9,YEAR('Licenses'!F87)=Settings!$B$40),'Licenses'!I87,""))</f>
        <v/>
      </c>
      <c r="M87" s="45">
        <f>IF('Licenses'!F87="","",IF(AND(MONTH('Licenses'!F87)=10,YEAR('Licenses'!F87)=Settings!$B$40),'Licenses'!I87,""))</f>
        <v/>
      </c>
      <c r="N87" s="45">
        <f>IF('Licenses'!F87="","",IF(AND(MONTH('Licenses'!F87)=11,YEAR('Licenses'!F87)=Settings!$B$40),'Licenses'!I87,""))</f>
        <v/>
      </c>
      <c r="O87" s="45">
        <f>IF('Licenses'!F87="","",IF(AND(MONTH('Licenses'!F87)=12,YEAR('Licenses'!F87)=Settings!$B$40),'Licenses'!I87,""))</f>
        <v/>
      </c>
    </row>
    <row r="88" ht="18" customHeight="1">
      <c r="A88" s="46">
        <f>IF('Licenses'!A88="","",'Licenses'!A88)</f>
        <v/>
      </c>
      <c r="B88" s="46">
        <f>IF('Licenses'!B88="","",'Licenses'!B88)</f>
        <v/>
      </c>
      <c r="C88" s="46">
        <f>IF('Licenses'!D88="","",'Licenses'!D88)</f>
        <v/>
      </c>
      <c r="D88" s="47">
        <f>IF('Licenses'!F88="","",IF(AND(MONTH('Licenses'!F88)=1,YEAR('Licenses'!F88)=Settings!$B$40),'Licenses'!I88,""))</f>
        <v/>
      </c>
      <c r="E88" s="47">
        <f>IF('Licenses'!F88="","",IF(AND(MONTH('Licenses'!F88)=2,YEAR('Licenses'!F88)=Settings!$B$40),'Licenses'!I88,""))</f>
        <v/>
      </c>
      <c r="F88" s="47">
        <f>IF('Licenses'!F88="","",IF(AND(MONTH('Licenses'!F88)=3,YEAR('Licenses'!F88)=Settings!$B$40),'Licenses'!I88,""))</f>
        <v/>
      </c>
      <c r="G88" s="47">
        <f>IF('Licenses'!F88="","",IF(AND(MONTH('Licenses'!F88)=4,YEAR('Licenses'!F88)=Settings!$B$40),'Licenses'!I88,""))</f>
        <v/>
      </c>
      <c r="H88" s="47">
        <f>IF('Licenses'!F88="","",IF(AND(MONTH('Licenses'!F88)=5,YEAR('Licenses'!F88)=Settings!$B$40),'Licenses'!I88,""))</f>
        <v/>
      </c>
      <c r="I88" s="47">
        <f>IF('Licenses'!F88="","",IF(AND(MONTH('Licenses'!F88)=6,YEAR('Licenses'!F88)=Settings!$B$40),'Licenses'!I88,""))</f>
        <v/>
      </c>
      <c r="J88" s="47">
        <f>IF('Licenses'!F88="","",IF(AND(MONTH('Licenses'!F88)=7,YEAR('Licenses'!F88)=Settings!$B$40),'Licenses'!I88,""))</f>
        <v/>
      </c>
      <c r="K88" s="47">
        <f>IF('Licenses'!F88="","",IF(AND(MONTH('Licenses'!F88)=8,YEAR('Licenses'!F88)=Settings!$B$40),'Licenses'!I88,""))</f>
        <v/>
      </c>
      <c r="L88" s="47">
        <f>IF('Licenses'!F88="","",IF(AND(MONTH('Licenses'!F88)=9,YEAR('Licenses'!F88)=Settings!$B$40),'Licenses'!I88,""))</f>
        <v/>
      </c>
      <c r="M88" s="47">
        <f>IF('Licenses'!F88="","",IF(AND(MONTH('Licenses'!F88)=10,YEAR('Licenses'!F88)=Settings!$B$40),'Licenses'!I88,""))</f>
        <v/>
      </c>
      <c r="N88" s="47">
        <f>IF('Licenses'!F88="","",IF(AND(MONTH('Licenses'!F88)=11,YEAR('Licenses'!F88)=Settings!$B$40),'Licenses'!I88,""))</f>
        <v/>
      </c>
      <c r="O88" s="47">
        <f>IF('Licenses'!F88="","",IF(AND(MONTH('Licenses'!F88)=12,YEAR('Licenses'!F88)=Settings!$B$40),'Licenses'!I88,""))</f>
        <v/>
      </c>
    </row>
    <row r="89" ht="18" customHeight="1">
      <c r="A89" s="44">
        <f>IF('Licenses'!A89="","",'Licenses'!A89)</f>
        <v/>
      </c>
      <c r="B89" s="44">
        <f>IF('Licenses'!B89="","",'Licenses'!B89)</f>
        <v/>
      </c>
      <c r="C89" s="44">
        <f>IF('Licenses'!D89="","",'Licenses'!D89)</f>
        <v/>
      </c>
      <c r="D89" s="45">
        <f>IF('Licenses'!F89="","",IF(AND(MONTH('Licenses'!F89)=1,YEAR('Licenses'!F89)=Settings!$B$40),'Licenses'!I89,""))</f>
        <v/>
      </c>
      <c r="E89" s="45">
        <f>IF('Licenses'!F89="","",IF(AND(MONTH('Licenses'!F89)=2,YEAR('Licenses'!F89)=Settings!$B$40),'Licenses'!I89,""))</f>
        <v/>
      </c>
      <c r="F89" s="45">
        <f>IF('Licenses'!F89="","",IF(AND(MONTH('Licenses'!F89)=3,YEAR('Licenses'!F89)=Settings!$B$40),'Licenses'!I89,""))</f>
        <v/>
      </c>
      <c r="G89" s="45">
        <f>IF('Licenses'!F89="","",IF(AND(MONTH('Licenses'!F89)=4,YEAR('Licenses'!F89)=Settings!$B$40),'Licenses'!I89,""))</f>
        <v/>
      </c>
      <c r="H89" s="45">
        <f>IF('Licenses'!F89="","",IF(AND(MONTH('Licenses'!F89)=5,YEAR('Licenses'!F89)=Settings!$B$40),'Licenses'!I89,""))</f>
        <v/>
      </c>
      <c r="I89" s="45">
        <f>IF('Licenses'!F89="","",IF(AND(MONTH('Licenses'!F89)=6,YEAR('Licenses'!F89)=Settings!$B$40),'Licenses'!I89,""))</f>
        <v/>
      </c>
      <c r="J89" s="45">
        <f>IF('Licenses'!F89="","",IF(AND(MONTH('Licenses'!F89)=7,YEAR('Licenses'!F89)=Settings!$B$40),'Licenses'!I89,""))</f>
        <v/>
      </c>
      <c r="K89" s="45">
        <f>IF('Licenses'!F89="","",IF(AND(MONTH('Licenses'!F89)=8,YEAR('Licenses'!F89)=Settings!$B$40),'Licenses'!I89,""))</f>
        <v/>
      </c>
      <c r="L89" s="45">
        <f>IF('Licenses'!F89="","",IF(AND(MONTH('Licenses'!F89)=9,YEAR('Licenses'!F89)=Settings!$B$40),'Licenses'!I89,""))</f>
        <v/>
      </c>
      <c r="M89" s="45">
        <f>IF('Licenses'!F89="","",IF(AND(MONTH('Licenses'!F89)=10,YEAR('Licenses'!F89)=Settings!$B$40),'Licenses'!I89,""))</f>
        <v/>
      </c>
      <c r="N89" s="45">
        <f>IF('Licenses'!F89="","",IF(AND(MONTH('Licenses'!F89)=11,YEAR('Licenses'!F89)=Settings!$B$40),'Licenses'!I89,""))</f>
        <v/>
      </c>
      <c r="O89" s="45">
        <f>IF('Licenses'!F89="","",IF(AND(MONTH('Licenses'!F89)=12,YEAR('Licenses'!F89)=Settings!$B$40),'Licenses'!I89,""))</f>
        <v/>
      </c>
    </row>
    <row r="90" ht="18" customHeight="1">
      <c r="A90" s="46">
        <f>IF('Licenses'!A90="","",'Licenses'!A90)</f>
        <v/>
      </c>
      <c r="B90" s="46">
        <f>IF('Licenses'!B90="","",'Licenses'!B90)</f>
        <v/>
      </c>
      <c r="C90" s="46">
        <f>IF('Licenses'!D90="","",'Licenses'!D90)</f>
        <v/>
      </c>
      <c r="D90" s="47">
        <f>IF('Licenses'!F90="","",IF(AND(MONTH('Licenses'!F90)=1,YEAR('Licenses'!F90)=Settings!$B$40),'Licenses'!I90,""))</f>
        <v/>
      </c>
      <c r="E90" s="47">
        <f>IF('Licenses'!F90="","",IF(AND(MONTH('Licenses'!F90)=2,YEAR('Licenses'!F90)=Settings!$B$40),'Licenses'!I90,""))</f>
        <v/>
      </c>
      <c r="F90" s="47">
        <f>IF('Licenses'!F90="","",IF(AND(MONTH('Licenses'!F90)=3,YEAR('Licenses'!F90)=Settings!$B$40),'Licenses'!I90,""))</f>
        <v/>
      </c>
      <c r="G90" s="47">
        <f>IF('Licenses'!F90="","",IF(AND(MONTH('Licenses'!F90)=4,YEAR('Licenses'!F90)=Settings!$B$40),'Licenses'!I90,""))</f>
        <v/>
      </c>
      <c r="H90" s="47">
        <f>IF('Licenses'!F90="","",IF(AND(MONTH('Licenses'!F90)=5,YEAR('Licenses'!F90)=Settings!$B$40),'Licenses'!I90,""))</f>
        <v/>
      </c>
      <c r="I90" s="47">
        <f>IF('Licenses'!F90="","",IF(AND(MONTH('Licenses'!F90)=6,YEAR('Licenses'!F90)=Settings!$B$40),'Licenses'!I90,""))</f>
        <v/>
      </c>
      <c r="J90" s="47">
        <f>IF('Licenses'!F90="","",IF(AND(MONTH('Licenses'!F90)=7,YEAR('Licenses'!F90)=Settings!$B$40),'Licenses'!I90,""))</f>
        <v/>
      </c>
      <c r="K90" s="47">
        <f>IF('Licenses'!F90="","",IF(AND(MONTH('Licenses'!F90)=8,YEAR('Licenses'!F90)=Settings!$B$40),'Licenses'!I90,""))</f>
        <v/>
      </c>
      <c r="L90" s="47">
        <f>IF('Licenses'!F90="","",IF(AND(MONTH('Licenses'!F90)=9,YEAR('Licenses'!F90)=Settings!$B$40),'Licenses'!I90,""))</f>
        <v/>
      </c>
      <c r="M90" s="47">
        <f>IF('Licenses'!F90="","",IF(AND(MONTH('Licenses'!F90)=10,YEAR('Licenses'!F90)=Settings!$B$40),'Licenses'!I90,""))</f>
        <v/>
      </c>
      <c r="N90" s="47">
        <f>IF('Licenses'!F90="","",IF(AND(MONTH('Licenses'!F90)=11,YEAR('Licenses'!F90)=Settings!$B$40),'Licenses'!I90,""))</f>
        <v/>
      </c>
      <c r="O90" s="47">
        <f>IF('Licenses'!F90="","",IF(AND(MONTH('Licenses'!F90)=12,YEAR('Licenses'!F90)=Settings!$B$40),'Licenses'!I90,""))</f>
        <v/>
      </c>
    </row>
    <row r="91" ht="18" customHeight="1">
      <c r="A91" s="44">
        <f>IF('Licenses'!A91="","",'Licenses'!A91)</f>
        <v/>
      </c>
      <c r="B91" s="44">
        <f>IF('Licenses'!B91="","",'Licenses'!B91)</f>
        <v/>
      </c>
      <c r="C91" s="44">
        <f>IF('Licenses'!D91="","",'Licenses'!D91)</f>
        <v/>
      </c>
      <c r="D91" s="45">
        <f>IF('Licenses'!F91="","",IF(AND(MONTH('Licenses'!F91)=1,YEAR('Licenses'!F91)=Settings!$B$40),'Licenses'!I91,""))</f>
        <v/>
      </c>
      <c r="E91" s="45">
        <f>IF('Licenses'!F91="","",IF(AND(MONTH('Licenses'!F91)=2,YEAR('Licenses'!F91)=Settings!$B$40),'Licenses'!I91,""))</f>
        <v/>
      </c>
      <c r="F91" s="45">
        <f>IF('Licenses'!F91="","",IF(AND(MONTH('Licenses'!F91)=3,YEAR('Licenses'!F91)=Settings!$B$40),'Licenses'!I91,""))</f>
        <v/>
      </c>
      <c r="G91" s="45">
        <f>IF('Licenses'!F91="","",IF(AND(MONTH('Licenses'!F91)=4,YEAR('Licenses'!F91)=Settings!$B$40),'Licenses'!I91,""))</f>
        <v/>
      </c>
      <c r="H91" s="45">
        <f>IF('Licenses'!F91="","",IF(AND(MONTH('Licenses'!F91)=5,YEAR('Licenses'!F91)=Settings!$B$40),'Licenses'!I91,""))</f>
        <v/>
      </c>
      <c r="I91" s="45">
        <f>IF('Licenses'!F91="","",IF(AND(MONTH('Licenses'!F91)=6,YEAR('Licenses'!F91)=Settings!$B$40),'Licenses'!I91,""))</f>
        <v/>
      </c>
      <c r="J91" s="45">
        <f>IF('Licenses'!F91="","",IF(AND(MONTH('Licenses'!F91)=7,YEAR('Licenses'!F91)=Settings!$B$40),'Licenses'!I91,""))</f>
        <v/>
      </c>
      <c r="K91" s="45">
        <f>IF('Licenses'!F91="","",IF(AND(MONTH('Licenses'!F91)=8,YEAR('Licenses'!F91)=Settings!$B$40),'Licenses'!I91,""))</f>
        <v/>
      </c>
      <c r="L91" s="45">
        <f>IF('Licenses'!F91="","",IF(AND(MONTH('Licenses'!F91)=9,YEAR('Licenses'!F91)=Settings!$B$40),'Licenses'!I91,""))</f>
        <v/>
      </c>
      <c r="M91" s="45">
        <f>IF('Licenses'!F91="","",IF(AND(MONTH('Licenses'!F91)=10,YEAR('Licenses'!F91)=Settings!$B$40),'Licenses'!I91,""))</f>
        <v/>
      </c>
      <c r="N91" s="45">
        <f>IF('Licenses'!F91="","",IF(AND(MONTH('Licenses'!F91)=11,YEAR('Licenses'!F91)=Settings!$B$40),'Licenses'!I91,""))</f>
        <v/>
      </c>
      <c r="O91" s="45">
        <f>IF('Licenses'!F91="","",IF(AND(MONTH('Licenses'!F91)=12,YEAR('Licenses'!F91)=Settings!$B$40),'Licenses'!I91,""))</f>
        <v/>
      </c>
    </row>
    <row r="92" ht="18" customHeight="1">
      <c r="A92" s="46">
        <f>IF('Licenses'!A92="","",'Licenses'!A92)</f>
        <v/>
      </c>
      <c r="B92" s="46">
        <f>IF('Licenses'!B92="","",'Licenses'!B92)</f>
        <v/>
      </c>
      <c r="C92" s="46">
        <f>IF('Licenses'!D92="","",'Licenses'!D92)</f>
        <v/>
      </c>
      <c r="D92" s="47">
        <f>IF('Licenses'!F92="","",IF(AND(MONTH('Licenses'!F92)=1,YEAR('Licenses'!F92)=Settings!$B$40),'Licenses'!I92,""))</f>
        <v/>
      </c>
      <c r="E92" s="47">
        <f>IF('Licenses'!F92="","",IF(AND(MONTH('Licenses'!F92)=2,YEAR('Licenses'!F92)=Settings!$B$40),'Licenses'!I92,""))</f>
        <v/>
      </c>
      <c r="F92" s="47">
        <f>IF('Licenses'!F92="","",IF(AND(MONTH('Licenses'!F92)=3,YEAR('Licenses'!F92)=Settings!$B$40),'Licenses'!I92,""))</f>
        <v/>
      </c>
      <c r="G92" s="47">
        <f>IF('Licenses'!F92="","",IF(AND(MONTH('Licenses'!F92)=4,YEAR('Licenses'!F92)=Settings!$B$40),'Licenses'!I92,""))</f>
        <v/>
      </c>
      <c r="H92" s="47">
        <f>IF('Licenses'!F92="","",IF(AND(MONTH('Licenses'!F92)=5,YEAR('Licenses'!F92)=Settings!$B$40),'Licenses'!I92,""))</f>
        <v/>
      </c>
      <c r="I92" s="47">
        <f>IF('Licenses'!F92="","",IF(AND(MONTH('Licenses'!F92)=6,YEAR('Licenses'!F92)=Settings!$B$40),'Licenses'!I92,""))</f>
        <v/>
      </c>
      <c r="J92" s="47">
        <f>IF('Licenses'!F92="","",IF(AND(MONTH('Licenses'!F92)=7,YEAR('Licenses'!F92)=Settings!$B$40),'Licenses'!I92,""))</f>
        <v/>
      </c>
      <c r="K92" s="47">
        <f>IF('Licenses'!F92="","",IF(AND(MONTH('Licenses'!F92)=8,YEAR('Licenses'!F92)=Settings!$B$40),'Licenses'!I92,""))</f>
        <v/>
      </c>
      <c r="L92" s="47">
        <f>IF('Licenses'!F92="","",IF(AND(MONTH('Licenses'!F92)=9,YEAR('Licenses'!F92)=Settings!$B$40),'Licenses'!I92,""))</f>
        <v/>
      </c>
      <c r="M92" s="47">
        <f>IF('Licenses'!F92="","",IF(AND(MONTH('Licenses'!F92)=10,YEAR('Licenses'!F92)=Settings!$B$40),'Licenses'!I92,""))</f>
        <v/>
      </c>
      <c r="N92" s="47">
        <f>IF('Licenses'!F92="","",IF(AND(MONTH('Licenses'!F92)=11,YEAR('Licenses'!F92)=Settings!$B$40),'Licenses'!I92,""))</f>
        <v/>
      </c>
      <c r="O92" s="47">
        <f>IF('Licenses'!F92="","",IF(AND(MONTH('Licenses'!F92)=12,YEAR('Licenses'!F92)=Settings!$B$40),'Licenses'!I92,""))</f>
        <v/>
      </c>
    </row>
    <row r="93" ht="18" customHeight="1">
      <c r="A93" s="44">
        <f>IF('Licenses'!A93="","",'Licenses'!A93)</f>
        <v/>
      </c>
      <c r="B93" s="44">
        <f>IF('Licenses'!B93="","",'Licenses'!B93)</f>
        <v/>
      </c>
      <c r="C93" s="44">
        <f>IF('Licenses'!D93="","",'Licenses'!D93)</f>
        <v/>
      </c>
      <c r="D93" s="45">
        <f>IF('Licenses'!F93="","",IF(AND(MONTH('Licenses'!F93)=1,YEAR('Licenses'!F93)=Settings!$B$40),'Licenses'!I93,""))</f>
        <v/>
      </c>
      <c r="E93" s="45">
        <f>IF('Licenses'!F93="","",IF(AND(MONTH('Licenses'!F93)=2,YEAR('Licenses'!F93)=Settings!$B$40),'Licenses'!I93,""))</f>
        <v/>
      </c>
      <c r="F93" s="45">
        <f>IF('Licenses'!F93="","",IF(AND(MONTH('Licenses'!F93)=3,YEAR('Licenses'!F93)=Settings!$B$40),'Licenses'!I93,""))</f>
        <v/>
      </c>
      <c r="G93" s="45">
        <f>IF('Licenses'!F93="","",IF(AND(MONTH('Licenses'!F93)=4,YEAR('Licenses'!F93)=Settings!$B$40),'Licenses'!I93,""))</f>
        <v/>
      </c>
      <c r="H93" s="45">
        <f>IF('Licenses'!F93="","",IF(AND(MONTH('Licenses'!F93)=5,YEAR('Licenses'!F93)=Settings!$B$40),'Licenses'!I93,""))</f>
        <v/>
      </c>
      <c r="I93" s="45">
        <f>IF('Licenses'!F93="","",IF(AND(MONTH('Licenses'!F93)=6,YEAR('Licenses'!F93)=Settings!$B$40),'Licenses'!I93,""))</f>
        <v/>
      </c>
      <c r="J93" s="45">
        <f>IF('Licenses'!F93="","",IF(AND(MONTH('Licenses'!F93)=7,YEAR('Licenses'!F93)=Settings!$B$40),'Licenses'!I93,""))</f>
        <v/>
      </c>
      <c r="K93" s="45">
        <f>IF('Licenses'!F93="","",IF(AND(MONTH('Licenses'!F93)=8,YEAR('Licenses'!F93)=Settings!$B$40),'Licenses'!I93,""))</f>
        <v/>
      </c>
      <c r="L93" s="45">
        <f>IF('Licenses'!F93="","",IF(AND(MONTH('Licenses'!F93)=9,YEAR('Licenses'!F93)=Settings!$B$40),'Licenses'!I93,""))</f>
        <v/>
      </c>
      <c r="M93" s="45">
        <f>IF('Licenses'!F93="","",IF(AND(MONTH('Licenses'!F93)=10,YEAR('Licenses'!F93)=Settings!$B$40),'Licenses'!I93,""))</f>
        <v/>
      </c>
      <c r="N93" s="45">
        <f>IF('Licenses'!F93="","",IF(AND(MONTH('Licenses'!F93)=11,YEAR('Licenses'!F93)=Settings!$B$40),'Licenses'!I93,""))</f>
        <v/>
      </c>
      <c r="O93" s="45">
        <f>IF('Licenses'!F93="","",IF(AND(MONTH('Licenses'!F93)=12,YEAR('Licenses'!F93)=Settings!$B$40),'Licenses'!I93,""))</f>
        <v/>
      </c>
    </row>
    <row r="94" ht="18" customHeight="1">
      <c r="A94" s="46">
        <f>IF('Licenses'!A94="","",'Licenses'!A94)</f>
        <v/>
      </c>
      <c r="B94" s="46">
        <f>IF('Licenses'!B94="","",'Licenses'!B94)</f>
        <v/>
      </c>
      <c r="C94" s="46">
        <f>IF('Licenses'!D94="","",'Licenses'!D94)</f>
        <v/>
      </c>
      <c r="D94" s="47">
        <f>IF('Licenses'!F94="","",IF(AND(MONTH('Licenses'!F94)=1,YEAR('Licenses'!F94)=Settings!$B$40),'Licenses'!I94,""))</f>
        <v/>
      </c>
      <c r="E94" s="47">
        <f>IF('Licenses'!F94="","",IF(AND(MONTH('Licenses'!F94)=2,YEAR('Licenses'!F94)=Settings!$B$40),'Licenses'!I94,""))</f>
        <v/>
      </c>
      <c r="F94" s="47">
        <f>IF('Licenses'!F94="","",IF(AND(MONTH('Licenses'!F94)=3,YEAR('Licenses'!F94)=Settings!$B$40),'Licenses'!I94,""))</f>
        <v/>
      </c>
      <c r="G94" s="47">
        <f>IF('Licenses'!F94="","",IF(AND(MONTH('Licenses'!F94)=4,YEAR('Licenses'!F94)=Settings!$B$40),'Licenses'!I94,""))</f>
        <v/>
      </c>
      <c r="H94" s="47">
        <f>IF('Licenses'!F94="","",IF(AND(MONTH('Licenses'!F94)=5,YEAR('Licenses'!F94)=Settings!$B$40),'Licenses'!I94,""))</f>
        <v/>
      </c>
      <c r="I94" s="47">
        <f>IF('Licenses'!F94="","",IF(AND(MONTH('Licenses'!F94)=6,YEAR('Licenses'!F94)=Settings!$B$40),'Licenses'!I94,""))</f>
        <v/>
      </c>
      <c r="J94" s="47">
        <f>IF('Licenses'!F94="","",IF(AND(MONTH('Licenses'!F94)=7,YEAR('Licenses'!F94)=Settings!$B$40),'Licenses'!I94,""))</f>
        <v/>
      </c>
      <c r="K94" s="47">
        <f>IF('Licenses'!F94="","",IF(AND(MONTH('Licenses'!F94)=8,YEAR('Licenses'!F94)=Settings!$B$40),'Licenses'!I94,""))</f>
        <v/>
      </c>
      <c r="L94" s="47">
        <f>IF('Licenses'!F94="","",IF(AND(MONTH('Licenses'!F94)=9,YEAR('Licenses'!F94)=Settings!$B$40),'Licenses'!I94,""))</f>
        <v/>
      </c>
      <c r="M94" s="47">
        <f>IF('Licenses'!F94="","",IF(AND(MONTH('Licenses'!F94)=10,YEAR('Licenses'!F94)=Settings!$B$40),'Licenses'!I94,""))</f>
        <v/>
      </c>
      <c r="N94" s="47">
        <f>IF('Licenses'!F94="","",IF(AND(MONTH('Licenses'!F94)=11,YEAR('Licenses'!F94)=Settings!$B$40),'Licenses'!I94,""))</f>
        <v/>
      </c>
      <c r="O94" s="47">
        <f>IF('Licenses'!F94="","",IF(AND(MONTH('Licenses'!F94)=12,YEAR('Licenses'!F94)=Settings!$B$40),'Licenses'!I94,""))</f>
        <v/>
      </c>
    </row>
    <row r="95" ht="18" customHeight="1">
      <c r="A95" s="44">
        <f>IF('Licenses'!A95="","",'Licenses'!A95)</f>
        <v/>
      </c>
      <c r="B95" s="44">
        <f>IF('Licenses'!B95="","",'Licenses'!B95)</f>
        <v/>
      </c>
      <c r="C95" s="44">
        <f>IF('Licenses'!D95="","",'Licenses'!D95)</f>
        <v/>
      </c>
      <c r="D95" s="45">
        <f>IF('Licenses'!F95="","",IF(AND(MONTH('Licenses'!F95)=1,YEAR('Licenses'!F95)=Settings!$B$40),'Licenses'!I95,""))</f>
        <v/>
      </c>
      <c r="E95" s="45">
        <f>IF('Licenses'!F95="","",IF(AND(MONTH('Licenses'!F95)=2,YEAR('Licenses'!F95)=Settings!$B$40),'Licenses'!I95,""))</f>
        <v/>
      </c>
      <c r="F95" s="45">
        <f>IF('Licenses'!F95="","",IF(AND(MONTH('Licenses'!F95)=3,YEAR('Licenses'!F95)=Settings!$B$40),'Licenses'!I95,""))</f>
        <v/>
      </c>
      <c r="G95" s="45">
        <f>IF('Licenses'!F95="","",IF(AND(MONTH('Licenses'!F95)=4,YEAR('Licenses'!F95)=Settings!$B$40),'Licenses'!I95,""))</f>
        <v/>
      </c>
      <c r="H95" s="45">
        <f>IF('Licenses'!F95="","",IF(AND(MONTH('Licenses'!F95)=5,YEAR('Licenses'!F95)=Settings!$B$40),'Licenses'!I95,""))</f>
        <v/>
      </c>
      <c r="I95" s="45">
        <f>IF('Licenses'!F95="","",IF(AND(MONTH('Licenses'!F95)=6,YEAR('Licenses'!F95)=Settings!$B$40),'Licenses'!I95,""))</f>
        <v/>
      </c>
      <c r="J95" s="45">
        <f>IF('Licenses'!F95="","",IF(AND(MONTH('Licenses'!F95)=7,YEAR('Licenses'!F95)=Settings!$B$40),'Licenses'!I95,""))</f>
        <v/>
      </c>
      <c r="K95" s="45">
        <f>IF('Licenses'!F95="","",IF(AND(MONTH('Licenses'!F95)=8,YEAR('Licenses'!F95)=Settings!$B$40),'Licenses'!I95,""))</f>
        <v/>
      </c>
      <c r="L95" s="45">
        <f>IF('Licenses'!F95="","",IF(AND(MONTH('Licenses'!F95)=9,YEAR('Licenses'!F95)=Settings!$B$40),'Licenses'!I95,""))</f>
        <v/>
      </c>
      <c r="M95" s="45">
        <f>IF('Licenses'!F95="","",IF(AND(MONTH('Licenses'!F95)=10,YEAR('Licenses'!F95)=Settings!$B$40),'Licenses'!I95,""))</f>
        <v/>
      </c>
      <c r="N95" s="45">
        <f>IF('Licenses'!F95="","",IF(AND(MONTH('Licenses'!F95)=11,YEAR('Licenses'!F95)=Settings!$B$40),'Licenses'!I95,""))</f>
        <v/>
      </c>
      <c r="O95" s="45">
        <f>IF('Licenses'!F95="","",IF(AND(MONTH('Licenses'!F95)=12,YEAR('Licenses'!F95)=Settings!$B$40),'Licenses'!I95,""))</f>
        <v/>
      </c>
    </row>
    <row r="96" ht="18" customHeight="1">
      <c r="A96" s="46">
        <f>IF('Licenses'!A96="","",'Licenses'!A96)</f>
        <v/>
      </c>
      <c r="B96" s="46">
        <f>IF('Licenses'!B96="","",'Licenses'!B96)</f>
        <v/>
      </c>
      <c r="C96" s="46">
        <f>IF('Licenses'!D96="","",'Licenses'!D96)</f>
        <v/>
      </c>
      <c r="D96" s="47">
        <f>IF('Licenses'!F96="","",IF(AND(MONTH('Licenses'!F96)=1,YEAR('Licenses'!F96)=Settings!$B$40),'Licenses'!I96,""))</f>
        <v/>
      </c>
      <c r="E96" s="47">
        <f>IF('Licenses'!F96="","",IF(AND(MONTH('Licenses'!F96)=2,YEAR('Licenses'!F96)=Settings!$B$40),'Licenses'!I96,""))</f>
        <v/>
      </c>
      <c r="F96" s="47">
        <f>IF('Licenses'!F96="","",IF(AND(MONTH('Licenses'!F96)=3,YEAR('Licenses'!F96)=Settings!$B$40),'Licenses'!I96,""))</f>
        <v/>
      </c>
      <c r="G96" s="47">
        <f>IF('Licenses'!F96="","",IF(AND(MONTH('Licenses'!F96)=4,YEAR('Licenses'!F96)=Settings!$B$40),'Licenses'!I96,""))</f>
        <v/>
      </c>
      <c r="H96" s="47">
        <f>IF('Licenses'!F96="","",IF(AND(MONTH('Licenses'!F96)=5,YEAR('Licenses'!F96)=Settings!$B$40),'Licenses'!I96,""))</f>
        <v/>
      </c>
      <c r="I96" s="47">
        <f>IF('Licenses'!F96="","",IF(AND(MONTH('Licenses'!F96)=6,YEAR('Licenses'!F96)=Settings!$B$40),'Licenses'!I96,""))</f>
        <v/>
      </c>
      <c r="J96" s="47">
        <f>IF('Licenses'!F96="","",IF(AND(MONTH('Licenses'!F96)=7,YEAR('Licenses'!F96)=Settings!$B$40),'Licenses'!I96,""))</f>
        <v/>
      </c>
      <c r="K96" s="47">
        <f>IF('Licenses'!F96="","",IF(AND(MONTH('Licenses'!F96)=8,YEAR('Licenses'!F96)=Settings!$B$40),'Licenses'!I96,""))</f>
        <v/>
      </c>
      <c r="L96" s="47">
        <f>IF('Licenses'!F96="","",IF(AND(MONTH('Licenses'!F96)=9,YEAR('Licenses'!F96)=Settings!$B$40),'Licenses'!I96,""))</f>
        <v/>
      </c>
      <c r="M96" s="47">
        <f>IF('Licenses'!F96="","",IF(AND(MONTH('Licenses'!F96)=10,YEAR('Licenses'!F96)=Settings!$B$40),'Licenses'!I96,""))</f>
        <v/>
      </c>
      <c r="N96" s="47">
        <f>IF('Licenses'!F96="","",IF(AND(MONTH('Licenses'!F96)=11,YEAR('Licenses'!F96)=Settings!$B$40),'Licenses'!I96,""))</f>
        <v/>
      </c>
      <c r="O96" s="47">
        <f>IF('Licenses'!F96="","",IF(AND(MONTH('Licenses'!F96)=12,YEAR('Licenses'!F96)=Settings!$B$40),'Licenses'!I96,""))</f>
        <v/>
      </c>
    </row>
    <row r="97" ht="18" customHeight="1">
      <c r="A97" s="44">
        <f>IF('Licenses'!A97="","",'Licenses'!A97)</f>
        <v/>
      </c>
      <c r="B97" s="44">
        <f>IF('Licenses'!B97="","",'Licenses'!B97)</f>
        <v/>
      </c>
      <c r="C97" s="44">
        <f>IF('Licenses'!D97="","",'Licenses'!D97)</f>
        <v/>
      </c>
      <c r="D97" s="45">
        <f>IF('Licenses'!F97="","",IF(AND(MONTH('Licenses'!F97)=1,YEAR('Licenses'!F97)=Settings!$B$40),'Licenses'!I97,""))</f>
        <v/>
      </c>
      <c r="E97" s="45">
        <f>IF('Licenses'!F97="","",IF(AND(MONTH('Licenses'!F97)=2,YEAR('Licenses'!F97)=Settings!$B$40),'Licenses'!I97,""))</f>
        <v/>
      </c>
      <c r="F97" s="45">
        <f>IF('Licenses'!F97="","",IF(AND(MONTH('Licenses'!F97)=3,YEAR('Licenses'!F97)=Settings!$B$40),'Licenses'!I97,""))</f>
        <v/>
      </c>
      <c r="G97" s="45">
        <f>IF('Licenses'!F97="","",IF(AND(MONTH('Licenses'!F97)=4,YEAR('Licenses'!F97)=Settings!$B$40),'Licenses'!I97,""))</f>
        <v/>
      </c>
      <c r="H97" s="45">
        <f>IF('Licenses'!F97="","",IF(AND(MONTH('Licenses'!F97)=5,YEAR('Licenses'!F97)=Settings!$B$40),'Licenses'!I97,""))</f>
        <v/>
      </c>
      <c r="I97" s="45">
        <f>IF('Licenses'!F97="","",IF(AND(MONTH('Licenses'!F97)=6,YEAR('Licenses'!F97)=Settings!$B$40),'Licenses'!I97,""))</f>
        <v/>
      </c>
      <c r="J97" s="45">
        <f>IF('Licenses'!F97="","",IF(AND(MONTH('Licenses'!F97)=7,YEAR('Licenses'!F97)=Settings!$B$40),'Licenses'!I97,""))</f>
        <v/>
      </c>
      <c r="K97" s="45">
        <f>IF('Licenses'!F97="","",IF(AND(MONTH('Licenses'!F97)=8,YEAR('Licenses'!F97)=Settings!$B$40),'Licenses'!I97,""))</f>
        <v/>
      </c>
      <c r="L97" s="45">
        <f>IF('Licenses'!F97="","",IF(AND(MONTH('Licenses'!F97)=9,YEAR('Licenses'!F97)=Settings!$B$40),'Licenses'!I97,""))</f>
        <v/>
      </c>
      <c r="M97" s="45">
        <f>IF('Licenses'!F97="","",IF(AND(MONTH('Licenses'!F97)=10,YEAR('Licenses'!F97)=Settings!$B$40),'Licenses'!I97,""))</f>
        <v/>
      </c>
      <c r="N97" s="45">
        <f>IF('Licenses'!F97="","",IF(AND(MONTH('Licenses'!F97)=11,YEAR('Licenses'!F97)=Settings!$B$40),'Licenses'!I97,""))</f>
        <v/>
      </c>
      <c r="O97" s="45">
        <f>IF('Licenses'!F97="","",IF(AND(MONTH('Licenses'!F97)=12,YEAR('Licenses'!F97)=Settings!$B$40),'Licenses'!I97,""))</f>
        <v/>
      </c>
    </row>
    <row r="98" ht="18" customHeight="1">
      <c r="A98" s="46">
        <f>IF('Licenses'!A98="","",'Licenses'!A98)</f>
        <v/>
      </c>
      <c r="B98" s="46">
        <f>IF('Licenses'!B98="","",'Licenses'!B98)</f>
        <v/>
      </c>
      <c r="C98" s="46">
        <f>IF('Licenses'!D98="","",'Licenses'!D98)</f>
        <v/>
      </c>
      <c r="D98" s="47">
        <f>IF('Licenses'!F98="","",IF(AND(MONTH('Licenses'!F98)=1,YEAR('Licenses'!F98)=Settings!$B$40),'Licenses'!I98,""))</f>
        <v/>
      </c>
      <c r="E98" s="47">
        <f>IF('Licenses'!F98="","",IF(AND(MONTH('Licenses'!F98)=2,YEAR('Licenses'!F98)=Settings!$B$40),'Licenses'!I98,""))</f>
        <v/>
      </c>
      <c r="F98" s="47">
        <f>IF('Licenses'!F98="","",IF(AND(MONTH('Licenses'!F98)=3,YEAR('Licenses'!F98)=Settings!$B$40),'Licenses'!I98,""))</f>
        <v/>
      </c>
      <c r="G98" s="47">
        <f>IF('Licenses'!F98="","",IF(AND(MONTH('Licenses'!F98)=4,YEAR('Licenses'!F98)=Settings!$B$40),'Licenses'!I98,""))</f>
        <v/>
      </c>
      <c r="H98" s="47">
        <f>IF('Licenses'!F98="","",IF(AND(MONTH('Licenses'!F98)=5,YEAR('Licenses'!F98)=Settings!$B$40),'Licenses'!I98,""))</f>
        <v/>
      </c>
      <c r="I98" s="47">
        <f>IF('Licenses'!F98="","",IF(AND(MONTH('Licenses'!F98)=6,YEAR('Licenses'!F98)=Settings!$B$40),'Licenses'!I98,""))</f>
        <v/>
      </c>
      <c r="J98" s="47">
        <f>IF('Licenses'!F98="","",IF(AND(MONTH('Licenses'!F98)=7,YEAR('Licenses'!F98)=Settings!$B$40),'Licenses'!I98,""))</f>
        <v/>
      </c>
      <c r="K98" s="47">
        <f>IF('Licenses'!F98="","",IF(AND(MONTH('Licenses'!F98)=8,YEAR('Licenses'!F98)=Settings!$B$40),'Licenses'!I98,""))</f>
        <v/>
      </c>
      <c r="L98" s="47">
        <f>IF('Licenses'!F98="","",IF(AND(MONTH('Licenses'!F98)=9,YEAR('Licenses'!F98)=Settings!$B$40),'Licenses'!I98,""))</f>
        <v/>
      </c>
      <c r="M98" s="47">
        <f>IF('Licenses'!F98="","",IF(AND(MONTH('Licenses'!F98)=10,YEAR('Licenses'!F98)=Settings!$B$40),'Licenses'!I98,""))</f>
        <v/>
      </c>
      <c r="N98" s="47">
        <f>IF('Licenses'!F98="","",IF(AND(MONTH('Licenses'!F98)=11,YEAR('Licenses'!F98)=Settings!$B$40),'Licenses'!I98,""))</f>
        <v/>
      </c>
      <c r="O98" s="47">
        <f>IF('Licenses'!F98="","",IF(AND(MONTH('Licenses'!F98)=12,YEAR('Licenses'!F98)=Settings!$B$40),'Licenses'!I98,""))</f>
        <v/>
      </c>
    </row>
    <row r="99" ht="18" customHeight="1">
      <c r="A99" s="44">
        <f>IF('Licenses'!A99="","",'Licenses'!A99)</f>
        <v/>
      </c>
      <c r="B99" s="44">
        <f>IF('Licenses'!B99="","",'Licenses'!B99)</f>
        <v/>
      </c>
      <c r="C99" s="44">
        <f>IF('Licenses'!D99="","",'Licenses'!D99)</f>
        <v/>
      </c>
      <c r="D99" s="45">
        <f>IF('Licenses'!F99="","",IF(AND(MONTH('Licenses'!F99)=1,YEAR('Licenses'!F99)=Settings!$B$40),'Licenses'!I99,""))</f>
        <v/>
      </c>
      <c r="E99" s="45">
        <f>IF('Licenses'!F99="","",IF(AND(MONTH('Licenses'!F99)=2,YEAR('Licenses'!F99)=Settings!$B$40),'Licenses'!I99,""))</f>
        <v/>
      </c>
      <c r="F99" s="45">
        <f>IF('Licenses'!F99="","",IF(AND(MONTH('Licenses'!F99)=3,YEAR('Licenses'!F99)=Settings!$B$40),'Licenses'!I99,""))</f>
        <v/>
      </c>
      <c r="G99" s="45">
        <f>IF('Licenses'!F99="","",IF(AND(MONTH('Licenses'!F99)=4,YEAR('Licenses'!F99)=Settings!$B$40),'Licenses'!I99,""))</f>
        <v/>
      </c>
      <c r="H99" s="45">
        <f>IF('Licenses'!F99="","",IF(AND(MONTH('Licenses'!F99)=5,YEAR('Licenses'!F99)=Settings!$B$40),'Licenses'!I99,""))</f>
        <v/>
      </c>
      <c r="I99" s="45">
        <f>IF('Licenses'!F99="","",IF(AND(MONTH('Licenses'!F99)=6,YEAR('Licenses'!F99)=Settings!$B$40),'Licenses'!I99,""))</f>
        <v/>
      </c>
      <c r="J99" s="45">
        <f>IF('Licenses'!F99="","",IF(AND(MONTH('Licenses'!F99)=7,YEAR('Licenses'!F99)=Settings!$B$40),'Licenses'!I99,""))</f>
        <v/>
      </c>
      <c r="K99" s="45">
        <f>IF('Licenses'!F99="","",IF(AND(MONTH('Licenses'!F99)=8,YEAR('Licenses'!F99)=Settings!$B$40),'Licenses'!I99,""))</f>
        <v/>
      </c>
      <c r="L99" s="45">
        <f>IF('Licenses'!F99="","",IF(AND(MONTH('Licenses'!F99)=9,YEAR('Licenses'!F99)=Settings!$B$40),'Licenses'!I99,""))</f>
        <v/>
      </c>
      <c r="M99" s="45">
        <f>IF('Licenses'!F99="","",IF(AND(MONTH('Licenses'!F99)=10,YEAR('Licenses'!F99)=Settings!$B$40),'Licenses'!I99,""))</f>
        <v/>
      </c>
      <c r="N99" s="45">
        <f>IF('Licenses'!F99="","",IF(AND(MONTH('Licenses'!F99)=11,YEAR('Licenses'!F99)=Settings!$B$40),'Licenses'!I99,""))</f>
        <v/>
      </c>
      <c r="O99" s="45">
        <f>IF('Licenses'!F99="","",IF(AND(MONTH('Licenses'!F99)=12,YEAR('Licenses'!F99)=Settings!$B$40),'Licenses'!I99,""))</f>
        <v/>
      </c>
    </row>
    <row r="100" ht="18" customHeight="1">
      <c r="A100" s="46">
        <f>IF('Licenses'!A100="","",'Licenses'!A100)</f>
        <v/>
      </c>
      <c r="B100" s="46">
        <f>IF('Licenses'!B100="","",'Licenses'!B100)</f>
        <v/>
      </c>
      <c r="C100" s="46">
        <f>IF('Licenses'!D100="","",'Licenses'!D100)</f>
        <v/>
      </c>
      <c r="D100" s="47">
        <f>IF('Licenses'!F100="","",IF(AND(MONTH('Licenses'!F100)=1,YEAR('Licenses'!F100)=Settings!$B$40),'Licenses'!I100,""))</f>
        <v/>
      </c>
      <c r="E100" s="47">
        <f>IF('Licenses'!F100="","",IF(AND(MONTH('Licenses'!F100)=2,YEAR('Licenses'!F100)=Settings!$B$40),'Licenses'!I100,""))</f>
        <v/>
      </c>
      <c r="F100" s="47">
        <f>IF('Licenses'!F100="","",IF(AND(MONTH('Licenses'!F100)=3,YEAR('Licenses'!F100)=Settings!$B$40),'Licenses'!I100,""))</f>
        <v/>
      </c>
      <c r="G100" s="47">
        <f>IF('Licenses'!F100="","",IF(AND(MONTH('Licenses'!F100)=4,YEAR('Licenses'!F100)=Settings!$B$40),'Licenses'!I100,""))</f>
        <v/>
      </c>
      <c r="H100" s="47">
        <f>IF('Licenses'!F100="","",IF(AND(MONTH('Licenses'!F100)=5,YEAR('Licenses'!F100)=Settings!$B$40),'Licenses'!I100,""))</f>
        <v/>
      </c>
      <c r="I100" s="47">
        <f>IF('Licenses'!F100="","",IF(AND(MONTH('Licenses'!F100)=6,YEAR('Licenses'!F100)=Settings!$B$40),'Licenses'!I100,""))</f>
        <v/>
      </c>
      <c r="J100" s="47">
        <f>IF('Licenses'!F100="","",IF(AND(MONTH('Licenses'!F100)=7,YEAR('Licenses'!F100)=Settings!$B$40),'Licenses'!I100,""))</f>
        <v/>
      </c>
      <c r="K100" s="47">
        <f>IF('Licenses'!F100="","",IF(AND(MONTH('Licenses'!F100)=8,YEAR('Licenses'!F100)=Settings!$B$40),'Licenses'!I100,""))</f>
        <v/>
      </c>
      <c r="L100" s="47">
        <f>IF('Licenses'!F100="","",IF(AND(MONTH('Licenses'!F100)=9,YEAR('Licenses'!F100)=Settings!$B$40),'Licenses'!I100,""))</f>
        <v/>
      </c>
      <c r="M100" s="47">
        <f>IF('Licenses'!F100="","",IF(AND(MONTH('Licenses'!F100)=10,YEAR('Licenses'!F100)=Settings!$B$40),'Licenses'!I100,""))</f>
        <v/>
      </c>
      <c r="N100" s="47">
        <f>IF('Licenses'!F100="","",IF(AND(MONTH('Licenses'!F100)=11,YEAR('Licenses'!F100)=Settings!$B$40),'Licenses'!I100,""))</f>
        <v/>
      </c>
      <c r="O100" s="47">
        <f>IF('Licenses'!F100="","",IF(AND(MONTH('Licenses'!F100)=12,YEAR('Licenses'!F100)=Settings!$B$40),'Licenses'!I100,""))</f>
        <v/>
      </c>
    </row>
    <row r="101" ht="18" customHeight="1">
      <c r="A101" s="44">
        <f>IF('Licenses'!A101="","",'Licenses'!A101)</f>
        <v/>
      </c>
      <c r="B101" s="44">
        <f>IF('Licenses'!B101="","",'Licenses'!B101)</f>
        <v/>
      </c>
      <c r="C101" s="44">
        <f>IF('Licenses'!D101="","",'Licenses'!D101)</f>
        <v/>
      </c>
      <c r="D101" s="45">
        <f>IF('Licenses'!F101="","",IF(AND(MONTH('Licenses'!F101)=1,YEAR('Licenses'!F101)=Settings!$B$40),'Licenses'!I101,""))</f>
        <v/>
      </c>
      <c r="E101" s="45">
        <f>IF('Licenses'!F101="","",IF(AND(MONTH('Licenses'!F101)=2,YEAR('Licenses'!F101)=Settings!$B$40),'Licenses'!I101,""))</f>
        <v/>
      </c>
      <c r="F101" s="45">
        <f>IF('Licenses'!F101="","",IF(AND(MONTH('Licenses'!F101)=3,YEAR('Licenses'!F101)=Settings!$B$40),'Licenses'!I101,""))</f>
        <v/>
      </c>
      <c r="G101" s="45">
        <f>IF('Licenses'!F101="","",IF(AND(MONTH('Licenses'!F101)=4,YEAR('Licenses'!F101)=Settings!$B$40),'Licenses'!I101,""))</f>
        <v/>
      </c>
      <c r="H101" s="45">
        <f>IF('Licenses'!F101="","",IF(AND(MONTH('Licenses'!F101)=5,YEAR('Licenses'!F101)=Settings!$B$40),'Licenses'!I101,""))</f>
        <v/>
      </c>
      <c r="I101" s="45">
        <f>IF('Licenses'!F101="","",IF(AND(MONTH('Licenses'!F101)=6,YEAR('Licenses'!F101)=Settings!$B$40),'Licenses'!I101,""))</f>
        <v/>
      </c>
      <c r="J101" s="45">
        <f>IF('Licenses'!F101="","",IF(AND(MONTH('Licenses'!F101)=7,YEAR('Licenses'!F101)=Settings!$B$40),'Licenses'!I101,""))</f>
        <v/>
      </c>
      <c r="K101" s="45">
        <f>IF('Licenses'!F101="","",IF(AND(MONTH('Licenses'!F101)=8,YEAR('Licenses'!F101)=Settings!$B$40),'Licenses'!I101,""))</f>
        <v/>
      </c>
      <c r="L101" s="45">
        <f>IF('Licenses'!F101="","",IF(AND(MONTH('Licenses'!F101)=9,YEAR('Licenses'!F101)=Settings!$B$40),'Licenses'!I101,""))</f>
        <v/>
      </c>
      <c r="M101" s="45">
        <f>IF('Licenses'!F101="","",IF(AND(MONTH('Licenses'!F101)=10,YEAR('Licenses'!F101)=Settings!$B$40),'Licenses'!I101,""))</f>
        <v/>
      </c>
      <c r="N101" s="45">
        <f>IF('Licenses'!F101="","",IF(AND(MONTH('Licenses'!F101)=11,YEAR('Licenses'!F101)=Settings!$B$40),'Licenses'!I101,""))</f>
        <v/>
      </c>
      <c r="O101" s="45">
        <f>IF('Licenses'!F101="","",IF(AND(MONTH('Licenses'!F101)=12,YEAR('Licenses'!F101)=Settings!$B$40),'Licenses'!I101,""))</f>
        <v/>
      </c>
    </row>
    <row r="102" ht="18" customHeight="1">
      <c r="A102" s="46">
        <f>IF('Licenses'!A102="","",'Licenses'!A102)</f>
        <v/>
      </c>
      <c r="B102" s="46">
        <f>IF('Licenses'!B102="","",'Licenses'!B102)</f>
        <v/>
      </c>
      <c r="C102" s="46">
        <f>IF('Licenses'!D102="","",'Licenses'!D102)</f>
        <v/>
      </c>
      <c r="D102" s="47">
        <f>IF('Licenses'!F102="","",IF(AND(MONTH('Licenses'!F102)=1,YEAR('Licenses'!F102)=Settings!$B$40),'Licenses'!I102,""))</f>
        <v/>
      </c>
      <c r="E102" s="47">
        <f>IF('Licenses'!F102="","",IF(AND(MONTH('Licenses'!F102)=2,YEAR('Licenses'!F102)=Settings!$B$40),'Licenses'!I102,""))</f>
        <v/>
      </c>
      <c r="F102" s="47">
        <f>IF('Licenses'!F102="","",IF(AND(MONTH('Licenses'!F102)=3,YEAR('Licenses'!F102)=Settings!$B$40),'Licenses'!I102,""))</f>
        <v/>
      </c>
      <c r="G102" s="47">
        <f>IF('Licenses'!F102="","",IF(AND(MONTH('Licenses'!F102)=4,YEAR('Licenses'!F102)=Settings!$B$40),'Licenses'!I102,""))</f>
        <v/>
      </c>
      <c r="H102" s="47">
        <f>IF('Licenses'!F102="","",IF(AND(MONTH('Licenses'!F102)=5,YEAR('Licenses'!F102)=Settings!$B$40),'Licenses'!I102,""))</f>
        <v/>
      </c>
      <c r="I102" s="47">
        <f>IF('Licenses'!F102="","",IF(AND(MONTH('Licenses'!F102)=6,YEAR('Licenses'!F102)=Settings!$B$40),'Licenses'!I102,""))</f>
        <v/>
      </c>
      <c r="J102" s="47">
        <f>IF('Licenses'!F102="","",IF(AND(MONTH('Licenses'!F102)=7,YEAR('Licenses'!F102)=Settings!$B$40),'Licenses'!I102,""))</f>
        <v/>
      </c>
      <c r="K102" s="47">
        <f>IF('Licenses'!F102="","",IF(AND(MONTH('Licenses'!F102)=8,YEAR('Licenses'!F102)=Settings!$B$40),'Licenses'!I102,""))</f>
        <v/>
      </c>
      <c r="L102" s="47">
        <f>IF('Licenses'!F102="","",IF(AND(MONTH('Licenses'!F102)=9,YEAR('Licenses'!F102)=Settings!$B$40),'Licenses'!I102,""))</f>
        <v/>
      </c>
      <c r="M102" s="47">
        <f>IF('Licenses'!F102="","",IF(AND(MONTH('Licenses'!F102)=10,YEAR('Licenses'!F102)=Settings!$B$40),'Licenses'!I102,""))</f>
        <v/>
      </c>
      <c r="N102" s="47">
        <f>IF('Licenses'!F102="","",IF(AND(MONTH('Licenses'!F102)=11,YEAR('Licenses'!F102)=Settings!$B$40),'Licenses'!I102,""))</f>
        <v/>
      </c>
      <c r="O102" s="47">
        <f>IF('Licenses'!F102="","",IF(AND(MONTH('Licenses'!F102)=12,YEAR('Licenses'!F102)=Settings!$B$40),'Licenses'!I102,""))</f>
        <v/>
      </c>
    </row>
    <row r="103" ht="18" customHeight="1">
      <c r="A103" s="44">
        <f>IF('Licenses'!A103="","",'Licenses'!A103)</f>
        <v/>
      </c>
      <c r="B103" s="44">
        <f>IF('Licenses'!B103="","",'Licenses'!B103)</f>
        <v/>
      </c>
      <c r="C103" s="44">
        <f>IF('Licenses'!D103="","",'Licenses'!D103)</f>
        <v/>
      </c>
      <c r="D103" s="45">
        <f>IF('Licenses'!F103="","",IF(AND(MONTH('Licenses'!F103)=1,YEAR('Licenses'!F103)=Settings!$B$40),'Licenses'!I103,""))</f>
        <v/>
      </c>
      <c r="E103" s="45">
        <f>IF('Licenses'!F103="","",IF(AND(MONTH('Licenses'!F103)=2,YEAR('Licenses'!F103)=Settings!$B$40),'Licenses'!I103,""))</f>
        <v/>
      </c>
      <c r="F103" s="45">
        <f>IF('Licenses'!F103="","",IF(AND(MONTH('Licenses'!F103)=3,YEAR('Licenses'!F103)=Settings!$B$40),'Licenses'!I103,""))</f>
        <v/>
      </c>
      <c r="G103" s="45">
        <f>IF('Licenses'!F103="","",IF(AND(MONTH('Licenses'!F103)=4,YEAR('Licenses'!F103)=Settings!$B$40),'Licenses'!I103,""))</f>
        <v/>
      </c>
      <c r="H103" s="45">
        <f>IF('Licenses'!F103="","",IF(AND(MONTH('Licenses'!F103)=5,YEAR('Licenses'!F103)=Settings!$B$40),'Licenses'!I103,""))</f>
        <v/>
      </c>
      <c r="I103" s="45">
        <f>IF('Licenses'!F103="","",IF(AND(MONTH('Licenses'!F103)=6,YEAR('Licenses'!F103)=Settings!$B$40),'Licenses'!I103,""))</f>
        <v/>
      </c>
      <c r="J103" s="45">
        <f>IF('Licenses'!F103="","",IF(AND(MONTH('Licenses'!F103)=7,YEAR('Licenses'!F103)=Settings!$B$40),'Licenses'!I103,""))</f>
        <v/>
      </c>
      <c r="K103" s="45">
        <f>IF('Licenses'!F103="","",IF(AND(MONTH('Licenses'!F103)=8,YEAR('Licenses'!F103)=Settings!$B$40),'Licenses'!I103,""))</f>
        <v/>
      </c>
      <c r="L103" s="45">
        <f>IF('Licenses'!F103="","",IF(AND(MONTH('Licenses'!F103)=9,YEAR('Licenses'!F103)=Settings!$B$40),'Licenses'!I103,""))</f>
        <v/>
      </c>
      <c r="M103" s="45">
        <f>IF('Licenses'!F103="","",IF(AND(MONTH('Licenses'!F103)=10,YEAR('Licenses'!F103)=Settings!$B$40),'Licenses'!I103,""))</f>
        <v/>
      </c>
      <c r="N103" s="45">
        <f>IF('Licenses'!F103="","",IF(AND(MONTH('Licenses'!F103)=11,YEAR('Licenses'!F103)=Settings!$B$40),'Licenses'!I103,""))</f>
        <v/>
      </c>
      <c r="O103" s="45">
        <f>IF('Licenses'!F103="","",IF(AND(MONTH('Licenses'!F103)=12,YEAR('Licenses'!F103)=Settings!$B$40),'Licenses'!I103,""))</f>
        <v/>
      </c>
    </row>
    <row r="104" ht="18" customHeight="1">
      <c r="A104" s="46">
        <f>IF('Licenses'!A104="","",'Licenses'!A104)</f>
        <v/>
      </c>
      <c r="B104" s="46">
        <f>IF('Licenses'!B104="","",'Licenses'!B104)</f>
        <v/>
      </c>
      <c r="C104" s="46">
        <f>IF('Licenses'!D104="","",'Licenses'!D104)</f>
        <v/>
      </c>
      <c r="D104" s="47">
        <f>IF('Licenses'!F104="","",IF(AND(MONTH('Licenses'!F104)=1,YEAR('Licenses'!F104)=Settings!$B$40),'Licenses'!I104,""))</f>
        <v/>
      </c>
      <c r="E104" s="47">
        <f>IF('Licenses'!F104="","",IF(AND(MONTH('Licenses'!F104)=2,YEAR('Licenses'!F104)=Settings!$B$40),'Licenses'!I104,""))</f>
        <v/>
      </c>
      <c r="F104" s="47">
        <f>IF('Licenses'!F104="","",IF(AND(MONTH('Licenses'!F104)=3,YEAR('Licenses'!F104)=Settings!$B$40),'Licenses'!I104,""))</f>
        <v/>
      </c>
      <c r="G104" s="47">
        <f>IF('Licenses'!F104="","",IF(AND(MONTH('Licenses'!F104)=4,YEAR('Licenses'!F104)=Settings!$B$40),'Licenses'!I104,""))</f>
        <v/>
      </c>
      <c r="H104" s="47">
        <f>IF('Licenses'!F104="","",IF(AND(MONTH('Licenses'!F104)=5,YEAR('Licenses'!F104)=Settings!$B$40),'Licenses'!I104,""))</f>
        <v/>
      </c>
      <c r="I104" s="47">
        <f>IF('Licenses'!F104="","",IF(AND(MONTH('Licenses'!F104)=6,YEAR('Licenses'!F104)=Settings!$B$40),'Licenses'!I104,""))</f>
        <v/>
      </c>
      <c r="J104" s="47">
        <f>IF('Licenses'!F104="","",IF(AND(MONTH('Licenses'!F104)=7,YEAR('Licenses'!F104)=Settings!$B$40),'Licenses'!I104,""))</f>
        <v/>
      </c>
      <c r="K104" s="47">
        <f>IF('Licenses'!F104="","",IF(AND(MONTH('Licenses'!F104)=8,YEAR('Licenses'!F104)=Settings!$B$40),'Licenses'!I104,""))</f>
        <v/>
      </c>
      <c r="L104" s="47">
        <f>IF('Licenses'!F104="","",IF(AND(MONTH('Licenses'!F104)=9,YEAR('Licenses'!F104)=Settings!$B$40),'Licenses'!I104,""))</f>
        <v/>
      </c>
      <c r="M104" s="47">
        <f>IF('Licenses'!F104="","",IF(AND(MONTH('Licenses'!F104)=10,YEAR('Licenses'!F104)=Settings!$B$40),'Licenses'!I104,""))</f>
        <v/>
      </c>
      <c r="N104" s="47">
        <f>IF('Licenses'!F104="","",IF(AND(MONTH('Licenses'!F104)=11,YEAR('Licenses'!F104)=Settings!$B$40),'Licenses'!I104,""))</f>
        <v/>
      </c>
      <c r="O104" s="47">
        <f>IF('Licenses'!F104="","",IF(AND(MONTH('Licenses'!F104)=12,YEAR('Licenses'!F104)=Settings!$B$40),'Licenses'!I104,""))</f>
        <v/>
      </c>
    </row>
    <row r="105" ht="18" customHeight="1">
      <c r="A105" s="44">
        <f>IF('Licenses'!A105="","",'Licenses'!A105)</f>
        <v/>
      </c>
      <c r="B105" s="44">
        <f>IF('Licenses'!B105="","",'Licenses'!B105)</f>
        <v/>
      </c>
      <c r="C105" s="44">
        <f>IF('Licenses'!D105="","",'Licenses'!D105)</f>
        <v/>
      </c>
      <c r="D105" s="45">
        <f>IF('Licenses'!F105="","",IF(AND(MONTH('Licenses'!F105)=1,YEAR('Licenses'!F105)=Settings!$B$40),'Licenses'!I105,""))</f>
        <v/>
      </c>
      <c r="E105" s="45">
        <f>IF('Licenses'!F105="","",IF(AND(MONTH('Licenses'!F105)=2,YEAR('Licenses'!F105)=Settings!$B$40),'Licenses'!I105,""))</f>
        <v/>
      </c>
      <c r="F105" s="45">
        <f>IF('Licenses'!F105="","",IF(AND(MONTH('Licenses'!F105)=3,YEAR('Licenses'!F105)=Settings!$B$40),'Licenses'!I105,""))</f>
        <v/>
      </c>
      <c r="G105" s="45">
        <f>IF('Licenses'!F105="","",IF(AND(MONTH('Licenses'!F105)=4,YEAR('Licenses'!F105)=Settings!$B$40),'Licenses'!I105,""))</f>
        <v/>
      </c>
      <c r="H105" s="45">
        <f>IF('Licenses'!F105="","",IF(AND(MONTH('Licenses'!F105)=5,YEAR('Licenses'!F105)=Settings!$B$40),'Licenses'!I105,""))</f>
        <v/>
      </c>
      <c r="I105" s="45">
        <f>IF('Licenses'!F105="","",IF(AND(MONTH('Licenses'!F105)=6,YEAR('Licenses'!F105)=Settings!$B$40),'Licenses'!I105,""))</f>
        <v/>
      </c>
      <c r="J105" s="45">
        <f>IF('Licenses'!F105="","",IF(AND(MONTH('Licenses'!F105)=7,YEAR('Licenses'!F105)=Settings!$B$40),'Licenses'!I105,""))</f>
        <v/>
      </c>
      <c r="K105" s="45">
        <f>IF('Licenses'!F105="","",IF(AND(MONTH('Licenses'!F105)=8,YEAR('Licenses'!F105)=Settings!$B$40),'Licenses'!I105,""))</f>
        <v/>
      </c>
      <c r="L105" s="45">
        <f>IF('Licenses'!F105="","",IF(AND(MONTH('Licenses'!F105)=9,YEAR('Licenses'!F105)=Settings!$B$40),'Licenses'!I105,""))</f>
        <v/>
      </c>
      <c r="M105" s="45">
        <f>IF('Licenses'!F105="","",IF(AND(MONTH('Licenses'!F105)=10,YEAR('Licenses'!F105)=Settings!$B$40),'Licenses'!I105,""))</f>
        <v/>
      </c>
      <c r="N105" s="45">
        <f>IF('Licenses'!F105="","",IF(AND(MONTH('Licenses'!F105)=11,YEAR('Licenses'!F105)=Settings!$B$40),'Licenses'!I105,""))</f>
        <v/>
      </c>
      <c r="O105" s="45">
        <f>IF('Licenses'!F105="","",IF(AND(MONTH('Licenses'!F105)=12,YEAR('Licenses'!F105)=Settings!$B$40),'Licenses'!I105,""))</f>
        <v/>
      </c>
    </row>
    <row r="106" ht="18" customHeight="1">
      <c r="A106" s="46">
        <f>IF('Licenses'!A106="","",'Licenses'!A106)</f>
        <v/>
      </c>
      <c r="B106" s="46">
        <f>IF('Licenses'!B106="","",'Licenses'!B106)</f>
        <v/>
      </c>
      <c r="C106" s="46">
        <f>IF('Licenses'!D106="","",'Licenses'!D106)</f>
        <v/>
      </c>
      <c r="D106" s="47">
        <f>IF('Licenses'!F106="","",IF(AND(MONTH('Licenses'!F106)=1,YEAR('Licenses'!F106)=Settings!$B$40),'Licenses'!I106,""))</f>
        <v/>
      </c>
      <c r="E106" s="47">
        <f>IF('Licenses'!F106="","",IF(AND(MONTH('Licenses'!F106)=2,YEAR('Licenses'!F106)=Settings!$B$40),'Licenses'!I106,""))</f>
        <v/>
      </c>
      <c r="F106" s="47">
        <f>IF('Licenses'!F106="","",IF(AND(MONTH('Licenses'!F106)=3,YEAR('Licenses'!F106)=Settings!$B$40),'Licenses'!I106,""))</f>
        <v/>
      </c>
      <c r="G106" s="47">
        <f>IF('Licenses'!F106="","",IF(AND(MONTH('Licenses'!F106)=4,YEAR('Licenses'!F106)=Settings!$B$40),'Licenses'!I106,""))</f>
        <v/>
      </c>
      <c r="H106" s="47">
        <f>IF('Licenses'!F106="","",IF(AND(MONTH('Licenses'!F106)=5,YEAR('Licenses'!F106)=Settings!$B$40),'Licenses'!I106,""))</f>
        <v/>
      </c>
      <c r="I106" s="47">
        <f>IF('Licenses'!F106="","",IF(AND(MONTH('Licenses'!F106)=6,YEAR('Licenses'!F106)=Settings!$B$40),'Licenses'!I106,""))</f>
        <v/>
      </c>
      <c r="J106" s="47">
        <f>IF('Licenses'!F106="","",IF(AND(MONTH('Licenses'!F106)=7,YEAR('Licenses'!F106)=Settings!$B$40),'Licenses'!I106,""))</f>
        <v/>
      </c>
      <c r="K106" s="47">
        <f>IF('Licenses'!F106="","",IF(AND(MONTH('Licenses'!F106)=8,YEAR('Licenses'!F106)=Settings!$B$40),'Licenses'!I106,""))</f>
        <v/>
      </c>
      <c r="L106" s="47">
        <f>IF('Licenses'!F106="","",IF(AND(MONTH('Licenses'!F106)=9,YEAR('Licenses'!F106)=Settings!$B$40),'Licenses'!I106,""))</f>
        <v/>
      </c>
      <c r="M106" s="47">
        <f>IF('Licenses'!F106="","",IF(AND(MONTH('Licenses'!F106)=10,YEAR('Licenses'!F106)=Settings!$B$40),'Licenses'!I106,""))</f>
        <v/>
      </c>
      <c r="N106" s="47">
        <f>IF('Licenses'!F106="","",IF(AND(MONTH('Licenses'!F106)=11,YEAR('Licenses'!F106)=Settings!$B$40),'Licenses'!I106,""))</f>
        <v/>
      </c>
      <c r="O106" s="47">
        <f>IF('Licenses'!F106="","",IF(AND(MONTH('Licenses'!F106)=12,YEAR('Licenses'!F106)=Settings!$B$40),'Licenses'!I106,""))</f>
        <v/>
      </c>
    </row>
    <row r="107" ht="24" customHeight="1">
      <c r="A107" s="48" t="inlineStr">
        <is>
          <t>TOTAL</t>
        </is>
      </c>
      <c r="B107" s="1" t="n"/>
      <c r="C107" s="1" t="n"/>
      <c r="D107" s="49">
        <f>SUM(D7:D106)</f>
        <v/>
      </c>
      <c r="E107" s="49">
        <f>SUM(E7:E106)</f>
        <v/>
      </c>
      <c r="F107" s="49">
        <f>SUM(F7:F106)</f>
        <v/>
      </c>
      <c r="G107" s="49">
        <f>SUM(G7:G106)</f>
        <v/>
      </c>
      <c r="H107" s="49">
        <f>SUM(H7:H106)</f>
        <v/>
      </c>
      <c r="I107" s="49">
        <f>SUM(I7:I106)</f>
        <v/>
      </c>
      <c r="J107" s="49">
        <f>SUM(J7:J106)</f>
        <v/>
      </c>
      <c r="K107" s="49">
        <f>SUM(K7:K106)</f>
        <v/>
      </c>
      <c r="L107" s="49">
        <f>SUM(L7:L106)</f>
        <v/>
      </c>
      <c r="M107" s="49">
        <f>SUM(M7:M106)</f>
        <v/>
      </c>
      <c r="N107" s="49">
        <f>SUM(N7:N106)</f>
        <v/>
      </c>
      <c r="O107" s="49">
        <f>SUM(O7:O106)</f>
        <v/>
      </c>
    </row>
  </sheetData>
  <mergeCells count="5">
    <mergeCell ref="J2:L2"/>
    <mergeCell ref="D2:I2"/>
    <mergeCell ref="A107:C107"/>
    <mergeCell ref="A4:O4"/>
    <mergeCell ref="A2:C2"/>
  </mergeCell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28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HYPERLINK("#'12-Month Calendar'!A1", "← BACK")</f>
        <v/>
      </c>
      <c r="B2" s="26" t="n"/>
      <c r="C2" s="26" t="n"/>
      <c r="D2" s="33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Lists drive dropdowns on the Licenses tab. The active calendar year drives the 12-Month Calendar — bump it each January.</t>
        </is>
      </c>
    </row>
    <row r="5" ht="18" customHeight="1">
      <c r="B5" s="38" t="inlineStr">
        <is>
          <t>Smokies Ridge Cabin</t>
        </is>
      </c>
      <c r="D5" s="50" t="inlineStr">
        <is>
          <t>← Property list (B5:B14)</t>
        </is>
      </c>
    </row>
    <row r="6" ht="18" customHeight="1">
      <c r="B6" s="38" t="inlineStr">
        <is>
          <t>Creek Side</t>
        </is>
      </c>
    </row>
    <row r="7" ht="18" customHeight="1">
      <c r="B7" s="38" t="inlineStr">
        <is>
          <t>Lakeside Lodge</t>
        </is>
      </c>
    </row>
    <row r="8" ht="18" customHeight="1">
      <c r="B8" s="38" t="inlineStr">
        <is>
          <t>Mountain View Loft</t>
        </is>
      </c>
    </row>
    <row r="9" ht="18" customHeight="1">
      <c r="B9" s="38" t="inlineStr">
        <is>
          <t>Pigeon Forge Retreat</t>
        </is>
      </c>
    </row>
    <row r="10" ht="18" customHeight="1">
      <c r="B10" s="38" t="n"/>
    </row>
    <row r="11" ht="18" customHeight="1">
      <c r="B11" s="38" t="n"/>
    </row>
    <row r="12" ht="18" customHeight="1">
      <c r="B12" s="38" t="n"/>
    </row>
    <row r="13" ht="18" customHeight="1">
      <c r="B13" s="38" t="n"/>
    </row>
    <row r="14" ht="18" customHeight="1">
      <c r="B14" s="38" t="n"/>
    </row>
    <row r="16" ht="18" customHeight="1">
      <c r="B16" s="38" t="inlineStr">
        <is>
          <t>Gatlinburg, TN</t>
        </is>
      </c>
      <c r="D16" s="50" t="inlineStr">
        <is>
          <t>← Jurisdictions (B16:B25)</t>
        </is>
      </c>
    </row>
    <row r="17" ht="18" customHeight="1">
      <c r="B17" s="38" t="inlineStr">
        <is>
          <t>Sevierville, TN</t>
        </is>
      </c>
    </row>
    <row r="18" ht="18" customHeight="1">
      <c r="B18" s="38" t="inlineStr">
        <is>
          <t>Sevier County, TN</t>
        </is>
      </c>
    </row>
    <row r="19" ht="18" customHeight="1">
      <c r="B19" s="38" t="inlineStr">
        <is>
          <t>State of Tennessee</t>
        </is>
      </c>
    </row>
    <row r="20" ht="18" customHeight="1">
      <c r="B20" s="38" t="inlineStr">
        <is>
          <t>Pigeon Forge, TN</t>
        </is>
      </c>
    </row>
    <row r="21" ht="18" customHeight="1">
      <c r="B21" s="38" t="n"/>
    </row>
    <row r="22" ht="18" customHeight="1">
      <c r="B22" s="38" t="n"/>
    </row>
    <row r="23" ht="18" customHeight="1">
      <c r="B23" s="38" t="n"/>
    </row>
    <row r="24" ht="18" customHeight="1">
      <c r="B24" s="38" t="n"/>
    </row>
    <row r="25" ht="18" customHeight="1">
      <c r="B25" s="38" t="n"/>
    </row>
    <row r="27" ht="18" customHeight="1">
      <c r="B27" s="38" t="inlineStr">
        <is>
          <t>STR Permit</t>
        </is>
      </c>
      <c r="D27" s="50" t="inlineStr">
        <is>
          <t>← License types (B27:B36)</t>
        </is>
      </c>
    </row>
    <row r="28" ht="18" customHeight="1">
      <c r="B28" s="38" t="inlineStr">
        <is>
          <t>Business License</t>
        </is>
      </c>
    </row>
    <row r="29" ht="18" customHeight="1">
      <c r="B29" s="38" t="inlineStr">
        <is>
          <t>Sales Tax</t>
        </is>
      </c>
    </row>
    <row r="30" ht="18" customHeight="1">
      <c r="B30" s="38" t="inlineStr">
        <is>
          <t>Fire/Safety</t>
        </is>
      </c>
    </row>
    <row r="31" ht="18" customHeight="1">
      <c r="B31" s="38" t="inlineStr">
        <is>
          <t>Lottery</t>
        </is>
      </c>
    </row>
    <row r="32" ht="18" customHeight="1">
      <c r="B32" s="38" t="inlineStr">
        <is>
          <t>Health</t>
        </is>
      </c>
    </row>
    <row r="33" ht="18" customHeight="1">
      <c r="B33" s="38" t="inlineStr">
        <is>
          <t>Other</t>
        </is>
      </c>
    </row>
    <row r="34" ht="18" customHeight="1">
      <c r="B34" s="38" t="n"/>
    </row>
    <row r="35" ht="18" customHeight="1">
      <c r="B35" s="38" t="n"/>
    </row>
    <row r="36" ht="18" customHeight="1">
      <c r="B36" s="38" t="n"/>
    </row>
    <row r="38" ht="22" customHeight="1">
      <c r="B38" s="51" t="n">
        <v>90</v>
      </c>
      <c r="D38" s="50" t="inlineStr">
        <is>
          <t>← Renewal alert window (days)</t>
        </is>
      </c>
    </row>
    <row r="40" ht="28" customHeight="1">
      <c r="B40" s="52" t="n">
        <v>2026</v>
      </c>
      <c r="D40" s="50" t="inlineStr">
        <is>
          <t>← Active calendar year (drives 12-Month Calendar)</t>
        </is>
      </c>
    </row>
    <row r="43" ht="22" customHeight="1">
      <c r="B43" s="53" t="inlineStr">
        <is>
          <t>YEAR-END ARCHIVE — copy KPIs each January</t>
        </is>
      </c>
    </row>
    <row r="44" ht="22" customHeight="1">
      <c r="B44" s="37" t="inlineStr">
        <is>
          <t>Year</t>
        </is>
      </c>
      <c r="C44" s="37" t="inlineStr">
        <is>
          <t>Active licenses</t>
        </is>
      </c>
      <c r="D44" s="37" t="inlineStr">
        <is>
          <t>Total fees $</t>
        </is>
      </c>
      <c r="E44" s="37" t="inlineStr">
        <is>
          <t># Renewals filed</t>
        </is>
      </c>
    </row>
    <row r="45" ht="18" customHeight="1">
      <c r="B45" s="43" t="n">
        <v>2026</v>
      </c>
      <c r="C45" s="38" t="n"/>
      <c r="D45" s="38" t="n"/>
      <c r="E45" s="38" t="n"/>
    </row>
    <row r="46" ht="18" customHeight="1">
      <c r="B46" s="43" t="n">
        <v>2027</v>
      </c>
      <c r="C46" s="38" t="n"/>
      <c r="D46" s="38" t="n"/>
      <c r="E46" s="38" t="n"/>
    </row>
    <row r="47" ht="18" customHeight="1">
      <c r="B47" s="43" t="n">
        <v>2028</v>
      </c>
      <c r="C47" s="38" t="n"/>
      <c r="D47" s="38" t="n"/>
      <c r="E47" s="38" t="n"/>
    </row>
    <row r="48" ht="18" customHeight="1">
      <c r="B48" s="43" t="n">
        <v>2029</v>
      </c>
      <c r="C48" s="38" t="n"/>
      <c r="D48" s="38" t="n"/>
      <c r="E48" s="38" t="n"/>
    </row>
    <row r="49" ht="18" customHeight="1">
      <c r="B49" s="43" t="n">
        <v>2030</v>
      </c>
      <c r="C49" s="38" t="n"/>
      <c r="D49" s="38" t="n"/>
      <c r="E49" s="38" t="n"/>
    </row>
    <row r="50" ht="18" customHeight="1">
      <c r="B50" s="43" t="n">
        <v>2031</v>
      </c>
      <c r="C50" s="38" t="n"/>
      <c r="D50" s="38" t="n"/>
      <c r="E50" s="38" t="n"/>
    </row>
  </sheetData>
  <mergeCells count="4">
    <mergeCell ref="B43:E43"/>
    <mergeCell ref="D2:L2"/>
    <mergeCell ref="A2:C2"/>
    <mergeCell ref="A4:L4"/>
  </mergeCells>
  <pageMargins left="0.4" right="0.4" top="0.5" bottom="0.5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STR License Renewal Calendar — The STR Ledger</dc:title>
  <dc:description xmlns:dc="http://purl.org/dc/elements/1.1/">STR-focused license renewal calendar — tracks city STR permit, business license, sales tax, fire/safety, and lottery renewals with auto countdown + 12-month forward fee calendar.</dc:description>
  <dcterms:created xmlns:dcterms="http://purl.org/dc/terms/" xmlns:xsi="http://www.w3.org/2001/XMLSchema-instance" xsi:type="dcterms:W3CDTF">2026-05-03T19:06:25Z</dcterms:created>
  <dcterms:modified xmlns:dcterms="http://purl.org/dc/terms/" xmlns:xsi="http://www.w3.org/2001/XMLSchema-instance" xsi:type="dcterms:W3CDTF">2026-05-03T19:06:26Z</dcterms:modified>
</cp:coreProperties>
</file>