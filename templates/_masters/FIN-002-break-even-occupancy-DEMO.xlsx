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Calculator" sheetId="2" state="visible" r:id="rId2"/>
    <sheet xmlns:r="http://schemas.openxmlformats.org/officeDocument/2006/relationships" name="Sensitivity" sheetId="3" state="visible" r:id="rId3"/>
  </sheets>
  <definedNames>
    <definedName name="_xlnm.Print_Area" localSheetId="0">'Start'!$A$1:$L$34</definedName>
    <definedName name="_xlnm.Print_Area" localSheetId="2">'Sensitivity'!$A$1:$L$20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"/>
    <numFmt numFmtId="166" formatCode="0.0%"/>
    <numFmt numFmtId="167" formatCode="&quot;$&quot;#,##0"/>
  </numFmts>
  <fonts count="29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onsolas"/>
      <b val="1"/>
      <color rgb="0012304E"/>
      <sz val="10"/>
    </font>
    <font>
      <name val="Georgia"/>
      <b val="1"/>
      <color rgb="00C9A24B"/>
      <sz val="48"/>
    </font>
    <font>
      <name val="Calibri"/>
      <i val="1"/>
      <color rgb="002B2B2B"/>
      <sz val="12"/>
    </font>
    <font>
      <name val="Calibri"/>
      <b val="1"/>
      <color rgb="002B2B2B"/>
      <sz val="12"/>
    </font>
    <font>
      <name val="Calibri"/>
      <color rgb="002B2B2B"/>
      <sz val="11"/>
    </font>
    <font>
      <name val="Georgia"/>
      <b val="1"/>
      <color rgb="0012304E"/>
      <sz val="14"/>
    </font>
    <font>
      <name val="Calibri"/>
      <i val="1"/>
      <color rgb="006B7280"/>
      <sz val="10"/>
    </font>
    <font>
      <name val="Georgia"/>
      <b val="1"/>
      <color rgb="0012304E"/>
      <sz val="18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Calibri"/>
      <color rgb="002B2B2B"/>
      <sz val="10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b val="1"/>
      <color rgb="0012304E"/>
      <sz val="11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FFF7D6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EDEDED"/>
      </patternFill>
    </fill>
    <fill>
      <patternFill patternType="solid">
        <fgColor rgb="00E2C884"/>
      </patternFill>
    </fill>
  </fills>
  <borders count="7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9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right" vertical="center" indent="1"/>
    </xf>
    <xf numFmtId="9" fontId="11" fillId="4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5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6" fillId="6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right" vertical="center" indent="2"/>
    </xf>
    <xf numFmtId="0" fontId="15" fillId="6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20" fillId="3" borderId="0" applyAlignment="1" pivotButton="0" quotePrefix="0" xfId="0">
      <alignment horizontal="left" vertical="center" indent="1"/>
    </xf>
    <xf numFmtId="0" fontId="21" fillId="2" borderId="0" applyAlignment="1" pivotButton="0" quotePrefix="0" xfId="0">
      <alignment horizontal="left" vertical="center" indent="2"/>
    </xf>
    <xf numFmtId="0" fontId="22" fillId="0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 indent="1"/>
    </xf>
    <xf numFmtId="0" fontId="23" fillId="0" borderId="0" pivotButton="0" quotePrefix="0" xfId="0"/>
    <xf numFmtId="0" fontId="24" fillId="7" borderId="0" applyAlignment="1" pivotButton="0" quotePrefix="0" xfId="0">
      <alignment horizontal="left" vertical="center" indent="1"/>
    </xf>
    <xf numFmtId="164" fontId="10" fillId="4" borderId="0" applyAlignment="1" pivotButton="0" quotePrefix="0" xfId="0">
      <alignment horizontal="center" vertical="center"/>
    </xf>
    <xf numFmtId="165" fontId="10" fillId="4" borderId="0" applyAlignment="1" pivotButton="0" quotePrefix="0" xfId="0">
      <alignment horizontal="center" vertical="center"/>
    </xf>
    <xf numFmtId="1" fontId="10" fillId="4" borderId="0" applyAlignment="1" pivotButton="0" quotePrefix="0" xfId="0">
      <alignment horizontal="center" vertical="center"/>
    </xf>
    <xf numFmtId="166" fontId="10" fillId="4" borderId="0" applyAlignment="1" pivotButton="0" quotePrefix="0" xfId="0">
      <alignment horizontal="center" vertical="center"/>
    </xf>
    <xf numFmtId="167" fontId="10" fillId="4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 indent="2"/>
    </xf>
    <xf numFmtId="0" fontId="25" fillId="5" borderId="0" applyAlignment="1" pivotButton="0" quotePrefix="0" xfId="0">
      <alignment horizontal="left" vertical="top" wrapText="1" indent="2"/>
    </xf>
    <xf numFmtId="167" fontId="24" fillId="7" borderId="0" applyAlignment="1" pivotButton="0" quotePrefix="0" xfId="0">
      <alignment horizontal="center" vertical="center"/>
    </xf>
    <xf numFmtId="164" fontId="24" fillId="7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vertical="center" indent="1"/>
    </xf>
    <xf numFmtId="1" fontId="27" fillId="8" borderId="0" applyAlignment="1" pivotButton="0" quotePrefix="0" xfId="0">
      <alignment horizontal="center" vertical="center"/>
    </xf>
    <xf numFmtId="166" fontId="27" fillId="8" borderId="0" applyAlignment="1" pivotButton="0" quotePrefix="0" xfId="0">
      <alignment horizontal="center" vertical="center"/>
    </xf>
    <xf numFmtId="0" fontId="16" fillId="2" borderId="5" applyAlignment="1" pivotButton="0" quotePrefix="0" xfId="0">
      <alignment horizontal="center" vertical="center"/>
    </xf>
    <xf numFmtId="9" fontId="28" fillId="5" borderId="0" applyAlignment="1" pivotButton="0" quotePrefix="0" xfId="0">
      <alignment horizontal="center" vertical="center"/>
    </xf>
    <xf numFmtId="167" fontId="10" fillId="0" borderId="6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b val="1"/>
        <color rgb="00B91C1C"/>
        <sz val="11"/>
      </font>
      <fill>
        <patternFill patternType="solid">
          <fgColor rgb="00FFCCCC"/>
        </patternFill>
      </fill>
    </dxf>
    <dxf>
      <font>
        <name val="Calibri"/>
        <b val="1"/>
        <color rgb="0012304E"/>
        <sz val="11"/>
      </font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Break-even Occupancy Calculator</t>
        </is>
      </c>
    </row>
    <row r="5" ht="22" customHeight="1">
      <c r="A5" s="4" t="inlineStr">
        <is>
          <t>How empty can it get before you're losing money?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FIN-002 · v1.0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>
        <f>IF(Calculator!C7="","(enter property name on Calculator tab)",Calculator!C7)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8" customHeight="1">
      <c r="A13" s="8" t="inlineStr">
        <is>
          <t>BREAK-EVEN OCCUPANCY</t>
        </is>
      </c>
    </row>
    <row r="14" ht="36" customHeight="1">
      <c r="A14" s="9">
        <f>Calculator!C47</f>
        <v/>
      </c>
    </row>
    <row r="15" ht="24" customHeight="1"/>
    <row r="16" ht="22" customHeight="1">
      <c r="A16" s="10">
        <f>"= "&amp;ROUND(Calculator!C46,0)&amp;" booked nights/year   (~"&amp;ROUND(Calculator!C46/12,1)&amp;"/month)"</f>
        <v/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24" customHeight="1">
      <c r="A18" s="11" t="inlineStr">
        <is>
          <t>Your current occupancy:</t>
        </is>
      </c>
      <c r="G18" s="12" t="n">
        <v>0.62</v>
      </c>
      <c r="I18" s="13">
        <f>IF(G18="","(enter your %)","")</f>
        <v/>
      </c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30" customHeight="1">
      <c r="A20" s="14">
        <f>IF(G18="","",IF(G18&gt;=Calculator!C47,"✅ Margin = "&amp;TEXT(G18-Calculator!C47,"0%")&amp;" above break-even","⚠ Below break-even by "&amp;TEXT(Calculator!C47-G18,"0%")))</f>
        <v/>
      </c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 ht="22" customHeight="1">
      <c r="A22" s="15" t="inlineStr">
        <is>
          <t>Note: this break-even covers operating costs + mortgage interest. It does NOT cover principal paydown or your time. True cash break-even is higher — re-run when costs change (insurance bumps, cleaner rate, refi).</t>
        </is>
      </c>
    </row>
    <row r="23" ht="22" customHeight="1"/>
    <row r="25" ht="22" customHeight="1">
      <c r="A25" s="16">
        <f>HYPERLINK("#'Calculator'!A1", "→  Open Calculator")</f>
        <v/>
      </c>
      <c r="B25" s="17" t="n"/>
      <c r="C25" s="17" t="n"/>
      <c r="D25" s="17" t="n"/>
      <c r="E25" s="17" t="n"/>
      <c r="F25" s="17" t="n"/>
      <c r="G25" s="18">
        <f>HYPERLINK("#'Sensitivity'!A1", "Sensitivity Table")</f>
        <v/>
      </c>
      <c r="H25" s="19" t="n"/>
      <c r="I25" s="19" t="n"/>
      <c r="J25" s="19" t="n"/>
      <c r="K25" s="19" t="n"/>
      <c r="L25" s="19" t="n"/>
    </row>
    <row r="26" ht="22" customHeight="1">
      <c r="A26" s="17" t="n"/>
      <c r="B26" s="17" t="n"/>
      <c r="C26" s="17" t="n"/>
      <c r="D26" s="17" t="n"/>
      <c r="E26" s="17" t="n"/>
      <c r="F26" s="17" t="n"/>
      <c r="G26" s="19" t="n"/>
      <c r="H26" s="19" t="n"/>
      <c r="I26" s="19" t="n"/>
      <c r="J26" s="19" t="n"/>
      <c r="K26" s="19" t="n"/>
      <c r="L26" s="19" t="n"/>
    </row>
    <row r="27" ht="22" customHeight="1">
      <c r="A27" s="17" t="n"/>
      <c r="B27" s="17" t="n"/>
      <c r="C27" s="17" t="n"/>
      <c r="D27" s="17" t="n"/>
      <c r="E27" s="17" t="n"/>
      <c r="F27" s="17" t="n"/>
      <c r="G27" s="19" t="n"/>
      <c r="H27" s="19" t="n"/>
      <c r="I27" s="19" t="n"/>
      <c r="J27" s="19" t="n"/>
      <c r="K27" s="19" t="n"/>
      <c r="L27" s="19" t="n"/>
    </row>
    <row r="30" ht="36" customHeight="1">
      <c r="A30" s="20" t="inlineStr">
        <is>
          <t>💡  Want the full P&amp;L picture? Get the Single-Property P&amp;L Tracker (TAX-002) at thestrledger.com — Schedule E-ready, $47.</t>
        </is>
      </c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</row>
    <row r="33" ht="18" customHeight="1">
      <c r="A33" s="22" t="inlineStr">
        <is>
          <t>Questions? hello@thestrledger.com</t>
        </is>
      </c>
    </row>
    <row r="34" ht="18" customHeight="1">
      <c r="A34" s="23" t="inlineStr">
        <is>
          <t>FIN-002 · v1.0 · Free updates forever</t>
        </is>
      </c>
    </row>
  </sheetData>
  <mergeCells count="18">
    <mergeCell ref="A20:L20"/>
    <mergeCell ref="A2:F2"/>
    <mergeCell ref="A16:L16"/>
    <mergeCell ref="A30:L30"/>
    <mergeCell ref="A7:L7"/>
    <mergeCell ref="I18:L18"/>
    <mergeCell ref="A33:L33"/>
    <mergeCell ref="A11:L11"/>
    <mergeCell ref="A5:L5"/>
    <mergeCell ref="A13:L13"/>
    <mergeCell ref="A14:L15"/>
    <mergeCell ref="A18:F18"/>
    <mergeCell ref="A25:F27"/>
    <mergeCell ref="A22:L23"/>
    <mergeCell ref="G18:H18"/>
    <mergeCell ref="G25:L27"/>
    <mergeCell ref="A34:L34"/>
    <mergeCell ref="A4:L4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6" customWidth="1" min="4" max="4"/>
    <col width="3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6">
        <f>HYPERLINK("#'Start'!A1", "← BACK")</f>
        <v/>
      </c>
      <c r="B2" s="17" t="n"/>
      <c r="C2" s="17" t="n"/>
      <c r="D2" s="24" t="inlineStr">
        <is>
          <t>CALCULATOR</t>
        </is>
      </c>
      <c r="J2" s="25">
        <f>HYPERLINK("#'Sensitivity'!A1",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7" t="inlineStr">
        <is>
          <t>All inputs on one page. Yellow = edit; gray = calculated.</t>
        </is>
      </c>
    </row>
    <row r="6" ht="24" customHeight="1">
      <c r="A6" s="28" t="inlineStr">
        <is>
          <t>REVENUE ASSUMPTIONS</t>
        </is>
      </c>
    </row>
    <row r="7" ht="18" customHeight="1">
      <c r="B7" s="29" t="inlineStr">
        <is>
          <t>Property name:</t>
        </is>
      </c>
      <c r="C7" s="30" t="inlineStr">
        <is>
          <t>Smokies Ridge Cabin</t>
        </is>
      </c>
      <c r="E7" s="31" t="inlineStr">
        <is>
          <t>(used in Start tab headline)</t>
        </is>
      </c>
    </row>
    <row r="8" ht="16" customHeight="1">
      <c r="B8" s="32" t="inlineStr">
        <is>
          <t>(name shown above)</t>
        </is>
      </c>
      <c r="C8" s="33">
        <f>B7</f>
        <v/>
      </c>
    </row>
    <row r="9" ht="18" customHeight="1">
      <c r="B9" s="29" t="inlineStr">
        <is>
          <t>ADR — Avg nightly rate ($):</t>
        </is>
      </c>
      <c r="C9" s="34" t="n">
        <v>245</v>
      </c>
      <c r="E9" s="31" t="inlineStr">
        <is>
          <t>Gross nightly rate (commission applied below)</t>
        </is>
      </c>
    </row>
    <row r="10" ht="18" customHeight="1">
      <c r="B10" s="29" t="inlineStr">
        <is>
          <t>Cleaning fee charged to guest ($):</t>
        </is>
      </c>
      <c r="C10" s="34" t="n">
        <v>150</v>
      </c>
      <c r="E10" s="31" t="inlineStr">
        <is>
          <t>What guest pays — host nets the spread vs. cleaning paid</t>
        </is>
      </c>
    </row>
    <row r="11" ht="18" customHeight="1">
      <c r="B11" s="29" t="inlineStr">
        <is>
          <t>Avg length of stay (nights):</t>
        </is>
      </c>
      <c r="C11" s="35" t="n">
        <v>3.2</v>
      </c>
      <c r="E11" s="31" t="inlineStr">
        <is>
          <t>1.5-7 typical; affects per-night variable cost</t>
        </is>
      </c>
    </row>
    <row r="12" ht="18" customHeight="1">
      <c r="B12" s="29" t="inlineStr">
        <is>
          <t>Available nights/year:</t>
        </is>
      </c>
      <c r="C12" s="36" t="n">
        <v>350</v>
      </c>
      <c r="E12" s="31" t="inlineStr">
        <is>
          <t>365 minus blocked (personal use, maintenance, owner stays)</t>
        </is>
      </c>
    </row>
    <row r="13" ht="18" customHeight="1">
      <c r="B13" s="29" t="inlineStr">
        <is>
          <t>Platform commission (%):</t>
        </is>
      </c>
      <c r="C13" s="37" t="n">
        <v>0.15</v>
      </c>
      <c r="E13" s="31" t="inlineStr">
        <is>
          <t>Airbnb 15%, VRBO 8%, direct 0-3%</t>
        </is>
      </c>
    </row>
    <row r="15" ht="24" customHeight="1">
      <c r="A15" s="28" t="inlineStr">
        <is>
          <t>ANNUAL FIXED COSTS</t>
        </is>
      </c>
    </row>
    <row r="16" ht="18" customHeight="1">
      <c r="B16" s="29" t="inlineStr">
        <is>
          <t>Mortgage interest (annual, $):</t>
        </is>
      </c>
      <c r="C16" s="38" t="n">
        <v>4800</v>
      </c>
      <c r="E16" s="31" t="inlineStr">
        <is>
          <t>Interest only — principal is excluded from break-even</t>
        </is>
      </c>
    </row>
    <row r="17" ht="18" customHeight="1">
      <c r="B17" s="29" t="inlineStr">
        <is>
          <t>Property tax (annual, $):</t>
        </is>
      </c>
      <c r="C17" s="38" t="n">
        <v>4800</v>
      </c>
    </row>
    <row r="18" ht="18" customHeight="1">
      <c r="B18" s="29" t="inlineStr">
        <is>
          <t>Insurance (annual, $):</t>
        </is>
      </c>
      <c r="C18" s="38" t="n">
        <v>2400</v>
      </c>
      <c r="E18" s="31" t="inlineStr">
        <is>
          <t>Including STR rider</t>
        </is>
      </c>
    </row>
    <row r="19" ht="18" customHeight="1">
      <c r="B19" s="29" t="inlineStr">
        <is>
          <t>HOA / Condo fees (annual, $):</t>
        </is>
      </c>
      <c r="C19" s="38" t="n">
        <v>0</v>
      </c>
    </row>
    <row r="20" ht="18" customHeight="1">
      <c r="B20" s="29" t="inlineStr">
        <is>
          <t>Utilities (annual, $):</t>
        </is>
      </c>
      <c r="C20" s="38" t="n">
        <v>2160</v>
      </c>
      <c r="E20" s="31" t="inlineStr">
        <is>
          <t>Electric, gas, water, trash combined</t>
        </is>
      </c>
    </row>
    <row r="21" ht="18" customHeight="1">
      <c r="B21" s="29" t="inlineStr">
        <is>
          <t>Internet (annual, $):</t>
        </is>
      </c>
      <c r="C21" s="38" t="n">
        <v>960</v>
      </c>
    </row>
    <row r="22" ht="18" customHeight="1">
      <c r="B22" s="29" t="inlineStr">
        <is>
          <t>PMS / Software (annual, $):</t>
        </is>
      </c>
      <c r="C22" s="38" t="n">
        <v>480</v>
      </c>
      <c r="E22" s="31" t="inlineStr">
        <is>
          <t>Hospitable, Hostfully, OwnerRez, etc.</t>
        </is>
      </c>
    </row>
    <row r="23" ht="18" customHeight="1">
      <c r="B23" s="29" t="inlineStr">
        <is>
          <t>Marketing / photos (annual, $):</t>
        </is>
      </c>
      <c r="C23" s="38" t="n">
        <v>600</v>
      </c>
      <c r="E23" s="31" t="inlineStr">
        <is>
          <t>Photo refresh, listing fees</t>
        </is>
      </c>
    </row>
    <row r="24" ht="18" customHeight="1">
      <c r="B24" s="29" t="inlineStr">
        <is>
          <t>Other fixed #1 (annual, $):</t>
        </is>
      </c>
      <c r="C24" s="38" t="n">
        <v>0</v>
      </c>
      <c r="E24" s="31" t="inlineStr">
        <is>
          <t>Label this if used</t>
        </is>
      </c>
    </row>
    <row r="25" ht="18" customHeight="1">
      <c r="B25" s="29" t="inlineStr">
        <is>
          <t>Other fixed #2 (annual, $):</t>
        </is>
      </c>
      <c r="C25" s="38" t="n">
        <v>0</v>
      </c>
    </row>
    <row r="28" ht="24" customHeight="1">
      <c r="A28" s="28" t="inlineStr">
        <is>
          <t>PER-TURNOVER VARIABLE COSTS</t>
        </is>
      </c>
    </row>
    <row r="29" ht="18" customHeight="1">
      <c r="B29" s="29" t="inlineStr">
        <is>
          <t>Cleaning paid to cleaner ($/turnover):</t>
        </is>
      </c>
      <c r="C29" s="38" t="n">
        <v>150</v>
      </c>
    </row>
    <row r="30" ht="18" customHeight="1">
      <c r="B30" s="29" t="inlineStr">
        <is>
          <t>Supplies ($/turnover):</t>
        </is>
      </c>
      <c r="C30" s="38" t="n">
        <v>25</v>
      </c>
      <c r="E30" s="31" t="inlineStr">
        <is>
          <t>Toiletries, paper, coffee top-ups</t>
        </is>
      </c>
    </row>
    <row r="31" ht="18" customHeight="1">
      <c r="B31" s="29" t="inlineStr">
        <is>
          <t>Maintenance reserve ($/turnover):</t>
        </is>
      </c>
      <c r="C31" s="38" t="n">
        <v>12</v>
      </c>
      <c r="E31" s="31" t="inlineStr">
        <is>
          <t>Per-booking allocation; 5-8% of revenue typical</t>
        </is>
      </c>
    </row>
    <row r="32" ht="18" customHeight="1">
      <c r="B32" s="29" t="inlineStr">
        <is>
          <t>Other variable ($/turnover):</t>
        </is>
      </c>
      <c r="C32" s="38" t="n">
        <v>0</v>
      </c>
    </row>
    <row r="34" ht="20" customHeight="1">
      <c r="A34" s="39" t="inlineStr">
        <is>
          <t>📋  PULL FROM YOUR TAX-002 P&amp;L</t>
        </is>
      </c>
    </row>
    <row r="35" ht="18" customHeight="1">
      <c r="A35" s="40" t="inlineStr">
        <is>
          <t>If you own TAX-002 Single-Property P&amp;L Tracker, your annual fixed costs map cleanly: Schedule E lines 13 (mortgage int), 17 (taxes), 10 (insurance), 18 (utilities), 19 (Other — software, marketing, etc.). Cleaning paid → Schedule E line 8. Supplies → line 16. Open TAX-002, copy YTD totals from the Schedule E Summary tab, annualize if mid-year, paste here.</t>
        </is>
      </c>
    </row>
    <row r="36" ht="18" customHeight="1"/>
    <row r="37" ht="18" customHeight="1"/>
    <row r="39" ht="24" customHeight="1">
      <c r="A39" s="28" t="inlineStr">
        <is>
          <t>OUTPUTS  —  CALCULATED</t>
        </is>
      </c>
    </row>
    <row r="40" ht="18" customHeight="1">
      <c r="B40" s="29" t="inlineStr">
        <is>
          <t>Total annual fixed costs:</t>
        </is>
      </c>
      <c r="C40" s="41">
        <f>SUM(C16:C25)</f>
        <v/>
      </c>
      <c r="E40" s="31" t="inlineStr">
        <is>
          <t>All fixed annual costs combined</t>
        </is>
      </c>
    </row>
    <row r="41" ht="18" customHeight="1">
      <c r="B41" s="29" t="inlineStr">
        <is>
          <t>Variable cost per turnover:</t>
        </is>
      </c>
      <c r="C41" s="42">
        <f>SUM(C29:C32)</f>
        <v/>
      </c>
      <c r="E41" s="31" t="inlineStr">
        <is>
          <t>Cleaning + supplies + reserve + other</t>
        </is>
      </c>
    </row>
    <row r="42" ht="18" customHeight="1">
      <c r="B42" s="29" t="inlineStr">
        <is>
          <t>Variable cost per night:</t>
        </is>
      </c>
      <c r="C42" s="42">
        <f>IFERROR(C41/C11,0)</f>
        <v/>
      </c>
      <c r="E42" s="31" t="inlineStr">
        <is>
          <t>Per-turnover variable ÷ avg LOS</t>
        </is>
      </c>
    </row>
    <row r="43" ht="18" customHeight="1">
      <c r="B43" s="29" t="inlineStr">
        <is>
          <t>Net revenue per night:</t>
        </is>
      </c>
      <c r="C43" s="42">
        <f>C9*(1-C13)+C10/C11</f>
        <v/>
      </c>
      <c r="E43" s="31" t="inlineStr">
        <is>
          <t>ADR × (1-commission) + cleaning_charged ÷ LOS</t>
        </is>
      </c>
    </row>
    <row r="44" ht="18" customHeight="1">
      <c r="B44" s="29" t="inlineStr">
        <is>
          <t>Contribution margin per night:</t>
        </is>
      </c>
      <c r="C44" s="42">
        <f>C43-C42</f>
        <v/>
      </c>
      <c r="E44" s="31" t="inlineStr">
        <is>
          <t>Net rev/night − variable/night</t>
        </is>
      </c>
    </row>
    <row r="46" ht="22" customHeight="1">
      <c r="B46" s="43" t="inlineStr">
        <is>
          <t>BREAK-EVEN NIGHTS / YEAR:</t>
        </is>
      </c>
      <c r="C46" s="44">
        <f>IFERROR(C40/C44,0)</f>
        <v/>
      </c>
      <c r="E46" s="31" t="inlineStr">
        <is>
          <t>Nights you must book to cover fixed costs</t>
        </is>
      </c>
    </row>
    <row r="47" ht="22" customHeight="1">
      <c r="B47" s="43" t="inlineStr">
        <is>
          <t>BREAK-EVEN OCCUPANCY:</t>
        </is>
      </c>
      <c r="C47" s="45">
        <f>IFERROR(C46/C12,0)</f>
        <v/>
      </c>
      <c r="E47" s="31" t="inlineStr">
        <is>
          <t>Break-even nights ÷ available nights</t>
        </is>
      </c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</row>
    <row r="51" ht="18" customHeight="1">
      <c r="A51" s="22" t="inlineStr">
        <is>
          <t>Questions? hello@thestrledger.com</t>
        </is>
      </c>
    </row>
    <row r="52" ht="18" customHeight="1">
      <c r="A52" s="23" t="inlineStr">
        <is>
          <t>FIN-002 · v1.0 · Calculator</t>
        </is>
      </c>
    </row>
  </sheetData>
  <mergeCells count="33">
    <mergeCell ref="E43:L43"/>
    <mergeCell ref="E12:L12"/>
    <mergeCell ref="E18:L18"/>
    <mergeCell ref="D2:I2"/>
    <mergeCell ref="E24:L24"/>
    <mergeCell ref="E42:L42"/>
    <mergeCell ref="E23:L23"/>
    <mergeCell ref="A2:C2"/>
    <mergeCell ref="E20:L20"/>
    <mergeCell ref="E44:L44"/>
    <mergeCell ref="E10:L10"/>
    <mergeCell ref="E13:L13"/>
    <mergeCell ref="E31:L31"/>
    <mergeCell ref="A4:L4"/>
    <mergeCell ref="E40:L40"/>
    <mergeCell ref="E9:L9"/>
    <mergeCell ref="J2:L2"/>
    <mergeCell ref="A52:L52"/>
    <mergeCell ref="E30:L30"/>
    <mergeCell ref="A28:L28"/>
    <mergeCell ref="E11:L11"/>
    <mergeCell ref="E46:L46"/>
    <mergeCell ref="A35:L37"/>
    <mergeCell ref="A39:L39"/>
    <mergeCell ref="A34:L34"/>
    <mergeCell ref="A15:L15"/>
    <mergeCell ref="E7:L7"/>
    <mergeCell ref="A51:L51"/>
    <mergeCell ref="E41:L41"/>
    <mergeCell ref="E16:L16"/>
    <mergeCell ref="A6:L6"/>
    <mergeCell ref="E22:L22"/>
    <mergeCell ref="E47:L47"/>
  </mergeCells>
  <pageMargins left="0.5" right="0.5" top="0.5" bottom="0.5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19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6" customWidth="1" min="3" max="3"/>
    <col width="16" customWidth="1" min="4" max="4"/>
    <col width="1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6">
        <f>HYPERLINK("#'Calculator'!A1", "← BACK")</f>
        <v/>
      </c>
      <c r="B2" s="17" t="n"/>
      <c r="C2" s="17" t="n"/>
      <c r="D2" s="24" t="inlineStr">
        <is>
          <t>SENSITIVITY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7" t="inlineStr">
        <is>
          <t>Annual cash flow at every combination of occupancy × ADR. Red = losing money. Gold = healthy.</t>
        </is>
      </c>
    </row>
    <row r="6" ht="24" customHeight="1">
      <c r="B6" s="46" t="inlineStr">
        <is>
          <t>Occupancy</t>
        </is>
      </c>
      <c r="C6" s="46" t="inlineStr">
        <is>
          <t>ADR -10%</t>
        </is>
      </c>
      <c r="D6" s="46" t="inlineStr">
        <is>
          <t>Current ADR</t>
        </is>
      </c>
      <c r="E6" s="46" t="inlineStr">
        <is>
          <t>ADR +10%</t>
        </is>
      </c>
    </row>
    <row r="7" ht="24" customHeight="1">
      <c r="B7" s="47" t="n">
        <v>0.3</v>
      </c>
      <c r="C7" s="48">
        <f>(0.3*Calculator!$C$12)*((Calculator!$C$9*0.9*(1-Calculator!$C$13))+Calculator!$C$10/Calculator!$C$11-(SUM(Calculator!$C$29:$C$32)/Calculator!$C$11))-SUM(Calculator!$C$16:$C$25)</f>
        <v/>
      </c>
      <c r="D7" s="48">
        <f>(0.3*Calculator!$C$12)*((Calculator!$C$9*1.0*(1-Calculator!$C$13))+Calculator!$C$10/Calculator!$C$11-(SUM(Calculator!$C$29:$C$32)/Calculator!$C$11))-SUM(Calculator!$C$16:$C$25)</f>
        <v/>
      </c>
      <c r="E7" s="48">
        <f>(0.3*Calculator!$C$12)*((Calculator!$C$9*1.1*(1-Calculator!$C$13))+Calculator!$C$10/Calculator!$C$11-(SUM(Calculator!$C$29:$C$32)/Calculator!$C$11))-SUM(Calculator!$C$16:$C$25)</f>
        <v/>
      </c>
    </row>
    <row r="8" ht="24" customHeight="1">
      <c r="B8" s="47" t="n">
        <v>0.4</v>
      </c>
      <c r="C8" s="48">
        <f>(0.4*Calculator!$C$12)*((Calculator!$C$9*0.9*(1-Calculator!$C$13))+Calculator!$C$10/Calculator!$C$11-(SUM(Calculator!$C$29:$C$32)/Calculator!$C$11))-SUM(Calculator!$C$16:$C$25)</f>
        <v/>
      </c>
      <c r="D8" s="48">
        <f>(0.4*Calculator!$C$12)*((Calculator!$C$9*1.0*(1-Calculator!$C$13))+Calculator!$C$10/Calculator!$C$11-(SUM(Calculator!$C$29:$C$32)/Calculator!$C$11))-SUM(Calculator!$C$16:$C$25)</f>
        <v/>
      </c>
      <c r="E8" s="48">
        <f>(0.4*Calculator!$C$12)*((Calculator!$C$9*1.1*(1-Calculator!$C$13))+Calculator!$C$10/Calculator!$C$11-(SUM(Calculator!$C$29:$C$32)/Calculator!$C$11))-SUM(Calculator!$C$16:$C$25)</f>
        <v/>
      </c>
    </row>
    <row r="9" ht="24" customHeight="1">
      <c r="B9" s="47" t="n">
        <v>0.5</v>
      </c>
      <c r="C9" s="48">
        <f>(0.5*Calculator!$C$12)*((Calculator!$C$9*0.9*(1-Calculator!$C$13))+Calculator!$C$10/Calculator!$C$11-(SUM(Calculator!$C$29:$C$32)/Calculator!$C$11))-SUM(Calculator!$C$16:$C$25)</f>
        <v/>
      </c>
      <c r="D9" s="48">
        <f>(0.5*Calculator!$C$12)*((Calculator!$C$9*1.0*(1-Calculator!$C$13))+Calculator!$C$10/Calculator!$C$11-(SUM(Calculator!$C$29:$C$32)/Calculator!$C$11))-SUM(Calculator!$C$16:$C$25)</f>
        <v/>
      </c>
      <c r="E9" s="48">
        <f>(0.5*Calculator!$C$12)*((Calculator!$C$9*1.1*(1-Calculator!$C$13))+Calculator!$C$10/Calculator!$C$11-(SUM(Calculator!$C$29:$C$32)/Calculator!$C$11))-SUM(Calculator!$C$16:$C$25)</f>
        <v/>
      </c>
    </row>
    <row r="10" ht="24" customHeight="1">
      <c r="B10" s="47" t="n">
        <v>0.6</v>
      </c>
      <c r="C10" s="48">
        <f>(0.6*Calculator!$C$12)*((Calculator!$C$9*0.9*(1-Calculator!$C$13))+Calculator!$C$10/Calculator!$C$11-(SUM(Calculator!$C$29:$C$32)/Calculator!$C$11))-SUM(Calculator!$C$16:$C$25)</f>
        <v/>
      </c>
      <c r="D10" s="48">
        <f>(0.6*Calculator!$C$12)*((Calculator!$C$9*1.0*(1-Calculator!$C$13))+Calculator!$C$10/Calculator!$C$11-(SUM(Calculator!$C$29:$C$32)/Calculator!$C$11))-SUM(Calculator!$C$16:$C$25)</f>
        <v/>
      </c>
      <c r="E10" s="48">
        <f>(0.6*Calculator!$C$12)*((Calculator!$C$9*1.1*(1-Calculator!$C$13))+Calculator!$C$10/Calculator!$C$11-(SUM(Calculator!$C$29:$C$32)/Calculator!$C$11))-SUM(Calculator!$C$16:$C$25)</f>
        <v/>
      </c>
    </row>
    <row r="11" ht="24" customHeight="1">
      <c r="B11" s="47" t="n">
        <v>0.7</v>
      </c>
      <c r="C11" s="48">
        <f>(0.7*Calculator!$C$12)*((Calculator!$C$9*0.9*(1-Calculator!$C$13))+Calculator!$C$10/Calculator!$C$11-(SUM(Calculator!$C$29:$C$32)/Calculator!$C$11))-SUM(Calculator!$C$16:$C$25)</f>
        <v/>
      </c>
      <c r="D11" s="48">
        <f>(0.7*Calculator!$C$12)*((Calculator!$C$9*1.0*(1-Calculator!$C$13))+Calculator!$C$10/Calculator!$C$11-(SUM(Calculator!$C$29:$C$32)/Calculator!$C$11))-SUM(Calculator!$C$16:$C$25)</f>
        <v/>
      </c>
      <c r="E11" s="48">
        <f>(0.7*Calculator!$C$12)*((Calculator!$C$9*1.1*(1-Calculator!$C$13))+Calculator!$C$10/Calculator!$C$11-(SUM(Calculator!$C$29:$C$32)/Calculator!$C$11))-SUM(Calculator!$C$16:$C$25)</f>
        <v/>
      </c>
    </row>
    <row r="12" ht="24" customHeight="1">
      <c r="B12" s="47" t="n">
        <v>0.8</v>
      </c>
      <c r="C12" s="48">
        <f>(0.8*Calculator!$C$12)*((Calculator!$C$9*0.9*(1-Calculator!$C$13))+Calculator!$C$10/Calculator!$C$11-(SUM(Calculator!$C$29:$C$32)/Calculator!$C$11))-SUM(Calculator!$C$16:$C$25)</f>
        <v/>
      </c>
      <c r="D12" s="48">
        <f>(0.8*Calculator!$C$12)*((Calculator!$C$9*1.0*(1-Calculator!$C$13))+Calculator!$C$10/Calculator!$C$11-(SUM(Calculator!$C$29:$C$32)/Calculator!$C$11))-SUM(Calculator!$C$16:$C$25)</f>
        <v/>
      </c>
      <c r="E12" s="48">
        <f>(0.8*Calculator!$C$12)*((Calculator!$C$9*1.1*(1-Calculator!$C$13))+Calculator!$C$10/Calculator!$C$11-(SUM(Calculator!$C$29:$C$32)/Calculator!$C$11))-SUM(Calculator!$C$16:$C$25)</f>
        <v/>
      </c>
    </row>
    <row r="14" ht="22" customHeight="1">
      <c r="A14" s="15" t="inlineStr">
        <is>
          <t>Read this grid by finding the ADR / occupancy combination that's realistic for your market. If most of your row is red, your fixed costs are too high relative to your revenue assumptions — re-check the Calculator tab for inflated cost lines, or reconsider the property.</t>
        </is>
      </c>
    </row>
    <row r="15" ht="22" customHeight="1"/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</row>
    <row r="18" ht="18" customHeight="1">
      <c r="A18" s="22" t="inlineStr">
        <is>
          <t>Questions? hello@thestrledger.com</t>
        </is>
      </c>
    </row>
    <row r="19" ht="18" customHeight="1">
      <c r="A19" s="23" t="inlineStr">
        <is>
          <t>FIN-002 · v1.0 · Sensitivity</t>
        </is>
      </c>
    </row>
  </sheetData>
  <mergeCells count="6">
    <mergeCell ref="D2:L2"/>
    <mergeCell ref="A19:L19"/>
    <mergeCell ref="A14:L15"/>
    <mergeCell ref="A18:L18"/>
    <mergeCell ref="A2:C2"/>
    <mergeCell ref="A4:L4"/>
  </mergeCells>
  <conditionalFormatting sqref="C7:E12">
    <cfRule type="cellIs" priority="1" operator="lessThan" dxfId="0">
      <formula>0</formula>
    </cfRule>
    <cfRule type="cellIs" priority="2" operator="greaterThan" dxfId="1">
      <formula>5000</formula>
    </cfRule>
  </conditionalFormatting>
  <pageMargins left="0.5" right="0.5" top="0.5" bottom="0.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Break-even Occupancy Calculator (DEMO) — The STR Ledger</dc:title>
  <dc:description xmlns:dc="http://purl.org/dc/elements/1.1/">Single-property break-even occupancy calculator for STR hosts — headline answer + sensitivity grid.</dc:description>
  <dcterms:created xmlns:dcterms="http://purl.org/dc/terms/" xmlns:xsi="http://www.w3.org/2001/XMLSchema-instance" xsi:type="dcterms:W3CDTF">2026-05-05T14:50:36Z</dcterms:created>
  <dcterms:modified xmlns:dcterms="http://purl.org/dc/terms/" xmlns:xsi="http://www.w3.org/2001/XMLSchema-instance" xsi:type="dcterms:W3CDTF">2026-05-05T14:50:37Z</dcterms:modified>
</cp:coreProperties>
</file>