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Work Orders" sheetId="2" state="visible" r:id="rId2"/>
    <sheet xmlns:r="http://schemas.openxmlformats.org/officeDocument/2006/relationships" name="Vendors" sheetId="3" state="visible" r:id="rId3"/>
    <sheet xmlns:r="http://schemas.openxmlformats.org/officeDocument/2006/relationships" name="Recurring Services" sheetId="4" state="visible" r:id="rId4"/>
    <sheet xmlns:r="http://schemas.openxmlformats.org/officeDocument/2006/relationships" name="Annual Cost Report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'Start'!$A$1:$L$48</definedName>
    <definedName name="_xlnm.Print_Titles" localSheetId="1">'Work Orders'!$1:$5</definedName>
    <definedName name="_xlnm.Print_Titles" localSheetId="2">'Vendors'!$1:$5</definedName>
    <definedName name="_xlnm.Print_Titles" localSheetId="3">'Recurring Services'!$1:$5</definedName>
    <definedName name="_xlnm.Print_Titles" localSheetId="4">'Annual Cost Report'!$1:$4</definedName>
    <definedName name="_xlnm.Print_Area" localSheetId="4">'Annual Cost Report'!$A$1:$L$28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&quot;$&quot;#,##0.00"/>
  </numFmts>
  <fonts count="2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2B2B2B"/>
      <sz val="11"/>
    </font>
    <font>
      <name val="Calibri"/>
      <b val="1"/>
      <color rgb="0012304E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2" fillId="3" borderId="5" applyAlignment="1" pivotButton="0" quotePrefix="0" xfId="0">
      <alignment horizontal="center" vertical="center"/>
    </xf>
    <xf numFmtId="0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17" fillId="2" borderId="14" applyAlignment="1" pivotButton="0" quotePrefix="0" xfId="0">
      <alignment horizontal="center" vertical="center"/>
    </xf>
    <xf numFmtId="165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1" fontId="22" fillId="8" borderId="0" applyAlignment="1" pivotButton="0" quotePrefix="0" xfId="0">
      <alignment horizontal="right" vertical="center"/>
    </xf>
    <xf numFmtId="166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1" fontId="0" fillId="0" borderId="0" pivotButton="0" quotePrefix="0" xfId="0"/>
    <xf numFmtId="164" fontId="6" fillId="7" borderId="0" applyAlignment="1" pivotButton="0" quotePrefix="0" xfId="0">
      <alignment horizontal="left" vertical="center"/>
    </xf>
    <xf numFmtId="166" fontId="22" fillId="8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left" vertical="center"/>
    </xf>
    <xf numFmtId="166" fontId="0" fillId="0" borderId="0" pivotButton="0" quotePrefix="0" xfId="0"/>
    <xf numFmtId="165" fontId="22" fillId="8" borderId="0" applyAlignment="1" pivotButton="0" quotePrefix="0" xfId="0">
      <alignment horizontal="right" vertical="center"/>
    </xf>
    <xf numFmtId="0" fontId="23" fillId="0" borderId="0" pivotButton="0" quotePrefix="0" xfId="0"/>
    <xf numFmtId="0" fontId="15" fillId="0" borderId="0" pivotButton="0" quotePrefix="0" xfId="0"/>
    <xf numFmtId="0" fontId="6" fillId="0" borderId="0" pivotButton="0" quotePrefix="0" xfId="0"/>
    <xf numFmtId="0" fontId="23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B91C1C"/>
      </font>
      <fill>
        <patternFill patternType="solid">
          <fgColor rgb="00FFCCCC"/>
        </patternFill>
      </fill>
    </dxf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Spend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'Annual Cost Report'!B12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'Annual Cost Report'!$A$13:$A$20</f>
            </numRef>
          </cat>
          <val>
            <numRef>
              <f>'Annual Cost Report'!$B$13:$B$20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Spend by Property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Cost Report'!B23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'Annual Cost Report'!$A$24:$A$26</f>
            </numRef>
          </cat>
          <val>
            <numRef>
              <f>'Annual Cost Report'!$B$24:$B$26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Property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Spend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Maintenance Log + Vendor CRM</t>
        </is>
      </c>
    </row>
    <row r="5" ht="22" customHeight="1">
      <c r="A5" s="4" t="inlineStr">
        <is>
          <t>The next emergency call is one tab away.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OPS-006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One source of truth for repairs, maintenance, and recurring services across every property. The Work Orders log is your chronological record of every ticket; the Vendors register is your preferred-vendor CRM (plumber, HVAC, handyman); Recurring Services tracks the annual rituals (HVAC tune-ups, pest, septic). Annual Cost Report breaks $ by property + category for tax.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Log every repair the moment it's reported — Status = Open until done.</t>
        </is>
      </c>
    </row>
    <row r="20" ht="22" customHeight="1">
      <c r="A20" s="9" t="inlineStr">
        <is>
          <t>② Pull the Vendor name from the Vendors dropdown — that wires up YTD spend.</t>
        </is>
      </c>
    </row>
    <row r="21" ht="22" customHeight="1">
      <c r="A21" s="9" t="inlineStr">
        <is>
          <t>③ Tag Capex vs Repair so the Annual Cost Report keeps your CPA happy.</t>
        </is>
      </c>
    </row>
    <row r="22" ht="22" customHeight="1">
      <c r="A22" s="9" t="inlineStr">
        <is>
          <t>④ Recurring Services flags anything coming due in 14 days — review weekly.</t>
        </is>
      </c>
    </row>
    <row r="23" ht="22" customHeight="1">
      <c r="A23" s="9" t="inlineStr">
        <is>
          <t>⑤ Open + &gt; 14 days old auto-highlights red. Close it or escalate.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 ht="22" customHeight="1">
      <c r="A26" s="11">
        <f>HYPERLINK("#'Work Orders'!A6", "→  ADD A NEW WORK ORDER  (OPEN LOG)")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  <row r="27" ht="22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13" t="inlineStr">
        <is>
          <t>OPEN TICKETS</t>
        </is>
      </c>
      <c r="B32" s="14" t="n"/>
      <c r="C32" s="14" t="n"/>
      <c r="D32" s="15" t="n"/>
      <c r="E32" s="16" t="inlineStr">
        <is>
          <t>YTD SPEND</t>
        </is>
      </c>
      <c r="F32" s="14" t="n"/>
      <c r="G32" s="14" t="n"/>
      <c r="H32" s="15" t="n"/>
      <c r="I32" s="17" t="inlineStr">
        <is>
          <t>OVERDUE &gt; 14d</t>
        </is>
      </c>
      <c r="J32" s="14" t="n"/>
      <c r="K32" s="14" t="n"/>
      <c r="L32" s="15" t="n"/>
    </row>
    <row r="33">
      <c r="A33" s="18">
        <f>COUNTIF('Work Orders'!J6:J305,"Open")</f>
        <v/>
      </c>
      <c r="B33" s="19" t="n"/>
      <c r="C33" s="19" t="n"/>
      <c r="D33" s="20" t="n"/>
      <c r="E33" s="21">
        <f>SUMIFS('Work Orders'!H6:H305,'Work Orders'!A6:A305,"&gt;="&amp;DATE(Settings!$B$5,1,1),'Work Orders'!A6:A305,"&lt;"&amp;DATE(Settings!$B$5+1,1,1))</f>
        <v/>
      </c>
      <c r="F33" s="19" t="n"/>
      <c r="G33" s="19" t="n"/>
      <c r="H33" s="20" t="n"/>
      <c r="I33" s="22">
        <f>SUMPRODUCT((('Work Orders'!J6:J305="Open")*(TODAY()-'Work Orders'!A6:A305&gt;14)*('Work Orders'!A6:A305&lt;&gt;"")))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still unresolved</t>
        </is>
      </c>
      <c r="B35" s="25" t="n"/>
      <c r="C35" s="25" t="n"/>
      <c r="D35" s="26" t="n"/>
      <c r="E35" s="24" t="inlineStr">
        <is>
          <t>active tax year</t>
        </is>
      </c>
      <c r="F35" s="25" t="n"/>
      <c r="G35" s="25" t="n"/>
      <c r="H35" s="26" t="n"/>
      <c r="I35" s="24" t="inlineStr">
        <is>
          <t>needs follow-up</t>
        </is>
      </c>
      <c r="J35" s="25" t="n"/>
      <c r="K35" s="25" t="n"/>
      <c r="L35" s="2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7">
        <f>HYPERLINK("#'Vendors'!A1", "Vendors")</f>
        <v/>
      </c>
      <c r="B39" s="28" t="n"/>
      <c r="C39" s="28" t="n"/>
      <c r="D39" s="27">
        <f>HYPERLINK("#'Recurring Services'!A1", "Recurring")</f>
        <v/>
      </c>
      <c r="E39" s="28" t="n"/>
      <c r="F39" s="28" t="n"/>
      <c r="G39" s="29">
        <f>HYPERLINK("#'Annual Cost Report'!A1", "📄 Annual Cost Report")</f>
        <v/>
      </c>
      <c r="H39" s="30" t="n"/>
      <c r="I39" s="30" t="n"/>
      <c r="J39" s="27">
        <f>HYPERLINK("#'Settings'!A1", "Settings")</f>
        <v/>
      </c>
      <c r="K39" s="28" t="n"/>
      <c r="L39" s="28" t="n"/>
    </row>
    <row r="40" ht="22" customHeight="1">
      <c r="A40" s="28" t="n"/>
      <c r="B40" s="28" t="n"/>
      <c r="C40" s="28" t="n"/>
      <c r="D40" s="28" t="n"/>
      <c r="E40" s="28" t="n"/>
      <c r="F40" s="28" t="n"/>
      <c r="G40" s="30" t="n"/>
      <c r="H40" s="30" t="n"/>
      <c r="I40" s="30" t="n"/>
      <c r="J40" s="28" t="n"/>
      <c r="K40" s="28" t="n"/>
      <c r="L40" s="28" t="n"/>
    </row>
    <row r="42" ht="36" customHeight="1">
      <c r="A42" s="31" t="inlineStr">
        <is>
          <t>📄 TAX TIME: print Annual Cost Report (File → Print → 'Print Active Sheet'). 📅 YEAR END: bump Settings → Active tax year + clear closed tickets.</t>
        </is>
      </c>
    </row>
    <row r="44" ht="30" customHeight="1">
      <c r="A44" s="32" t="inlineStr">
        <is>
          <t>💡 Upgrade to the Full version at thestrledger.com/upgrade — multi-property, depreciation, multi-LLC support.</t>
        </is>
      </c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</row>
    <row r="47" ht="18" customHeight="1">
      <c r="A47" s="34" t="inlineStr">
        <is>
          <t>Questions? hello@thestrledger.com</t>
        </is>
      </c>
    </row>
    <row r="48" ht="18" customHeight="1">
      <c r="A48" s="35" t="inlineStr">
        <is>
          <t>OPS-006 · v2.2 · Free updates forever</t>
        </is>
      </c>
    </row>
  </sheetData>
  <mergeCells count="29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2:F2"/>
    <mergeCell ref="J39:L40"/>
    <mergeCell ref="A42:L42"/>
    <mergeCell ref="A47:L47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I32:L32"/>
    <mergeCell ref="A48:L48"/>
    <mergeCell ref="A26:L29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28" customWidth="1" min="4" max="4"/>
    <col width="18" customWidth="1" min="5" max="5"/>
    <col width="13" customWidth="1" min="6" max="6"/>
    <col width="9" customWidth="1" min="7" max="7"/>
    <col width="11" customWidth="1" min="8" max="8"/>
    <col width="9" customWidth="1" min="9" max="9"/>
    <col width="11" customWidth="1" min="10" max="10"/>
    <col width="12" customWidth="1" min="11" max="11"/>
    <col width="2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WORK ORDERS</t>
        </is>
      </c>
      <c r="J2" s="29">
        <f>HYPERLINK("#'Vendors'!A1",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One row per ticket — close it when the work is done</t>
        </is>
      </c>
    </row>
    <row r="5" ht="20" customHeight="1">
      <c r="A5" s="38" t="inlineStr">
        <is>
          <t>Date Opened</t>
        </is>
      </c>
      <c r="B5" s="38" t="inlineStr">
        <is>
          <t>Property</t>
        </is>
      </c>
      <c r="C5" s="38" t="inlineStr">
        <is>
          <t>Category</t>
        </is>
      </c>
      <c r="D5" s="38" t="inlineStr">
        <is>
          <t>Issue Summary</t>
        </is>
      </c>
      <c r="E5" s="38" t="inlineStr">
        <is>
          <t>Vendor</t>
        </is>
      </c>
      <c r="F5" s="38" t="inlineStr">
        <is>
          <t>Date Completed</t>
        </is>
      </c>
      <c r="G5" s="38" t="inlineStr">
        <is>
          <t>Days Open</t>
        </is>
      </c>
      <c r="H5" s="38" t="inlineStr">
        <is>
          <t>$ Cost</t>
        </is>
      </c>
      <c r="I5" s="38" t="inlineStr">
        <is>
          <t>Receipt</t>
        </is>
      </c>
      <c r="J5" s="38" t="inlineStr">
        <is>
          <t>Status</t>
        </is>
      </c>
      <c r="K5" s="38" t="inlineStr">
        <is>
          <t>Capex/Repair</t>
        </is>
      </c>
      <c r="L5" s="38" t="inlineStr">
        <is>
          <t>Notes</t>
        </is>
      </c>
    </row>
    <row r="6" ht="16" customHeight="1">
      <c r="A6" s="39" t="n">
        <v>46026</v>
      </c>
      <c r="B6" s="40" t="inlineStr">
        <is>
          <t>Smokies Ridge</t>
        </is>
      </c>
      <c r="C6" s="40" t="inlineStr">
        <is>
          <t>Plumbing</t>
        </is>
      </c>
      <c r="D6" s="40" t="inlineStr">
        <is>
          <t>Kitchen faucet drip</t>
        </is>
      </c>
      <c r="E6" s="40" t="inlineStr">
        <is>
          <t>Quick Plumbing</t>
        </is>
      </c>
      <c r="F6" s="39" t="n">
        <v>46028</v>
      </c>
      <c r="G6" s="41">
        <f>IF(A6="","",IF(F6&lt;&gt;"",F6-A6,TODAY()-A6))</f>
        <v/>
      </c>
      <c r="H6" s="42" t="n">
        <v>145</v>
      </c>
      <c r="I6" s="43" t="inlineStr">
        <is>
          <t>Y</t>
        </is>
      </c>
      <c r="J6" s="40" t="inlineStr">
        <is>
          <t>Done</t>
        </is>
      </c>
      <c r="K6" s="40" t="inlineStr">
        <is>
          <t>Repair</t>
        </is>
      </c>
      <c r="L6" s="40" t="inlineStr">
        <is>
          <t>Replaced cartridge</t>
        </is>
      </c>
    </row>
    <row r="7" ht="16" customHeight="1">
      <c r="A7" s="39" t="n">
        <v>46030</v>
      </c>
      <c r="B7" s="40" t="inlineStr">
        <is>
          <t>Creek Side</t>
        </is>
      </c>
      <c r="C7" s="40" t="inlineStr">
        <is>
          <t>HVAC</t>
        </is>
      </c>
      <c r="D7" s="40" t="inlineStr">
        <is>
          <t>Furnace not igniting</t>
        </is>
      </c>
      <c r="E7" s="40" t="inlineStr">
        <is>
          <t>Mountain HVAC</t>
        </is>
      </c>
      <c r="F7" s="39" t="n">
        <v>46031</v>
      </c>
      <c r="G7" s="41">
        <f>IF(A7="","",IF(F7&lt;&gt;"",F7-A7,TODAY()-A7))</f>
        <v/>
      </c>
      <c r="H7" s="42" t="n">
        <v>320</v>
      </c>
      <c r="I7" s="43" t="inlineStr">
        <is>
          <t>Y</t>
        </is>
      </c>
      <c r="J7" s="40" t="inlineStr">
        <is>
          <t>Done</t>
        </is>
      </c>
      <c r="K7" s="40" t="inlineStr">
        <is>
          <t>Repair</t>
        </is>
      </c>
      <c r="L7" s="40" t="inlineStr">
        <is>
          <t>Replaced igniter</t>
        </is>
      </c>
    </row>
    <row r="8" ht="16" customHeight="1">
      <c r="A8" s="39" t="n">
        <v>46034</v>
      </c>
      <c r="B8" s="40" t="inlineStr">
        <is>
          <t>Lakehouse A</t>
        </is>
      </c>
      <c r="C8" s="40" t="inlineStr">
        <is>
          <t>Appliance</t>
        </is>
      </c>
      <c r="D8" s="40" t="inlineStr">
        <is>
          <t>Dishwasher won't drain</t>
        </is>
      </c>
      <c r="E8" s="40" t="inlineStr">
        <is>
          <t>Bob Handyman</t>
        </is>
      </c>
      <c r="F8" s="39" t="n">
        <v>46037</v>
      </c>
      <c r="G8" s="41">
        <f>IF(A8="","",IF(F8&lt;&gt;"",F8-A8,TODAY()-A8))</f>
        <v/>
      </c>
      <c r="H8" s="42" t="n">
        <v>180</v>
      </c>
      <c r="I8" s="43" t="inlineStr">
        <is>
          <t>Y</t>
        </is>
      </c>
      <c r="J8" s="40" t="inlineStr">
        <is>
          <t>Done</t>
        </is>
      </c>
      <c r="K8" s="40" t="inlineStr">
        <is>
          <t>Repair</t>
        </is>
      </c>
      <c r="L8" s="40" t="inlineStr">
        <is>
          <t>Cleared trap</t>
        </is>
      </c>
    </row>
    <row r="9" ht="16" customHeight="1">
      <c r="A9" s="39" t="n">
        <v>46037</v>
      </c>
      <c r="B9" s="40" t="inlineStr">
        <is>
          <t>Smokies Ridge</t>
        </is>
      </c>
      <c r="C9" s="40" t="inlineStr">
        <is>
          <t>Pest</t>
        </is>
      </c>
      <c r="D9" s="40" t="inlineStr">
        <is>
          <t>Quarterly pest spray</t>
        </is>
      </c>
      <c r="E9" s="40" t="inlineStr">
        <is>
          <t>BugOff Pest</t>
        </is>
      </c>
      <c r="F9" s="39" t="n">
        <v>46037</v>
      </c>
      <c r="G9" s="41">
        <f>IF(A9="","",IF(F9&lt;&gt;"",F9-A9,TODAY()-A9))</f>
        <v/>
      </c>
      <c r="H9" s="42" t="n">
        <v>95</v>
      </c>
      <c r="I9" s="43" t="inlineStr">
        <is>
          <t>Y</t>
        </is>
      </c>
      <c r="J9" s="40" t="inlineStr">
        <is>
          <t>Done</t>
        </is>
      </c>
      <c r="K9" s="40" t="inlineStr">
        <is>
          <t>Repair</t>
        </is>
      </c>
      <c r="L9" s="40" t="inlineStr">
        <is>
          <t>Q1 service</t>
        </is>
      </c>
    </row>
    <row r="10" ht="16" customHeight="1">
      <c r="A10" s="39" t="n">
        <v>46042</v>
      </c>
      <c r="B10" s="40" t="inlineStr">
        <is>
          <t>Creek Side</t>
        </is>
      </c>
      <c r="C10" s="40" t="inlineStr">
        <is>
          <t>Cosmetic</t>
        </is>
      </c>
      <c r="D10" s="40" t="inlineStr">
        <is>
          <t>Touch-up paint guest bedroom</t>
        </is>
      </c>
      <c r="E10" s="40" t="inlineStr">
        <is>
          <t>Bob Handyman</t>
        </is>
      </c>
      <c r="F10" s="39" t="n">
        <v>46044</v>
      </c>
      <c r="G10" s="41">
        <f>IF(A10="","",IF(F10&lt;&gt;"",F10-A10,TODAY()-A10))</f>
        <v/>
      </c>
      <c r="H10" s="42" t="n">
        <v>220</v>
      </c>
      <c r="I10" s="43" t="n"/>
      <c r="J10" s="40" t="inlineStr">
        <is>
          <t>Done</t>
        </is>
      </c>
      <c r="K10" s="40" t="inlineStr">
        <is>
          <t>Repair</t>
        </is>
      </c>
      <c r="L10" s="40" t="n"/>
    </row>
    <row r="11" ht="16" customHeight="1">
      <c r="A11" s="39" t="n">
        <v>46047</v>
      </c>
      <c r="B11" s="40" t="inlineStr">
        <is>
          <t>Lakehouse A</t>
        </is>
      </c>
      <c r="C11" s="40" t="inlineStr">
        <is>
          <t>Electrical</t>
        </is>
      </c>
      <c r="D11" s="40" t="inlineStr">
        <is>
          <t>Hot tub breaker tripping</t>
        </is>
      </c>
      <c r="E11" s="40" t="inlineStr">
        <is>
          <t>Spark Electric</t>
        </is>
      </c>
      <c r="F11" s="39" t="n">
        <v>46050</v>
      </c>
      <c r="G11" s="41">
        <f>IF(A11="","",IF(F11&lt;&gt;"",F11-A11,TODAY()-A11))</f>
        <v/>
      </c>
      <c r="H11" s="42" t="n">
        <v>410</v>
      </c>
      <c r="I11" s="43" t="inlineStr">
        <is>
          <t>Y</t>
        </is>
      </c>
      <c r="J11" s="40" t="inlineStr">
        <is>
          <t>Done</t>
        </is>
      </c>
      <c r="K11" s="40" t="inlineStr">
        <is>
          <t>Repair</t>
        </is>
      </c>
      <c r="L11" s="40" t="inlineStr">
        <is>
          <t>Wiring damaged by rodent</t>
        </is>
      </c>
    </row>
    <row r="12" ht="16" customHeight="1">
      <c r="A12" s="39" t="n">
        <v>46055</v>
      </c>
      <c r="B12" s="40" t="inlineStr">
        <is>
          <t>Smokies Ridge</t>
        </is>
      </c>
      <c r="C12" s="40" t="inlineStr">
        <is>
          <t>Landscape</t>
        </is>
      </c>
      <c r="D12" s="40" t="inlineStr">
        <is>
          <t>Storm debris cleanup</t>
        </is>
      </c>
      <c r="E12" s="40" t="inlineStr">
        <is>
          <t>Joe Landscape</t>
        </is>
      </c>
      <c r="F12" s="39" t="n">
        <v>46057</v>
      </c>
      <c r="G12" s="41">
        <f>IF(A12="","",IF(F12&lt;&gt;"",F12-A12,TODAY()-A12))</f>
        <v/>
      </c>
      <c r="H12" s="42" t="n">
        <v>180</v>
      </c>
      <c r="I12" s="43" t="n"/>
      <c r="J12" s="40" t="inlineStr">
        <is>
          <t>Done</t>
        </is>
      </c>
      <c r="K12" s="40" t="inlineStr">
        <is>
          <t>Repair</t>
        </is>
      </c>
      <c r="L12" s="40" t="n"/>
    </row>
    <row r="13" ht="16" customHeight="1">
      <c r="A13" s="39" t="n">
        <v>46059</v>
      </c>
      <c r="B13" s="40" t="inlineStr">
        <is>
          <t>Creek Side</t>
        </is>
      </c>
      <c r="C13" s="40" t="inlineStr">
        <is>
          <t>Plumbing</t>
        </is>
      </c>
      <c r="D13" s="40" t="inlineStr">
        <is>
          <t>Hot tub leak inspection</t>
        </is>
      </c>
      <c r="E13" s="40" t="inlineStr">
        <is>
          <t>Quick Plumbing</t>
        </is>
      </c>
      <c r="F13" s="39" t="n">
        <v>46060</v>
      </c>
      <c r="G13" s="41">
        <f>IF(A13="","",IF(F13&lt;&gt;"",F13-A13,TODAY()-A13))</f>
        <v/>
      </c>
      <c r="H13" s="42" t="n">
        <v>160</v>
      </c>
      <c r="I13" s="43" t="inlineStr">
        <is>
          <t>Y</t>
        </is>
      </c>
      <c r="J13" s="40" t="inlineStr">
        <is>
          <t>Done</t>
        </is>
      </c>
      <c r="K13" s="40" t="inlineStr">
        <is>
          <t>Repair</t>
        </is>
      </c>
      <c r="L13" s="40" t="inlineStr">
        <is>
          <t>Tightened union</t>
        </is>
      </c>
    </row>
    <row r="14" ht="16" customHeight="1">
      <c r="A14" s="39" t="n">
        <v>46063</v>
      </c>
      <c r="B14" s="40" t="inlineStr">
        <is>
          <t>Lakehouse A</t>
        </is>
      </c>
      <c r="C14" s="40" t="inlineStr">
        <is>
          <t>HVAC</t>
        </is>
      </c>
      <c r="D14" s="40" t="inlineStr">
        <is>
          <t>Mini-split blowing warm</t>
        </is>
      </c>
      <c r="E14" s="40" t="inlineStr">
        <is>
          <t>Mountain HVAC</t>
        </is>
      </c>
      <c r="F14" s="39" t="n">
        <v>46065</v>
      </c>
      <c r="G14" s="41">
        <f>IF(A14="","",IF(F14&lt;&gt;"",F14-A14,TODAY()-A14))</f>
        <v/>
      </c>
      <c r="H14" s="42" t="n">
        <v>285</v>
      </c>
      <c r="I14" s="43" t="inlineStr">
        <is>
          <t>Y</t>
        </is>
      </c>
      <c r="J14" s="40" t="inlineStr">
        <is>
          <t>Done</t>
        </is>
      </c>
      <c r="K14" s="40" t="inlineStr">
        <is>
          <t>Repair</t>
        </is>
      </c>
      <c r="L14" s="40" t="inlineStr">
        <is>
          <t>Recharged refrigerant</t>
        </is>
      </c>
    </row>
    <row r="15" ht="16" customHeight="1">
      <c r="A15" s="39" t="n">
        <v>46067</v>
      </c>
      <c r="B15" s="40" t="inlineStr">
        <is>
          <t>Smokies Ridge</t>
        </is>
      </c>
      <c r="C15" s="40" t="inlineStr">
        <is>
          <t>Appliance</t>
        </is>
      </c>
      <c r="D15" s="40" t="inlineStr">
        <is>
          <t>Fridge ice maker out</t>
        </is>
      </c>
      <c r="E15" s="40" t="inlineStr">
        <is>
          <t>Bob Handyman</t>
        </is>
      </c>
      <c r="F15" s="39" t="n"/>
      <c r="G15" s="41">
        <f>IF(A15="","",IF(F15&lt;&gt;"",F15-A15,TODAY()-A15))</f>
        <v/>
      </c>
      <c r="H15" s="42" t="n"/>
      <c r="I15" s="43" t="n"/>
      <c r="J15" s="40" t="inlineStr">
        <is>
          <t>Scheduled</t>
        </is>
      </c>
      <c r="K15" s="40" t="inlineStr">
        <is>
          <t>Repair</t>
        </is>
      </c>
      <c r="L15" s="40" t="inlineStr">
        <is>
          <t>Parts on order</t>
        </is>
      </c>
    </row>
    <row r="16" ht="16" customHeight="1">
      <c r="A16" s="39" t="n">
        <v>46071</v>
      </c>
      <c r="B16" s="40" t="inlineStr">
        <is>
          <t>Creek Side</t>
        </is>
      </c>
      <c r="C16" s="40" t="inlineStr">
        <is>
          <t>Cosmetic</t>
        </is>
      </c>
      <c r="D16" s="40" t="inlineStr">
        <is>
          <t>Replace damaged blinds</t>
        </is>
      </c>
      <c r="E16" s="40" t="inlineStr">
        <is>
          <t>Bob Handyman</t>
        </is>
      </c>
      <c r="F16" s="39" t="n">
        <v>46075</v>
      </c>
      <c r="G16" s="41">
        <f>IF(A16="","",IF(F16&lt;&gt;"",F16-A16,TODAY()-A16))</f>
        <v/>
      </c>
      <c r="H16" s="42" t="n">
        <v>140</v>
      </c>
      <c r="I16" s="43" t="inlineStr">
        <is>
          <t>Y</t>
        </is>
      </c>
      <c r="J16" s="40" t="inlineStr">
        <is>
          <t>Done</t>
        </is>
      </c>
      <c r="K16" s="40" t="inlineStr">
        <is>
          <t>Repair</t>
        </is>
      </c>
      <c r="L16" s="40" t="inlineStr">
        <is>
          <t>Living room</t>
        </is>
      </c>
    </row>
    <row r="17" ht="16" customHeight="1">
      <c r="A17" s="39" t="n">
        <v>46075</v>
      </c>
      <c r="B17" s="40" t="inlineStr">
        <is>
          <t>Lakehouse A</t>
        </is>
      </c>
      <c r="C17" s="40" t="inlineStr">
        <is>
          <t>Pest</t>
        </is>
      </c>
      <c r="D17" s="40" t="inlineStr">
        <is>
          <t>Rodent in attic</t>
        </is>
      </c>
      <c r="E17" s="40" t="inlineStr">
        <is>
          <t>BugOff Pest</t>
        </is>
      </c>
      <c r="F17" s="39" t="n">
        <v>46078</v>
      </c>
      <c r="G17" s="41">
        <f>IF(A17="","",IF(F17&lt;&gt;"",F17-A17,TODAY()-A17))</f>
        <v/>
      </c>
      <c r="H17" s="42" t="n">
        <v>225</v>
      </c>
      <c r="I17" s="43" t="inlineStr">
        <is>
          <t>Y</t>
        </is>
      </c>
      <c r="J17" s="40" t="inlineStr">
        <is>
          <t>Done</t>
        </is>
      </c>
      <c r="K17" s="40" t="inlineStr">
        <is>
          <t>Repair</t>
        </is>
      </c>
      <c r="L17" s="40" t="inlineStr">
        <is>
          <t>Set traps + entry seal</t>
        </is>
      </c>
    </row>
    <row r="18" ht="16" customHeight="1">
      <c r="A18" s="39" t="n">
        <v>46081</v>
      </c>
      <c r="B18" s="40" t="inlineStr">
        <is>
          <t>Smokies Ridge</t>
        </is>
      </c>
      <c r="C18" s="40" t="inlineStr">
        <is>
          <t>Plumbing</t>
        </is>
      </c>
      <c r="D18" s="40" t="inlineStr">
        <is>
          <t>Toilet running master bath</t>
        </is>
      </c>
      <c r="E18" s="40" t="inlineStr">
        <is>
          <t>Quick Plumbing</t>
        </is>
      </c>
      <c r="F18" s="39" t="n"/>
      <c r="G18" s="41">
        <f>IF(A18="","",IF(F18&lt;&gt;"",F18-A18,TODAY()-A18))</f>
        <v/>
      </c>
      <c r="H18" s="42" t="n"/>
      <c r="I18" s="43" t="n"/>
      <c r="J18" s="40" t="inlineStr">
        <is>
          <t>Open</t>
        </is>
      </c>
      <c r="K18" s="40" t="inlineStr">
        <is>
          <t>Repair</t>
        </is>
      </c>
      <c r="L18" s="40" t="inlineStr">
        <is>
          <t>Reported by guest</t>
        </is>
      </c>
    </row>
    <row r="19" ht="16" customHeight="1">
      <c r="A19" s="39" t="n">
        <v>46083</v>
      </c>
      <c r="B19" s="40" t="inlineStr">
        <is>
          <t>Creek Side</t>
        </is>
      </c>
      <c r="C19" s="40" t="inlineStr">
        <is>
          <t>Electrical</t>
        </is>
      </c>
      <c r="D19" s="40" t="inlineStr">
        <is>
          <t>Outlet not working kitchen</t>
        </is>
      </c>
      <c r="E19" s="40" t="inlineStr">
        <is>
          <t>Spark Electric</t>
        </is>
      </c>
      <c r="F19" s="39" t="n">
        <v>46085</v>
      </c>
      <c r="G19" s="41">
        <f>IF(A19="","",IF(F19&lt;&gt;"",F19-A19,TODAY()-A19))</f>
        <v/>
      </c>
      <c r="H19" s="42" t="n">
        <v>165</v>
      </c>
      <c r="I19" s="43" t="inlineStr">
        <is>
          <t>Y</t>
        </is>
      </c>
      <c r="J19" s="40" t="inlineStr">
        <is>
          <t>Done</t>
        </is>
      </c>
      <c r="K19" s="40" t="inlineStr">
        <is>
          <t>Repair</t>
        </is>
      </c>
      <c r="L19" s="40" t="inlineStr">
        <is>
          <t>GFCI replaced</t>
        </is>
      </c>
    </row>
    <row r="20" ht="16" customHeight="1">
      <c r="A20" s="39" t="n">
        <v>46086</v>
      </c>
      <c r="B20" s="40" t="inlineStr">
        <is>
          <t>Lakehouse A</t>
        </is>
      </c>
      <c r="C20" s="40" t="inlineStr">
        <is>
          <t>Landscape</t>
        </is>
      </c>
      <c r="D20" s="40" t="inlineStr">
        <is>
          <t>Mulch + shrub trim</t>
        </is>
      </c>
      <c r="E20" s="40" t="inlineStr">
        <is>
          <t>Joe Landscape</t>
        </is>
      </c>
      <c r="F20" s="39" t="n">
        <v>46089</v>
      </c>
      <c r="G20" s="41">
        <f>IF(A20="","",IF(F20&lt;&gt;"",F20-A20,TODAY()-A20))</f>
        <v/>
      </c>
      <c r="H20" s="42" t="n">
        <v>380</v>
      </c>
      <c r="I20" s="43" t="n"/>
      <c r="J20" s="40" t="inlineStr">
        <is>
          <t>Done</t>
        </is>
      </c>
      <c r="K20" s="40" t="inlineStr">
        <is>
          <t>Repair</t>
        </is>
      </c>
      <c r="L20" s="40" t="inlineStr">
        <is>
          <t>Spring refresh</t>
        </is>
      </c>
    </row>
    <row r="21" ht="16" customHeight="1">
      <c r="A21" s="39" t="n">
        <v>46090</v>
      </c>
      <c r="B21" s="40" t="inlineStr">
        <is>
          <t>Smokies Ridge</t>
        </is>
      </c>
      <c r="C21" s="40" t="inlineStr">
        <is>
          <t>HVAC</t>
        </is>
      </c>
      <c r="D21" s="40" t="inlineStr">
        <is>
          <t>Spring tune-up</t>
        </is>
      </c>
      <c r="E21" s="40" t="inlineStr">
        <is>
          <t>Mountain HVAC</t>
        </is>
      </c>
      <c r="F21" s="39" t="n">
        <v>46093</v>
      </c>
      <c r="G21" s="41">
        <f>IF(A21="","",IF(F21&lt;&gt;"",F21-A21,TODAY()-A21))</f>
        <v/>
      </c>
      <c r="H21" s="42" t="n">
        <v>175</v>
      </c>
      <c r="I21" s="43" t="inlineStr">
        <is>
          <t>Y</t>
        </is>
      </c>
      <c r="J21" s="40" t="inlineStr">
        <is>
          <t>Done</t>
        </is>
      </c>
      <c r="K21" s="40" t="inlineStr">
        <is>
          <t>Repair</t>
        </is>
      </c>
      <c r="L21" s="40" t="inlineStr">
        <is>
          <t>Annual recurring</t>
        </is>
      </c>
    </row>
    <row r="22" ht="16" customHeight="1">
      <c r="A22" s="39" t="n">
        <v>46095</v>
      </c>
      <c r="B22" s="40" t="inlineStr">
        <is>
          <t>Creek Side</t>
        </is>
      </c>
      <c r="C22" s="40" t="inlineStr">
        <is>
          <t>Appliance</t>
        </is>
      </c>
      <c r="D22" s="40" t="inlineStr">
        <is>
          <t>Microwave replacement</t>
        </is>
      </c>
      <c r="E22" s="40" t="inlineStr">
        <is>
          <t>Bob Handyman</t>
        </is>
      </c>
      <c r="F22" s="39" t="n">
        <v>46097</v>
      </c>
      <c r="G22" s="41">
        <f>IF(A22="","",IF(F22&lt;&gt;"",F22-A22,TODAY()-A22))</f>
        <v/>
      </c>
      <c r="H22" s="42" t="n">
        <v>320</v>
      </c>
      <c r="I22" s="43" t="inlineStr">
        <is>
          <t>Y</t>
        </is>
      </c>
      <c r="J22" s="40" t="inlineStr">
        <is>
          <t>Done</t>
        </is>
      </c>
      <c r="K22" s="40" t="inlineStr">
        <is>
          <t>Capex</t>
        </is>
      </c>
      <c r="L22" s="40" t="inlineStr">
        <is>
          <t>Out of warranty</t>
        </is>
      </c>
    </row>
    <row r="23" ht="16" customHeight="1">
      <c r="A23" s="39" t="n">
        <v>46099</v>
      </c>
      <c r="B23" s="40" t="inlineStr">
        <is>
          <t>Lakehouse A</t>
        </is>
      </c>
      <c r="C23" s="40" t="inlineStr">
        <is>
          <t>Cosmetic</t>
        </is>
      </c>
      <c r="D23" s="40" t="inlineStr">
        <is>
          <t>Deck stain refresh</t>
        </is>
      </c>
      <c r="E23" s="40" t="inlineStr">
        <is>
          <t>Bob Handyman</t>
        </is>
      </c>
      <c r="F23" s="39" t="n"/>
      <c r="G23" s="41">
        <f>IF(A23="","",IF(F23&lt;&gt;"",F23-A23,TODAY()-A23))</f>
        <v/>
      </c>
      <c r="H23" s="42" t="n"/>
      <c r="I23" s="43" t="n"/>
      <c r="J23" s="40" t="inlineStr">
        <is>
          <t>Scheduled</t>
        </is>
      </c>
      <c r="K23" s="40" t="inlineStr">
        <is>
          <t>Capex</t>
        </is>
      </c>
      <c r="L23" s="40" t="inlineStr">
        <is>
          <t>Waiting on dry weekend</t>
        </is>
      </c>
    </row>
    <row r="24" ht="16" customHeight="1">
      <c r="A24" s="39" t="n">
        <v>46101</v>
      </c>
      <c r="B24" s="40" t="inlineStr">
        <is>
          <t>Smokies Ridge</t>
        </is>
      </c>
      <c r="C24" s="40" t="inlineStr">
        <is>
          <t>Electrical</t>
        </is>
      </c>
      <c r="D24" s="40" t="inlineStr">
        <is>
          <t>Smart-lock battery + reset</t>
        </is>
      </c>
      <c r="E24" s="40" t="inlineStr">
        <is>
          <t>Lock-N-Key</t>
        </is>
      </c>
      <c r="F24" s="39" t="n">
        <v>46101</v>
      </c>
      <c r="G24" s="41">
        <f>IF(A24="","",IF(F24&lt;&gt;"",F24-A24,TODAY()-A24))</f>
        <v/>
      </c>
      <c r="H24" s="42" t="n">
        <v>65</v>
      </c>
      <c r="I24" s="43" t="inlineStr">
        <is>
          <t>Y</t>
        </is>
      </c>
      <c r="J24" s="40" t="inlineStr">
        <is>
          <t>Done</t>
        </is>
      </c>
      <c r="K24" s="40" t="inlineStr">
        <is>
          <t>Repair</t>
        </is>
      </c>
      <c r="L24" s="40" t="n"/>
    </row>
    <row r="25" ht="16" customHeight="1">
      <c r="A25" s="39" t="n">
        <v>46103</v>
      </c>
      <c r="B25" s="40" t="inlineStr">
        <is>
          <t>Creek Side</t>
        </is>
      </c>
      <c r="C25" s="40" t="inlineStr">
        <is>
          <t>Plumbing</t>
        </is>
      </c>
      <c r="D25" s="40" t="inlineStr">
        <is>
          <t>Slow shower drain</t>
        </is>
      </c>
      <c r="E25" s="40" t="inlineStr">
        <is>
          <t>Quick Plumbing</t>
        </is>
      </c>
      <c r="F25" s="39" t="n"/>
      <c r="G25" s="41">
        <f>IF(A25="","",IF(F25&lt;&gt;"",F25-A25,TODAY()-A25))</f>
        <v/>
      </c>
      <c r="H25" s="42" t="n"/>
      <c r="I25" s="43" t="n"/>
      <c r="J25" s="40" t="inlineStr">
        <is>
          <t>Open</t>
        </is>
      </c>
      <c r="K25" s="40" t="inlineStr">
        <is>
          <t>Repair</t>
        </is>
      </c>
      <c r="L25" s="40" t="inlineStr">
        <is>
          <t>Guest reported</t>
        </is>
      </c>
    </row>
    <row r="26" ht="16" customHeight="1">
      <c r="A26" s="39" t="n">
        <v>46105</v>
      </c>
      <c r="B26" s="40" t="inlineStr">
        <is>
          <t>Lakehouse A</t>
        </is>
      </c>
      <c r="C26" s="40" t="inlineStr">
        <is>
          <t>HVAC</t>
        </is>
      </c>
      <c r="D26" s="40" t="inlineStr">
        <is>
          <t>Filter replacement</t>
        </is>
      </c>
      <c r="E26" s="40" t="inlineStr">
        <is>
          <t>Mountain HVAC</t>
        </is>
      </c>
      <c r="F26" s="39" t="n">
        <v>46105</v>
      </c>
      <c r="G26" s="41">
        <f>IF(A26="","",IF(F26&lt;&gt;"",F26-A26,TODAY()-A26))</f>
        <v/>
      </c>
      <c r="H26" s="42" t="n">
        <v>45</v>
      </c>
      <c r="I26" s="43" t="inlineStr">
        <is>
          <t>Y</t>
        </is>
      </c>
      <c r="J26" s="40" t="inlineStr">
        <is>
          <t>Done</t>
        </is>
      </c>
      <c r="K26" s="40" t="inlineStr">
        <is>
          <t>Repair</t>
        </is>
      </c>
      <c r="L26" s="40" t="inlineStr">
        <is>
          <t>Quarterly</t>
        </is>
      </c>
    </row>
    <row r="27" ht="16" customHeight="1">
      <c r="A27" s="39" t="n">
        <v>46107</v>
      </c>
      <c r="B27" s="40" t="inlineStr">
        <is>
          <t>Smokies Ridge</t>
        </is>
      </c>
      <c r="C27" s="40" t="inlineStr">
        <is>
          <t>Pest</t>
        </is>
      </c>
      <c r="D27" s="40" t="inlineStr">
        <is>
          <t>Carpenter ant treatment</t>
        </is>
      </c>
      <c r="E27" s="40" t="inlineStr">
        <is>
          <t>BugOff Pest</t>
        </is>
      </c>
      <c r="F27" s="39" t="n">
        <v>46109</v>
      </c>
      <c r="G27" s="41">
        <f>IF(A27="","",IF(F27&lt;&gt;"",F27-A27,TODAY()-A27))</f>
        <v/>
      </c>
      <c r="H27" s="42" t="n">
        <v>175</v>
      </c>
      <c r="I27" s="43" t="inlineStr">
        <is>
          <t>Y</t>
        </is>
      </c>
      <c r="J27" s="40" t="inlineStr">
        <is>
          <t>Done</t>
        </is>
      </c>
      <c r="K27" s="40" t="inlineStr">
        <is>
          <t>Repair</t>
        </is>
      </c>
      <c r="L27" s="40" t="inlineStr">
        <is>
          <t>Around deck posts</t>
        </is>
      </c>
    </row>
    <row r="28" ht="16" customHeight="1">
      <c r="A28" s="39" t="n">
        <v>46109</v>
      </c>
      <c r="B28" s="40" t="inlineStr">
        <is>
          <t>Creek Side</t>
        </is>
      </c>
      <c r="C28" s="40" t="inlineStr">
        <is>
          <t>Cosmetic</t>
        </is>
      </c>
      <c r="D28" s="40" t="inlineStr">
        <is>
          <t>Replace bath caulking</t>
        </is>
      </c>
      <c r="E28" s="40" t="inlineStr">
        <is>
          <t>Bob Handyman</t>
        </is>
      </c>
      <c r="F28" s="39" t="n"/>
      <c r="G28" s="41">
        <f>IF(A28="","",IF(F28&lt;&gt;"",F28-A28,TODAY()-A28))</f>
        <v/>
      </c>
      <c r="H28" s="42" t="n"/>
      <c r="I28" s="43" t="n"/>
      <c r="J28" s="40" t="inlineStr">
        <is>
          <t>Deferred</t>
        </is>
      </c>
      <c r="K28" s="40" t="inlineStr">
        <is>
          <t>Repair</t>
        </is>
      </c>
      <c r="L28" s="40" t="inlineStr">
        <is>
          <t>Postponed to Q2</t>
        </is>
      </c>
    </row>
    <row r="29" ht="16" customHeight="1">
      <c r="A29" s="39" t="n">
        <v>46111</v>
      </c>
      <c r="B29" s="40" t="inlineStr">
        <is>
          <t>Lakehouse A</t>
        </is>
      </c>
      <c r="C29" s="40" t="inlineStr">
        <is>
          <t>Other</t>
        </is>
      </c>
      <c r="D29" s="40" t="inlineStr">
        <is>
          <t>Replace welcome mat + signage</t>
        </is>
      </c>
      <c r="E29" s="40" t="n"/>
      <c r="F29" s="39" t="n">
        <v>46111</v>
      </c>
      <c r="G29" s="41">
        <f>IF(A29="","",IF(F29&lt;&gt;"",F29-A29,TODAY()-A29))</f>
        <v/>
      </c>
      <c r="H29" s="42" t="n">
        <v>85</v>
      </c>
      <c r="I29" s="43" t="inlineStr">
        <is>
          <t>Y</t>
        </is>
      </c>
      <c r="J29" s="40" t="inlineStr">
        <is>
          <t>Done</t>
        </is>
      </c>
      <c r="K29" s="40" t="inlineStr">
        <is>
          <t>Repair</t>
        </is>
      </c>
      <c r="L29" s="40" t="inlineStr">
        <is>
          <t>Self-installed</t>
        </is>
      </c>
    </row>
    <row r="30" ht="16" customHeight="1">
      <c r="A30" s="39" t="n">
        <v>46112</v>
      </c>
      <c r="B30" s="40" t="inlineStr">
        <is>
          <t>Smokies Ridge</t>
        </is>
      </c>
      <c r="C30" s="40" t="inlineStr">
        <is>
          <t>Landscape</t>
        </is>
      </c>
      <c r="D30" s="40" t="inlineStr">
        <is>
          <t>Gutter clean</t>
        </is>
      </c>
      <c r="E30" s="40" t="inlineStr">
        <is>
          <t>Joe Landscape</t>
        </is>
      </c>
      <c r="F30" s="39" t="n"/>
      <c r="G30" s="41">
        <f>IF(A30="","",IF(F30&lt;&gt;"",F30-A30,TODAY()-A30))</f>
        <v/>
      </c>
      <c r="H30" s="42" t="n"/>
      <c r="I30" s="43" t="n"/>
      <c r="J30" s="40" t="inlineStr">
        <is>
          <t>Scheduled</t>
        </is>
      </c>
      <c r="K30" s="40" t="inlineStr">
        <is>
          <t>Repair</t>
        </is>
      </c>
      <c r="L30" s="40" t="inlineStr">
        <is>
          <t>Spring service</t>
        </is>
      </c>
    </row>
    <row r="31">
      <c r="A31" s="39" t="n"/>
      <c r="B31" s="40" t="n"/>
      <c r="C31" s="40" t="n"/>
      <c r="D31" s="40" t="n"/>
      <c r="E31" s="40" t="n"/>
      <c r="F31" s="39" t="n"/>
      <c r="G31" s="44">
        <f>IF(A31="","",IF(F31&lt;&gt;"",F31-A31,TODAY()-A31))</f>
        <v/>
      </c>
      <c r="H31" s="42" t="n"/>
      <c r="I31" s="43" t="n"/>
      <c r="J31" s="40" t="n"/>
      <c r="K31" s="40" t="n"/>
      <c r="L31" s="40" t="n"/>
    </row>
    <row r="32">
      <c r="A32" s="39" t="n"/>
      <c r="B32" s="40" t="n"/>
      <c r="C32" s="40" t="n"/>
      <c r="D32" s="40" t="n"/>
      <c r="E32" s="40" t="n"/>
      <c r="F32" s="39" t="n"/>
      <c r="G32" s="44">
        <f>IF(A32="","",IF(F32&lt;&gt;"",F32-A32,TODAY()-A32))</f>
        <v/>
      </c>
      <c r="H32" s="42" t="n"/>
      <c r="I32" s="43" t="n"/>
      <c r="J32" s="40" t="n"/>
      <c r="K32" s="40" t="n"/>
      <c r="L32" s="40" t="n"/>
    </row>
    <row r="33">
      <c r="A33" s="39" t="n"/>
      <c r="B33" s="40" t="n"/>
      <c r="C33" s="40" t="n"/>
      <c r="D33" s="40" t="n"/>
      <c r="E33" s="40" t="n"/>
      <c r="F33" s="39" t="n"/>
      <c r="G33" s="44">
        <f>IF(A33="","",IF(F33&lt;&gt;"",F33-A33,TODAY()-A33))</f>
        <v/>
      </c>
      <c r="H33" s="42" t="n"/>
      <c r="I33" s="43" t="n"/>
      <c r="J33" s="40" t="n"/>
      <c r="K33" s="40" t="n"/>
      <c r="L33" s="40" t="n"/>
    </row>
    <row r="34">
      <c r="A34" s="39" t="n"/>
      <c r="B34" s="40" t="n"/>
      <c r="C34" s="40" t="n"/>
      <c r="D34" s="40" t="n"/>
      <c r="E34" s="40" t="n"/>
      <c r="F34" s="39" t="n"/>
      <c r="G34" s="44">
        <f>IF(A34="","",IF(F34&lt;&gt;"",F34-A34,TODAY()-A34))</f>
        <v/>
      </c>
      <c r="H34" s="42" t="n"/>
      <c r="I34" s="43" t="n"/>
      <c r="J34" s="40" t="n"/>
      <c r="K34" s="40" t="n"/>
      <c r="L34" s="40" t="n"/>
    </row>
    <row r="35">
      <c r="A35" s="39" t="n"/>
      <c r="B35" s="40" t="n"/>
      <c r="C35" s="40" t="n"/>
      <c r="D35" s="40" t="n"/>
      <c r="E35" s="40" t="n"/>
      <c r="F35" s="39" t="n"/>
      <c r="G35" s="44">
        <f>IF(A35="","",IF(F35&lt;&gt;"",F35-A35,TODAY()-A35))</f>
        <v/>
      </c>
      <c r="H35" s="42" t="n"/>
      <c r="I35" s="43" t="n"/>
      <c r="J35" s="40" t="n"/>
      <c r="K35" s="40" t="n"/>
      <c r="L35" s="40" t="n"/>
    </row>
    <row r="36">
      <c r="A36" s="39" t="n"/>
      <c r="B36" s="40" t="n"/>
      <c r="C36" s="40" t="n"/>
      <c r="D36" s="40" t="n"/>
      <c r="E36" s="40" t="n"/>
      <c r="F36" s="39" t="n"/>
      <c r="G36" s="44">
        <f>IF(A36="","",IF(F36&lt;&gt;"",F36-A36,TODAY()-A36))</f>
        <v/>
      </c>
      <c r="H36" s="42" t="n"/>
      <c r="I36" s="43" t="n"/>
      <c r="J36" s="40" t="n"/>
      <c r="K36" s="40" t="n"/>
      <c r="L36" s="40" t="n"/>
    </row>
    <row r="37">
      <c r="A37" s="39" t="n"/>
      <c r="B37" s="40" t="n"/>
      <c r="C37" s="40" t="n"/>
      <c r="D37" s="40" t="n"/>
      <c r="E37" s="40" t="n"/>
      <c r="F37" s="39" t="n"/>
      <c r="G37" s="44">
        <f>IF(A37="","",IF(F37&lt;&gt;"",F37-A37,TODAY()-A37))</f>
        <v/>
      </c>
      <c r="H37" s="42" t="n"/>
      <c r="I37" s="43" t="n"/>
      <c r="J37" s="40" t="n"/>
      <c r="K37" s="40" t="n"/>
      <c r="L37" s="40" t="n"/>
    </row>
    <row r="38">
      <c r="A38" s="39" t="n"/>
      <c r="B38" s="40" t="n"/>
      <c r="C38" s="40" t="n"/>
      <c r="D38" s="40" t="n"/>
      <c r="E38" s="40" t="n"/>
      <c r="F38" s="39" t="n"/>
      <c r="G38" s="44">
        <f>IF(A38="","",IF(F38&lt;&gt;"",F38-A38,TODAY()-A38))</f>
        <v/>
      </c>
      <c r="H38" s="42" t="n"/>
      <c r="I38" s="43" t="n"/>
      <c r="J38" s="40" t="n"/>
      <c r="K38" s="40" t="n"/>
      <c r="L38" s="40" t="n"/>
    </row>
    <row r="39">
      <c r="A39" s="39" t="n"/>
      <c r="B39" s="40" t="n"/>
      <c r="C39" s="40" t="n"/>
      <c r="D39" s="40" t="n"/>
      <c r="E39" s="40" t="n"/>
      <c r="F39" s="39" t="n"/>
      <c r="G39" s="44">
        <f>IF(A39="","",IF(F39&lt;&gt;"",F39-A39,TODAY()-A39))</f>
        <v/>
      </c>
      <c r="H39" s="42" t="n"/>
      <c r="I39" s="43" t="n"/>
      <c r="J39" s="40" t="n"/>
      <c r="K39" s="40" t="n"/>
      <c r="L39" s="40" t="n"/>
    </row>
    <row r="40">
      <c r="A40" s="39" t="n"/>
      <c r="B40" s="40" t="n"/>
      <c r="C40" s="40" t="n"/>
      <c r="D40" s="40" t="n"/>
      <c r="E40" s="40" t="n"/>
      <c r="F40" s="39" t="n"/>
      <c r="G40" s="44">
        <f>IF(A40="","",IF(F40&lt;&gt;"",F40-A40,TODAY()-A40))</f>
        <v/>
      </c>
      <c r="H40" s="42" t="n"/>
      <c r="I40" s="43" t="n"/>
      <c r="J40" s="40" t="n"/>
      <c r="K40" s="40" t="n"/>
      <c r="L40" s="40" t="n"/>
    </row>
    <row r="41">
      <c r="A41" s="39" t="n"/>
      <c r="B41" s="40" t="n"/>
      <c r="C41" s="40" t="n"/>
      <c r="D41" s="40" t="n"/>
      <c r="E41" s="40" t="n"/>
      <c r="F41" s="39" t="n"/>
      <c r="G41" s="44">
        <f>IF(A41="","",IF(F41&lt;&gt;"",F41-A41,TODAY()-A41))</f>
        <v/>
      </c>
      <c r="H41" s="42" t="n"/>
      <c r="I41" s="43" t="n"/>
      <c r="J41" s="40" t="n"/>
      <c r="K41" s="40" t="n"/>
      <c r="L41" s="40" t="n"/>
    </row>
    <row r="42">
      <c r="A42" s="39" t="n"/>
      <c r="B42" s="40" t="n"/>
      <c r="C42" s="40" t="n"/>
      <c r="D42" s="40" t="n"/>
      <c r="E42" s="40" t="n"/>
      <c r="F42" s="39" t="n"/>
      <c r="G42" s="44">
        <f>IF(A42="","",IF(F42&lt;&gt;"",F42-A42,TODAY()-A42))</f>
        <v/>
      </c>
      <c r="H42" s="42" t="n"/>
      <c r="I42" s="43" t="n"/>
      <c r="J42" s="40" t="n"/>
      <c r="K42" s="40" t="n"/>
      <c r="L42" s="40" t="n"/>
    </row>
    <row r="43">
      <c r="A43" s="39" t="n"/>
      <c r="B43" s="40" t="n"/>
      <c r="C43" s="40" t="n"/>
      <c r="D43" s="40" t="n"/>
      <c r="E43" s="40" t="n"/>
      <c r="F43" s="39" t="n"/>
      <c r="G43" s="44">
        <f>IF(A43="","",IF(F43&lt;&gt;"",F43-A43,TODAY()-A43))</f>
        <v/>
      </c>
      <c r="H43" s="42" t="n"/>
      <c r="I43" s="43" t="n"/>
      <c r="J43" s="40" t="n"/>
      <c r="K43" s="40" t="n"/>
      <c r="L43" s="40" t="n"/>
    </row>
    <row r="44">
      <c r="A44" s="39" t="n"/>
      <c r="B44" s="40" t="n"/>
      <c r="C44" s="40" t="n"/>
      <c r="D44" s="40" t="n"/>
      <c r="E44" s="40" t="n"/>
      <c r="F44" s="39" t="n"/>
      <c r="G44" s="44">
        <f>IF(A44="","",IF(F44&lt;&gt;"",F44-A44,TODAY()-A44))</f>
        <v/>
      </c>
      <c r="H44" s="42" t="n"/>
      <c r="I44" s="43" t="n"/>
      <c r="J44" s="40" t="n"/>
      <c r="K44" s="40" t="n"/>
      <c r="L44" s="40" t="n"/>
    </row>
    <row r="45">
      <c r="A45" s="39" t="n"/>
      <c r="B45" s="40" t="n"/>
      <c r="C45" s="40" t="n"/>
      <c r="D45" s="40" t="n"/>
      <c r="E45" s="40" t="n"/>
      <c r="F45" s="39" t="n"/>
      <c r="G45" s="44">
        <f>IF(A45="","",IF(F45&lt;&gt;"",F45-A45,TODAY()-A45))</f>
        <v/>
      </c>
      <c r="H45" s="42" t="n"/>
      <c r="I45" s="43" t="n"/>
      <c r="J45" s="40" t="n"/>
      <c r="K45" s="40" t="n"/>
      <c r="L45" s="40" t="n"/>
    </row>
    <row r="46">
      <c r="A46" s="39" t="n"/>
      <c r="B46" s="40" t="n"/>
      <c r="C46" s="40" t="n"/>
      <c r="D46" s="40" t="n"/>
      <c r="E46" s="40" t="n"/>
      <c r="F46" s="39" t="n"/>
      <c r="G46" s="44">
        <f>IF(A46="","",IF(F46&lt;&gt;"",F46-A46,TODAY()-A46))</f>
        <v/>
      </c>
      <c r="H46" s="42" t="n"/>
      <c r="I46" s="43" t="n"/>
      <c r="J46" s="40" t="n"/>
      <c r="K46" s="40" t="n"/>
      <c r="L46" s="40" t="n"/>
    </row>
    <row r="47">
      <c r="A47" s="39" t="n"/>
      <c r="B47" s="40" t="n"/>
      <c r="C47" s="40" t="n"/>
      <c r="D47" s="40" t="n"/>
      <c r="E47" s="40" t="n"/>
      <c r="F47" s="39" t="n"/>
      <c r="G47" s="44">
        <f>IF(A47="","",IF(F47&lt;&gt;"",F47-A47,TODAY()-A47))</f>
        <v/>
      </c>
      <c r="H47" s="42" t="n"/>
      <c r="I47" s="43" t="n"/>
      <c r="J47" s="40" t="n"/>
      <c r="K47" s="40" t="n"/>
      <c r="L47" s="40" t="n"/>
    </row>
    <row r="48">
      <c r="A48" s="39" t="n"/>
      <c r="B48" s="40" t="n"/>
      <c r="C48" s="40" t="n"/>
      <c r="D48" s="40" t="n"/>
      <c r="E48" s="40" t="n"/>
      <c r="F48" s="39" t="n"/>
      <c r="G48" s="44">
        <f>IF(A48="","",IF(F48&lt;&gt;"",F48-A48,TODAY()-A48))</f>
        <v/>
      </c>
      <c r="H48" s="42" t="n"/>
      <c r="I48" s="43" t="n"/>
      <c r="J48" s="40" t="n"/>
      <c r="K48" s="40" t="n"/>
      <c r="L48" s="40" t="n"/>
    </row>
    <row r="49">
      <c r="A49" s="39" t="n"/>
      <c r="B49" s="40" t="n"/>
      <c r="C49" s="40" t="n"/>
      <c r="D49" s="40" t="n"/>
      <c r="E49" s="40" t="n"/>
      <c r="F49" s="39" t="n"/>
      <c r="G49" s="44">
        <f>IF(A49="","",IF(F49&lt;&gt;"",F49-A49,TODAY()-A49))</f>
        <v/>
      </c>
      <c r="H49" s="42" t="n"/>
      <c r="I49" s="43" t="n"/>
      <c r="J49" s="40" t="n"/>
      <c r="K49" s="40" t="n"/>
      <c r="L49" s="40" t="n"/>
    </row>
    <row r="50">
      <c r="A50" s="39" t="n"/>
      <c r="B50" s="40" t="n"/>
      <c r="C50" s="40" t="n"/>
      <c r="D50" s="40" t="n"/>
      <c r="E50" s="40" t="n"/>
      <c r="F50" s="39" t="n"/>
      <c r="G50" s="44">
        <f>IF(A50="","",IF(F50&lt;&gt;"",F50-A50,TODAY()-A50))</f>
        <v/>
      </c>
      <c r="H50" s="42" t="n"/>
      <c r="I50" s="43" t="n"/>
      <c r="J50" s="40" t="n"/>
      <c r="K50" s="40" t="n"/>
      <c r="L50" s="40" t="n"/>
    </row>
    <row r="51">
      <c r="A51" s="39" t="n"/>
      <c r="B51" s="40" t="n"/>
      <c r="C51" s="40" t="n"/>
      <c r="D51" s="40" t="n"/>
      <c r="E51" s="40" t="n"/>
      <c r="F51" s="39" t="n"/>
      <c r="G51" s="44">
        <f>IF(A51="","",IF(F51&lt;&gt;"",F51-A51,TODAY()-A51))</f>
        <v/>
      </c>
      <c r="H51" s="42" t="n"/>
      <c r="I51" s="43" t="n"/>
      <c r="J51" s="40" t="n"/>
      <c r="K51" s="40" t="n"/>
      <c r="L51" s="40" t="n"/>
    </row>
    <row r="52">
      <c r="A52" s="39" t="n"/>
      <c r="B52" s="40" t="n"/>
      <c r="C52" s="40" t="n"/>
      <c r="D52" s="40" t="n"/>
      <c r="E52" s="40" t="n"/>
      <c r="F52" s="39" t="n"/>
      <c r="G52" s="44">
        <f>IF(A52="","",IF(F52&lt;&gt;"",F52-A52,TODAY()-A52))</f>
        <v/>
      </c>
      <c r="H52" s="42" t="n"/>
      <c r="I52" s="43" t="n"/>
      <c r="J52" s="40" t="n"/>
      <c r="K52" s="40" t="n"/>
      <c r="L52" s="40" t="n"/>
    </row>
    <row r="53">
      <c r="A53" s="39" t="n"/>
      <c r="B53" s="40" t="n"/>
      <c r="C53" s="40" t="n"/>
      <c r="D53" s="40" t="n"/>
      <c r="E53" s="40" t="n"/>
      <c r="F53" s="39" t="n"/>
      <c r="G53" s="44">
        <f>IF(A53="","",IF(F53&lt;&gt;"",F53-A53,TODAY()-A53))</f>
        <v/>
      </c>
      <c r="H53" s="42" t="n"/>
      <c r="I53" s="43" t="n"/>
      <c r="J53" s="40" t="n"/>
      <c r="K53" s="40" t="n"/>
      <c r="L53" s="40" t="n"/>
    </row>
    <row r="54">
      <c r="A54" s="39" t="n"/>
      <c r="B54" s="40" t="n"/>
      <c r="C54" s="40" t="n"/>
      <c r="D54" s="40" t="n"/>
      <c r="E54" s="40" t="n"/>
      <c r="F54" s="39" t="n"/>
      <c r="G54" s="44">
        <f>IF(A54="","",IF(F54&lt;&gt;"",F54-A54,TODAY()-A54))</f>
        <v/>
      </c>
      <c r="H54" s="42" t="n"/>
      <c r="I54" s="43" t="n"/>
      <c r="J54" s="40" t="n"/>
      <c r="K54" s="40" t="n"/>
      <c r="L54" s="40" t="n"/>
    </row>
    <row r="55">
      <c r="A55" s="39" t="n"/>
      <c r="B55" s="40" t="n"/>
      <c r="C55" s="40" t="n"/>
      <c r="D55" s="40" t="n"/>
      <c r="E55" s="40" t="n"/>
      <c r="F55" s="39" t="n"/>
      <c r="G55" s="44">
        <f>IF(A55="","",IF(F55&lt;&gt;"",F55-A55,TODAY()-A55))</f>
        <v/>
      </c>
      <c r="H55" s="42" t="n"/>
      <c r="I55" s="43" t="n"/>
      <c r="J55" s="40" t="n"/>
      <c r="K55" s="40" t="n"/>
      <c r="L55" s="40" t="n"/>
    </row>
    <row r="56">
      <c r="A56" s="39" t="n"/>
      <c r="B56" s="40" t="n"/>
      <c r="C56" s="40" t="n"/>
      <c r="D56" s="40" t="n"/>
      <c r="E56" s="40" t="n"/>
      <c r="F56" s="39" t="n"/>
      <c r="G56" s="44">
        <f>IF(A56="","",IF(F56&lt;&gt;"",F56-A56,TODAY()-A56))</f>
        <v/>
      </c>
      <c r="H56" s="42" t="n"/>
      <c r="I56" s="43" t="n"/>
      <c r="J56" s="40" t="n"/>
      <c r="K56" s="40" t="n"/>
      <c r="L56" s="40" t="n"/>
    </row>
    <row r="57">
      <c r="A57" s="39" t="n"/>
      <c r="B57" s="40" t="n"/>
      <c r="C57" s="40" t="n"/>
      <c r="D57" s="40" t="n"/>
      <c r="E57" s="40" t="n"/>
      <c r="F57" s="39" t="n"/>
      <c r="G57" s="44">
        <f>IF(A57="","",IF(F57&lt;&gt;"",F57-A57,TODAY()-A57))</f>
        <v/>
      </c>
      <c r="H57" s="42" t="n"/>
      <c r="I57" s="43" t="n"/>
      <c r="J57" s="40" t="n"/>
      <c r="K57" s="40" t="n"/>
      <c r="L57" s="40" t="n"/>
    </row>
    <row r="58">
      <c r="A58" s="39" t="n"/>
      <c r="B58" s="40" t="n"/>
      <c r="C58" s="40" t="n"/>
      <c r="D58" s="40" t="n"/>
      <c r="E58" s="40" t="n"/>
      <c r="F58" s="39" t="n"/>
      <c r="G58" s="44">
        <f>IF(A58="","",IF(F58&lt;&gt;"",F58-A58,TODAY()-A58))</f>
        <v/>
      </c>
      <c r="H58" s="42" t="n"/>
      <c r="I58" s="43" t="n"/>
      <c r="J58" s="40" t="n"/>
      <c r="K58" s="40" t="n"/>
      <c r="L58" s="40" t="n"/>
    </row>
    <row r="59">
      <c r="A59" s="39" t="n"/>
      <c r="B59" s="40" t="n"/>
      <c r="C59" s="40" t="n"/>
      <c r="D59" s="40" t="n"/>
      <c r="E59" s="40" t="n"/>
      <c r="F59" s="39" t="n"/>
      <c r="G59" s="44">
        <f>IF(A59="","",IF(F59&lt;&gt;"",F59-A59,TODAY()-A59))</f>
        <v/>
      </c>
      <c r="H59" s="42" t="n"/>
      <c r="I59" s="43" t="n"/>
      <c r="J59" s="40" t="n"/>
      <c r="K59" s="40" t="n"/>
      <c r="L59" s="40" t="n"/>
    </row>
    <row r="60">
      <c r="A60" s="39" t="n"/>
      <c r="B60" s="40" t="n"/>
      <c r="C60" s="40" t="n"/>
      <c r="D60" s="40" t="n"/>
      <c r="E60" s="40" t="n"/>
      <c r="F60" s="39" t="n"/>
      <c r="G60" s="44">
        <f>IF(A60="","",IF(F60&lt;&gt;"",F60-A60,TODAY()-A60))</f>
        <v/>
      </c>
      <c r="H60" s="42" t="n"/>
      <c r="I60" s="43" t="n"/>
      <c r="J60" s="40" t="n"/>
      <c r="K60" s="40" t="n"/>
      <c r="L60" s="40" t="n"/>
    </row>
    <row r="61">
      <c r="A61" s="39" t="n"/>
      <c r="B61" s="40" t="n"/>
      <c r="C61" s="40" t="n"/>
      <c r="D61" s="40" t="n"/>
      <c r="E61" s="40" t="n"/>
      <c r="F61" s="39" t="n"/>
      <c r="G61" s="44">
        <f>IF(A61="","",IF(F61&lt;&gt;"",F61-A61,TODAY()-A61))</f>
        <v/>
      </c>
      <c r="H61" s="42" t="n"/>
      <c r="I61" s="43" t="n"/>
      <c r="J61" s="40" t="n"/>
      <c r="K61" s="40" t="n"/>
      <c r="L61" s="40" t="n"/>
    </row>
    <row r="62">
      <c r="A62" s="39" t="n"/>
      <c r="B62" s="40" t="n"/>
      <c r="C62" s="40" t="n"/>
      <c r="D62" s="40" t="n"/>
      <c r="E62" s="40" t="n"/>
      <c r="F62" s="39" t="n"/>
      <c r="G62" s="44">
        <f>IF(A62="","",IF(F62&lt;&gt;"",F62-A62,TODAY()-A62))</f>
        <v/>
      </c>
      <c r="H62" s="42" t="n"/>
      <c r="I62" s="43" t="n"/>
      <c r="J62" s="40" t="n"/>
      <c r="K62" s="40" t="n"/>
      <c r="L62" s="40" t="n"/>
    </row>
    <row r="63">
      <c r="A63" s="39" t="n"/>
      <c r="B63" s="40" t="n"/>
      <c r="C63" s="40" t="n"/>
      <c r="D63" s="40" t="n"/>
      <c r="E63" s="40" t="n"/>
      <c r="F63" s="39" t="n"/>
      <c r="G63" s="44">
        <f>IF(A63="","",IF(F63&lt;&gt;"",F63-A63,TODAY()-A63))</f>
        <v/>
      </c>
      <c r="H63" s="42" t="n"/>
      <c r="I63" s="43" t="n"/>
      <c r="J63" s="40" t="n"/>
      <c r="K63" s="40" t="n"/>
      <c r="L63" s="40" t="n"/>
    </row>
    <row r="64">
      <c r="A64" s="39" t="n"/>
      <c r="B64" s="40" t="n"/>
      <c r="C64" s="40" t="n"/>
      <c r="D64" s="40" t="n"/>
      <c r="E64" s="40" t="n"/>
      <c r="F64" s="39" t="n"/>
      <c r="G64" s="44">
        <f>IF(A64="","",IF(F64&lt;&gt;"",F64-A64,TODAY()-A64))</f>
        <v/>
      </c>
      <c r="H64" s="42" t="n"/>
      <c r="I64" s="43" t="n"/>
      <c r="J64" s="40" t="n"/>
      <c r="K64" s="40" t="n"/>
      <c r="L64" s="40" t="n"/>
    </row>
    <row r="65">
      <c r="A65" s="39" t="n"/>
      <c r="B65" s="40" t="n"/>
      <c r="C65" s="40" t="n"/>
      <c r="D65" s="40" t="n"/>
      <c r="E65" s="40" t="n"/>
      <c r="F65" s="39" t="n"/>
      <c r="G65" s="44">
        <f>IF(A65="","",IF(F65&lt;&gt;"",F65-A65,TODAY()-A65))</f>
        <v/>
      </c>
      <c r="H65" s="42" t="n"/>
      <c r="I65" s="43" t="n"/>
      <c r="J65" s="40" t="n"/>
      <c r="K65" s="40" t="n"/>
      <c r="L65" s="40" t="n"/>
    </row>
    <row r="66">
      <c r="A66" s="39" t="n"/>
      <c r="B66" s="40" t="n"/>
      <c r="C66" s="40" t="n"/>
      <c r="D66" s="40" t="n"/>
      <c r="E66" s="40" t="n"/>
      <c r="F66" s="39" t="n"/>
      <c r="G66" s="44">
        <f>IF(A66="","",IF(F66&lt;&gt;"",F66-A66,TODAY()-A66))</f>
        <v/>
      </c>
      <c r="H66" s="42" t="n"/>
      <c r="I66" s="43" t="n"/>
      <c r="J66" s="40" t="n"/>
      <c r="K66" s="40" t="n"/>
      <c r="L66" s="40" t="n"/>
    </row>
    <row r="67">
      <c r="A67" s="39" t="n"/>
      <c r="B67" s="40" t="n"/>
      <c r="C67" s="40" t="n"/>
      <c r="D67" s="40" t="n"/>
      <c r="E67" s="40" t="n"/>
      <c r="F67" s="39" t="n"/>
      <c r="G67" s="44">
        <f>IF(A67="","",IF(F67&lt;&gt;"",F67-A67,TODAY()-A67))</f>
        <v/>
      </c>
      <c r="H67" s="42" t="n"/>
      <c r="I67" s="43" t="n"/>
      <c r="J67" s="40" t="n"/>
      <c r="K67" s="40" t="n"/>
      <c r="L67" s="40" t="n"/>
    </row>
    <row r="68">
      <c r="A68" s="39" t="n"/>
      <c r="B68" s="40" t="n"/>
      <c r="C68" s="40" t="n"/>
      <c r="D68" s="40" t="n"/>
      <c r="E68" s="40" t="n"/>
      <c r="F68" s="39" t="n"/>
      <c r="G68" s="44">
        <f>IF(A68="","",IF(F68&lt;&gt;"",F68-A68,TODAY()-A68))</f>
        <v/>
      </c>
      <c r="H68" s="42" t="n"/>
      <c r="I68" s="43" t="n"/>
      <c r="J68" s="40" t="n"/>
      <c r="K68" s="40" t="n"/>
      <c r="L68" s="40" t="n"/>
    </row>
    <row r="69">
      <c r="A69" s="39" t="n"/>
      <c r="B69" s="40" t="n"/>
      <c r="C69" s="40" t="n"/>
      <c r="D69" s="40" t="n"/>
      <c r="E69" s="40" t="n"/>
      <c r="F69" s="39" t="n"/>
      <c r="G69" s="44">
        <f>IF(A69="","",IF(F69&lt;&gt;"",F69-A69,TODAY()-A69))</f>
        <v/>
      </c>
      <c r="H69" s="42" t="n"/>
      <c r="I69" s="43" t="n"/>
      <c r="J69" s="40" t="n"/>
      <c r="K69" s="40" t="n"/>
      <c r="L69" s="40" t="n"/>
    </row>
    <row r="70">
      <c r="A70" s="39" t="n"/>
      <c r="B70" s="40" t="n"/>
      <c r="C70" s="40" t="n"/>
      <c r="D70" s="40" t="n"/>
      <c r="E70" s="40" t="n"/>
      <c r="F70" s="39" t="n"/>
      <c r="G70" s="44">
        <f>IF(A70="","",IF(F70&lt;&gt;"",F70-A70,TODAY()-A70))</f>
        <v/>
      </c>
      <c r="H70" s="42" t="n"/>
      <c r="I70" s="43" t="n"/>
      <c r="J70" s="40" t="n"/>
      <c r="K70" s="40" t="n"/>
      <c r="L70" s="40" t="n"/>
    </row>
    <row r="71">
      <c r="A71" s="39" t="n"/>
      <c r="B71" s="40" t="n"/>
      <c r="C71" s="40" t="n"/>
      <c r="D71" s="40" t="n"/>
      <c r="E71" s="40" t="n"/>
      <c r="F71" s="39" t="n"/>
      <c r="G71" s="44">
        <f>IF(A71="","",IF(F71&lt;&gt;"",F71-A71,TODAY()-A71))</f>
        <v/>
      </c>
      <c r="H71" s="42" t="n"/>
      <c r="I71" s="43" t="n"/>
      <c r="J71" s="40" t="n"/>
      <c r="K71" s="40" t="n"/>
      <c r="L71" s="40" t="n"/>
    </row>
    <row r="72">
      <c r="A72" s="39" t="n"/>
      <c r="B72" s="40" t="n"/>
      <c r="C72" s="40" t="n"/>
      <c r="D72" s="40" t="n"/>
      <c r="E72" s="40" t="n"/>
      <c r="F72" s="39" t="n"/>
      <c r="G72" s="44">
        <f>IF(A72="","",IF(F72&lt;&gt;"",F72-A72,TODAY()-A72))</f>
        <v/>
      </c>
      <c r="H72" s="42" t="n"/>
      <c r="I72" s="43" t="n"/>
      <c r="J72" s="40" t="n"/>
      <c r="K72" s="40" t="n"/>
      <c r="L72" s="40" t="n"/>
    </row>
    <row r="73">
      <c r="A73" s="39" t="n"/>
      <c r="B73" s="40" t="n"/>
      <c r="C73" s="40" t="n"/>
      <c r="D73" s="40" t="n"/>
      <c r="E73" s="40" t="n"/>
      <c r="F73" s="39" t="n"/>
      <c r="G73" s="44">
        <f>IF(A73="","",IF(F73&lt;&gt;"",F73-A73,TODAY()-A73))</f>
        <v/>
      </c>
      <c r="H73" s="42" t="n"/>
      <c r="I73" s="43" t="n"/>
      <c r="J73" s="40" t="n"/>
      <c r="K73" s="40" t="n"/>
      <c r="L73" s="40" t="n"/>
    </row>
    <row r="74">
      <c r="A74" s="39" t="n"/>
      <c r="B74" s="40" t="n"/>
      <c r="C74" s="40" t="n"/>
      <c r="D74" s="40" t="n"/>
      <c r="E74" s="40" t="n"/>
      <c r="F74" s="39" t="n"/>
      <c r="G74" s="44">
        <f>IF(A74="","",IF(F74&lt;&gt;"",F74-A74,TODAY()-A74))</f>
        <v/>
      </c>
      <c r="H74" s="42" t="n"/>
      <c r="I74" s="43" t="n"/>
      <c r="J74" s="40" t="n"/>
      <c r="K74" s="40" t="n"/>
      <c r="L74" s="40" t="n"/>
    </row>
    <row r="75">
      <c r="A75" s="39" t="n"/>
      <c r="B75" s="40" t="n"/>
      <c r="C75" s="40" t="n"/>
      <c r="D75" s="40" t="n"/>
      <c r="E75" s="40" t="n"/>
      <c r="F75" s="39" t="n"/>
      <c r="G75" s="44">
        <f>IF(A75="","",IF(F75&lt;&gt;"",F75-A75,TODAY()-A75))</f>
        <v/>
      </c>
      <c r="H75" s="42" t="n"/>
      <c r="I75" s="43" t="n"/>
      <c r="J75" s="40" t="n"/>
      <c r="K75" s="40" t="n"/>
      <c r="L75" s="40" t="n"/>
    </row>
    <row r="76">
      <c r="A76" s="39" t="n"/>
      <c r="B76" s="40" t="n"/>
      <c r="C76" s="40" t="n"/>
      <c r="D76" s="40" t="n"/>
      <c r="E76" s="40" t="n"/>
      <c r="F76" s="39" t="n"/>
      <c r="G76" s="44">
        <f>IF(A76="","",IF(F76&lt;&gt;"",F76-A76,TODAY()-A76))</f>
        <v/>
      </c>
      <c r="H76" s="42" t="n"/>
      <c r="I76" s="43" t="n"/>
      <c r="J76" s="40" t="n"/>
      <c r="K76" s="40" t="n"/>
      <c r="L76" s="40" t="n"/>
    </row>
    <row r="77">
      <c r="A77" s="39" t="n"/>
      <c r="B77" s="40" t="n"/>
      <c r="C77" s="40" t="n"/>
      <c r="D77" s="40" t="n"/>
      <c r="E77" s="40" t="n"/>
      <c r="F77" s="39" t="n"/>
      <c r="G77" s="44">
        <f>IF(A77="","",IF(F77&lt;&gt;"",F77-A77,TODAY()-A77))</f>
        <v/>
      </c>
      <c r="H77" s="42" t="n"/>
      <c r="I77" s="43" t="n"/>
      <c r="J77" s="40" t="n"/>
      <c r="K77" s="40" t="n"/>
      <c r="L77" s="40" t="n"/>
    </row>
    <row r="78">
      <c r="A78" s="39" t="n"/>
      <c r="B78" s="40" t="n"/>
      <c r="C78" s="40" t="n"/>
      <c r="D78" s="40" t="n"/>
      <c r="E78" s="40" t="n"/>
      <c r="F78" s="39" t="n"/>
      <c r="G78" s="44">
        <f>IF(A78="","",IF(F78&lt;&gt;"",F78-A78,TODAY()-A78))</f>
        <v/>
      </c>
      <c r="H78" s="42" t="n"/>
      <c r="I78" s="43" t="n"/>
      <c r="J78" s="40" t="n"/>
      <c r="K78" s="40" t="n"/>
      <c r="L78" s="40" t="n"/>
    </row>
    <row r="79">
      <c r="A79" s="39" t="n"/>
      <c r="B79" s="40" t="n"/>
      <c r="C79" s="40" t="n"/>
      <c r="D79" s="40" t="n"/>
      <c r="E79" s="40" t="n"/>
      <c r="F79" s="39" t="n"/>
      <c r="G79" s="44">
        <f>IF(A79="","",IF(F79&lt;&gt;"",F79-A79,TODAY()-A79))</f>
        <v/>
      </c>
      <c r="H79" s="42" t="n"/>
      <c r="I79" s="43" t="n"/>
      <c r="J79" s="40" t="n"/>
      <c r="K79" s="40" t="n"/>
      <c r="L79" s="40" t="n"/>
    </row>
    <row r="80">
      <c r="A80" s="39" t="n"/>
      <c r="B80" s="40" t="n"/>
      <c r="C80" s="40" t="n"/>
      <c r="D80" s="40" t="n"/>
      <c r="E80" s="40" t="n"/>
      <c r="F80" s="39" t="n"/>
      <c r="G80" s="44">
        <f>IF(A80="","",IF(F80&lt;&gt;"",F80-A80,TODAY()-A80))</f>
        <v/>
      </c>
      <c r="H80" s="42" t="n"/>
      <c r="I80" s="43" t="n"/>
      <c r="J80" s="40" t="n"/>
      <c r="K80" s="40" t="n"/>
      <c r="L80" s="40" t="n"/>
    </row>
    <row r="81">
      <c r="A81" s="39" t="n"/>
      <c r="B81" s="40" t="n"/>
      <c r="C81" s="40" t="n"/>
      <c r="D81" s="40" t="n"/>
      <c r="E81" s="40" t="n"/>
      <c r="F81" s="39" t="n"/>
      <c r="G81" s="44">
        <f>IF(A81="","",IF(F81&lt;&gt;"",F81-A81,TODAY()-A81))</f>
        <v/>
      </c>
      <c r="H81" s="42" t="n"/>
      <c r="I81" s="43" t="n"/>
      <c r="J81" s="40" t="n"/>
      <c r="K81" s="40" t="n"/>
      <c r="L81" s="40" t="n"/>
    </row>
    <row r="82">
      <c r="A82" s="39" t="n"/>
      <c r="B82" s="40" t="n"/>
      <c r="C82" s="40" t="n"/>
      <c r="D82" s="40" t="n"/>
      <c r="E82" s="40" t="n"/>
      <c r="F82" s="39" t="n"/>
      <c r="G82" s="44">
        <f>IF(A82="","",IF(F82&lt;&gt;"",F82-A82,TODAY()-A82))</f>
        <v/>
      </c>
      <c r="H82" s="42" t="n"/>
      <c r="I82" s="43" t="n"/>
      <c r="J82" s="40" t="n"/>
      <c r="K82" s="40" t="n"/>
      <c r="L82" s="40" t="n"/>
    </row>
    <row r="83">
      <c r="A83" s="39" t="n"/>
      <c r="B83" s="40" t="n"/>
      <c r="C83" s="40" t="n"/>
      <c r="D83" s="40" t="n"/>
      <c r="E83" s="40" t="n"/>
      <c r="F83" s="39" t="n"/>
      <c r="G83" s="44">
        <f>IF(A83="","",IF(F83&lt;&gt;"",F83-A83,TODAY()-A83))</f>
        <v/>
      </c>
      <c r="H83" s="42" t="n"/>
      <c r="I83" s="43" t="n"/>
      <c r="J83" s="40" t="n"/>
      <c r="K83" s="40" t="n"/>
      <c r="L83" s="40" t="n"/>
    </row>
    <row r="84">
      <c r="A84" s="39" t="n"/>
      <c r="B84" s="40" t="n"/>
      <c r="C84" s="40" t="n"/>
      <c r="D84" s="40" t="n"/>
      <c r="E84" s="40" t="n"/>
      <c r="F84" s="39" t="n"/>
      <c r="G84" s="44">
        <f>IF(A84="","",IF(F84&lt;&gt;"",F84-A84,TODAY()-A84))</f>
        <v/>
      </c>
      <c r="H84" s="42" t="n"/>
      <c r="I84" s="43" t="n"/>
      <c r="J84" s="40" t="n"/>
      <c r="K84" s="40" t="n"/>
      <c r="L84" s="40" t="n"/>
    </row>
    <row r="85">
      <c r="A85" s="39" t="n"/>
      <c r="B85" s="40" t="n"/>
      <c r="C85" s="40" t="n"/>
      <c r="D85" s="40" t="n"/>
      <c r="E85" s="40" t="n"/>
      <c r="F85" s="39" t="n"/>
      <c r="G85" s="44">
        <f>IF(A85="","",IF(F85&lt;&gt;"",F85-A85,TODAY()-A85))</f>
        <v/>
      </c>
      <c r="H85" s="42" t="n"/>
      <c r="I85" s="43" t="n"/>
      <c r="J85" s="40" t="n"/>
      <c r="K85" s="40" t="n"/>
      <c r="L85" s="40" t="n"/>
    </row>
    <row r="86">
      <c r="A86" s="39" t="n"/>
      <c r="B86" s="40" t="n"/>
      <c r="C86" s="40" t="n"/>
      <c r="D86" s="40" t="n"/>
      <c r="E86" s="40" t="n"/>
      <c r="F86" s="39" t="n"/>
      <c r="G86" s="44">
        <f>IF(A86="","",IF(F86&lt;&gt;"",F86-A86,TODAY()-A86))</f>
        <v/>
      </c>
      <c r="H86" s="42" t="n"/>
      <c r="I86" s="43" t="n"/>
      <c r="J86" s="40" t="n"/>
      <c r="K86" s="40" t="n"/>
      <c r="L86" s="40" t="n"/>
    </row>
    <row r="87">
      <c r="A87" s="39" t="n"/>
      <c r="B87" s="40" t="n"/>
      <c r="C87" s="40" t="n"/>
      <c r="D87" s="40" t="n"/>
      <c r="E87" s="40" t="n"/>
      <c r="F87" s="39" t="n"/>
      <c r="G87" s="44">
        <f>IF(A87="","",IF(F87&lt;&gt;"",F87-A87,TODAY()-A87))</f>
        <v/>
      </c>
      <c r="H87" s="42" t="n"/>
      <c r="I87" s="43" t="n"/>
      <c r="J87" s="40" t="n"/>
      <c r="K87" s="40" t="n"/>
      <c r="L87" s="40" t="n"/>
    </row>
    <row r="88">
      <c r="A88" s="39" t="n"/>
      <c r="B88" s="40" t="n"/>
      <c r="C88" s="40" t="n"/>
      <c r="D88" s="40" t="n"/>
      <c r="E88" s="40" t="n"/>
      <c r="F88" s="39" t="n"/>
      <c r="G88" s="44">
        <f>IF(A88="","",IF(F88&lt;&gt;"",F88-A88,TODAY()-A88))</f>
        <v/>
      </c>
      <c r="H88" s="42" t="n"/>
      <c r="I88" s="43" t="n"/>
      <c r="J88" s="40" t="n"/>
      <c r="K88" s="40" t="n"/>
      <c r="L88" s="40" t="n"/>
    </row>
    <row r="89">
      <c r="A89" s="39" t="n"/>
      <c r="B89" s="40" t="n"/>
      <c r="C89" s="40" t="n"/>
      <c r="D89" s="40" t="n"/>
      <c r="E89" s="40" t="n"/>
      <c r="F89" s="39" t="n"/>
      <c r="G89" s="44">
        <f>IF(A89="","",IF(F89&lt;&gt;"",F89-A89,TODAY()-A89))</f>
        <v/>
      </c>
      <c r="H89" s="42" t="n"/>
      <c r="I89" s="43" t="n"/>
      <c r="J89" s="40" t="n"/>
      <c r="K89" s="40" t="n"/>
      <c r="L89" s="40" t="n"/>
    </row>
    <row r="90">
      <c r="A90" s="39" t="n"/>
      <c r="B90" s="40" t="n"/>
      <c r="C90" s="40" t="n"/>
      <c r="D90" s="40" t="n"/>
      <c r="E90" s="40" t="n"/>
      <c r="F90" s="39" t="n"/>
      <c r="G90" s="44">
        <f>IF(A90="","",IF(F90&lt;&gt;"",F90-A90,TODAY()-A90))</f>
        <v/>
      </c>
      <c r="H90" s="42" t="n"/>
      <c r="I90" s="43" t="n"/>
      <c r="J90" s="40" t="n"/>
      <c r="K90" s="40" t="n"/>
      <c r="L90" s="40" t="n"/>
    </row>
    <row r="91">
      <c r="A91" s="39" t="n"/>
      <c r="B91" s="40" t="n"/>
      <c r="C91" s="40" t="n"/>
      <c r="D91" s="40" t="n"/>
      <c r="E91" s="40" t="n"/>
      <c r="F91" s="39" t="n"/>
      <c r="G91" s="44">
        <f>IF(A91="","",IF(F91&lt;&gt;"",F91-A91,TODAY()-A91))</f>
        <v/>
      </c>
      <c r="H91" s="42" t="n"/>
      <c r="I91" s="43" t="n"/>
      <c r="J91" s="40" t="n"/>
      <c r="K91" s="40" t="n"/>
      <c r="L91" s="40" t="n"/>
    </row>
    <row r="92">
      <c r="A92" s="39" t="n"/>
      <c r="B92" s="40" t="n"/>
      <c r="C92" s="40" t="n"/>
      <c r="D92" s="40" t="n"/>
      <c r="E92" s="40" t="n"/>
      <c r="F92" s="39" t="n"/>
      <c r="G92" s="44">
        <f>IF(A92="","",IF(F92&lt;&gt;"",F92-A92,TODAY()-A92))</f>
        <v/>
      </c>
      <c r="H92" s="42" t="n"/>
      <c r="I92" s="43" t="n"/>
      <c r="J92" s="40" t="n"/>
      <c r="K92" s="40" t="n"/>
      <c r="L92" s="40" t="n"/>
    </row>
    <row r="93">
      <c r="A93" s="39" t="n"/>
      <c r="B93" s="40" t="n"/>
      <c r="C93" s="40" t="n"/>
      <c r="D93" s="40" t="n"/>
      <c r="E93" s="40" t="n"/>
      <c r="F93" s="39" t="n"/>
      <c r="G93" s="44">
        <f>IF(A93="","",IF(F93&lt;&gt;"",F93-A93,TODAY()-A93))</f>
        <v/>
      </c>
      <c r="H93" s="42" t="n"/>
      <c r="I93" s="43" t="n"/>
      <c r="J93" s="40" t="n"/>
      <c r="K93" s="40" t="n"/>
      <c r="L93" s="40" t="n"/>
    </row>
    <row r="94">
      <c r="A94" s="39" t="n"/>
      <c r="B94" s="40" t="n"/>
      <c r="C94" s="40" t="n"/>
      <c r="D94" s="40" t="n"/>
      <c r="E94" s="40" t="n"/>
      <c r="F94" s="39" t="n"/>
      <c r="G94" s="44">
        <f>IF(A94="","",IF(F94&lt;&gt;"",F94-A94,TODAY()-A94))</f>
        <v/>
      </c>
      <c r="H94" s="42" t="n"/>
      <c r="I94" s="43" t="n"/>
      <c r="J94" s="40" t="n"/>
      <c r="K94" s="40" t="n"/>
      <c r="L94" s="40" t="n"/>
    </row>
    <row r="95">
      <c r="A95" s="39" t="n"/>
      <c r="B95" s="40" t="n"/>
      <c r="C95" s="40" t="n"/>
      <c r="D95" s="40" t="n"/>
      <c r="E95" s="40" t="n"/>
      <c r="F95" s="39" t="n"/>
      <c r="G95" s="44">
        <f>IF(A95="","",IF(F95&lt;&gt;"",F95-A95,TODAY()-A95))</f>
        <v/>
      </c>
      <c r="H95" s="42" t="n"/>
      <c r="I95" s="43" t="n"/>
      <c r="J95" s="40" t="n"/>
      <c r="K95" s="40" t="n"/>
      <c r="L95" s="40" t="n"/>
    </row>
    <row r="96">
      <c r="A96" s="39" t="n"/>
      <c r="B96" s="40" t="n"/>
      <c r="C96" s="40" t="n"/>
      <c r="D96" s="40" t="n"/>
      <c r="E96" s="40" t="n"/>
      <c r="F96" s="39" t="n"/>
      <c r="G96" s="44">
        <f>IF(A96="","",IF(F96&lt;&gt;"",F96-A96,TODAY()-A96))</f>
        <v/>
      </c>
      <c r="H96" s="42" t="n"/>
      <c r="I96" s="43" t="n"/>
      <c r="J96" s="40" t="n"/>
      <c r="K96" s="40" t="n"/>
      <c r="L96" s="40" t="n"/>
    </row>
    <row r="97">
      <c r="A97" s="39" t="n"/>
      <c r="B97" s="40" t="n"/>
      <c r="C97" s="40" t="n"/>
      <c r="D97" s="40" t="n"/>
      <c r="E97" s="40" t="n"/>
      <c r="F97" s="39" t="n"/>
      <c r="G97" s="44">
        <f>IF(A97="","",IF(F97&lt;&gt;"",F97-A97,TODAY()-A97))</f>
        <v/>
      </c>
      <c r="H97" s="42" t="n"/>
      <c r="I97" s="43" t="n"/>
      <c r="J97" s="40" t="n"/>
      <c r="K97" s="40" t="n"/>
      <c r="L97" s="40" t="n"/>
    </row>
    <row r="98">
      <c r="A98" s="39" t="n"/>
      <c r="B98" s="40" t="n"/>
      <c r="C98" s="40" t="n"/>
      <c r="D98" s="40" t="n"/>
      <c r="E98" s="40" t="n"/>
      <c r="F98" s="39" t="n"/>
      <c r="G98" s="44">
        <f>IF(A98="","",IF(F98&lt;&gt;"",F98-A98,TODAY()-A98))</f>
        <v/>
      </c>
      <c r="H98" s="42" t="n"/>
      <c r="I98" s="43" t="n"/>
      <c r="J98" s="40" t="n"/>
      <c r="K98" s="40" t="n"/>
      <c r="L98" s="40" t="n"/>
    </row>
    <row r="99">
      <c r="A99" s="39" t="n"/>
      <c r="B99" s="40" t="n"/>
      <c r="C99" s="40" t="n"/>
      <c r="D99" s="40" t="n"/>
      <c r="E99" s="40" t="n"/>
      <c r="F99" s="39" t="n"/>
      <c r="G99" s="44">
        <f>IF(A99="","",IF(F99&lt;&gt;"",F99-A99,TODAY()-A99))</f>
        <v/>
      </c>
      <c r="H99" s="42" t="n"/>
      <c r="I99" s="43" t="n"/>
      <c r="J99" s="40" t="n"/>
      <c r="K99" s="40" t="n"/>
      <c r="L99" s="40" t="n"/>
    </row>
    <row r="100">
      <c r="A100" s="39" t="n"/>
      <c r="B100" s="40" t="n"/>
      <c r="C100" s="40" t="n"/>
      <c r="D100" s="40" t="n"/>
      <c r="E100" s="40" t="n"/>
      <c r="F100" s="39" t="n"/>
      <c r="G100" s="44">
        <f>IF(A100="","",IF(F100&lt;&gt;"",F100-A100,TODAY()-A100))</f>
        <v/>
      </c>
      <c r="H100" s="42" t="n"/>
      <c r="I100" s="43" t="n"/>
      <c r="J100" s="40" t="n"/>
      <c r="K100" s="40" t="n"/>
      <c r="L100" s="40" t="n"/>
    </row>
    <row r="101">
      <c r="A101" s="39" t="n"/>
      <c r="B101" s="40" t="n"/>
      <c r="C101" s="40" t="n"/>
      <c r="D101" s="40" t="n"/>
      <c r="E101" s="40" t="n"/>
      <c r="F101" s="39" t="n"/>
      <c r="G101" s="44">
        <f>IF(A101="","",IF(F101&lt;&gt;"",F101-A101,TODAY()-A101))</f>
        <v/>
      </c>
      <c r="H101" s="42" t="n"/>
      <c r="I101" s="43" t="n"/>
      <c r="J101" s="40" t="n"/>
      <c r="K101" s="40" t="n"/>
      <c r="L101" s="40" t="n"/>
    </row>
    <row r="102">
      <c r="A102" s="39" t="n"/>
      <c r="B102" s="40" t="n"/>
      <c r="C102" s="40" t="n"/>
      <c r="D102" s="40" t="n"/>
      <c r="E102" s="40" t="n"/>
      <c r="F102" s="39" t="n"/>
      <c r="G102" s="44">
        <f>IF(A102="","",IF(F102&lt;&gt;"",F102-A102,TODAY()-A102))</f>
        <v/>
      </c>
      <c r="H102" s="42" t="n"/>
      <c r="I102" s="43" t="n"/>
      <c r="J102" s="40" t="n"/>
      <c r="K102" s="40" t="n"/>
      <c r="L102" s="40" t="n"/>
    </row>
    <row r="103">
      <c r="A103" s="39" t="n"/>
      <c r="B103" s="40" t="n"/>
      <c r="C103" s="40" t="n"/>
      <c r="D103" s="40" t="n"/>
      <c r="E103" s="40" t="n"/>
      <c r="F103" s="39" t="n"/>
      <c r="G103" s="44">
        <f>IF(A103="","",IF(F103&lt;&gt;"",F103-A103,TODAY()-A103))</f>
        <v/>
      </c>
      <c r="H103" s="42" t="n"/>
      <c r="I103" s="43" t="n"/>
      <c r="J103" s="40" t="n"/>
      <c r="K103" s="40" t="n"/>
      <c r="L103" s="40" t="n"/>
    </row>
    <row r="104">
      <c r="A104" s="39" t="n"/>
      <c r="B104" s="40" t="n"/>
      <c r="C104" s="40" t="n"/>
      <c r="D104" s="40" t="n"/>
      <c r="E104" s="40" t="n"/>
      <c r="F104" s="39" t="n"/>
      <c r="G104" s="44">
        <f>IF(A104="","",IF(F104&lt;&gt;"",F104-A104,TODAY()-A104))</f>
        <v/>
      </c>
      <c r="H104" s="42" t="n"/>
      <c r="I104" s="43" t="n"/>
      <c r="J104" s="40" t="n"/>
      <c r="K104" s="40" t="n"/>
      <c r="L104" s="40" t="n"/>
    </row>
    <row r="105">
      <c r="A105" s="39" t="n"/>
      <c r="B105" s="40" t="n"/>
      <c r="C105" s="40" t="n"/>
      <c r="D105" s="40" t="n"/>
      <c r="E105" s="40" t="n"/>
      <c r="F105" s="39" t="n"/>
      <c r="G105" s="44">
        <f>IF(A105="","",IF(F105&lt;&gt;"",F105-A105,TODAY()-A105))</f>
        <v/>
      </c>
      <c r="H105" s="42" t="n"/>
      <c r="I105" s="43" t="n"/>
      <c r="J105" s="40" t="n"/>
      <c r="K105" s="40" t="n"/>
      <c r="L105" s="40" t="n"/>
    </row>
    <row r="106">
      <c r="A106" s="39" t="n"/>
      <c r="B106" s="40" t="n"/>
      <c r="C106" s="40" t="n"/>
      <c r="D106" s="40" t="n"/>
      <c r="E106" s="40" t="n"/>
      <c r="F106" s="39" t="n"/>
      <c r="G106" s="44">
        <f>IF(A106="","",IF(F106&lt;&gt;"",F106-A106,TODAY()-A106))</f>
        <v/>
      </c>
      <c r="H106" s="42" t="n"/>
      <c r="I106" s="43" t="n"/>
      <c r="J106" s="40" t="n"/>
      <c r="K106" s="40" t="n"/>
      <c r="L106" s="40" t="n"/>
    </row>
    <row r="107">
      <c r="A107" s="39" t="n"/>
      <c r="B107" s="40" t="n"/>
      <c r="C107" s="40" t="n"/>
      <c r="D107" s="40" t="n"/>
      <c r="E107" s="40" t="n"/>
      <c r="F107" s="39" t="n"/>
      <c r="G107" s="44">
        <f>IF(A107="","",IF(F107&lt;&gt;"",F107-A107,TODAY()-A107))</f>
        <v/>
      </c>
      <c r="H107" s="42" t="n"/>
      <c r="I107" s="43" t="n"/>
      <c r="J107" s="40" t="n"/>
      <c r="K107" s="40" t="n"/>
      <c r="L107" s="40" t="n"/>
    </row>
    <row r="108">
      <c r="A108" s="39" t="n"/>
      <c r="B108" s="40" t="n"/>
      <c r="C108" s="40" t="n"/>
      <c r="D108" s="40" t="n"/>
      <c r="E108" s="40" t="n"/>
      <c r="F108" s="39" t="n"/>
      <c r="G108" s="44">
        <f>IF(A108="","",IF(F108&lt;&gt;"",F108-A108,TODAY()-A108))</f>
        <v/>
      </c>
      <c r="H108" s="42" t="n"/>
      <c r="I108" s="43" t="n"/>
      <c r="J108" s="40" t="n"/>
      <c r="K108" s="40" t="n"/>
      <c r="L108" s="40" t="n"/>
    </row>
    <row r="109">
      <c r="A109" s="39" t="n"/>
      <c r="B109" s="40" t="n"/>
      <c r="C109" s="40" t="n"/>
      <c r="D109" s="40" t="n"/>
      <c r="E109" s="40" t="n"/>
      <c r="F109" s="39" t="n"/>
      <c r="G109" s="44">
        <f>IF(A109="","",IF(F109&lt;&gt;"",F109-A109,TODAY()-A109))</f>
        <v/>
      </c>
      <c r="H109" s="42" t="n"/>
      <c r="I109" s="43" t="n"/>
      <c r="J109" s="40" t="n"/>
      <c r="K109" s="40" t="n"/>
      <c r="L109" s="40" t="n"/>
    </row>
    <row r="110">
      <c r="A110" s="39" t="n"/>
      <c r="B110" s="40" t="n"/>
      <c r="C110" s="40" t="n"/>
      <c r="D110" s="40" t="n"/>
      <c r="E110" s="40" t="n"/>
      <c r="F110" s="39" t="n"/>
      <c r="G110" s="44">
        <f>IF(A110="","",IF(F110&lt;&gt;"",F110-A110,TODAY()-A110))</f>
        <v/>
      </c>
      <c r="H110" s="42" t="n"/>
      <c r="I110" s="43" t="n"/>
      <c r="J110" s="40" t="n"/>
      <c r="K110" s="40" t="n"/>
      <c r="L110" s="40" t="n"/>
    </row>
    <row r="111">
      <c r="A111" s="39" t="n"/>
      <c r="B111" s="40" t="n"/>
      <c r="C111" s="40" t="n"/>
      <c r="D111" s="40" t="n"/>
      <c r="E111" s="40" t="n"/>
      <c r="F111" s="39" t="n"/>
      <c r="G111" s="44">
        <f>IF(A111="","",IF(F111&lt;&gt;"",F111-A111,TODAY()-A111))</f>
        <v/>
      </c>
      <c r="H111" s="42" t="n"/>
      <c r="I111" s="43" t="n"/>
      <c r="J111" s="40" t="n"/>
      <c r="K111" s="40" t="n"/>
      <c r="L111" s="40" t="n"/>
    </row>
    <row r="112">
      <c r="A112" s="39" t="n"/>
      <c r="B112" s="40" t="n"/>
      <c r="C112" s="40" t="n"/>
      <c r="D112" s="40" t="n"/>
      <c r="E112" s="40" t="n"/>
      <c r="F112" s="39" t="n"/>
      <c r="G112" s="44">
        <f>IF(A112="","",IF(F112&lt;&gt;"",F112-A112,TODAY()-A112))</f>
        <v/>
      </c>
      <c r="H112" s="42" t="n"/>
      <c r="I112" s="43" t="n"/>
      <c r="J112" s="40" t="n"/>
      <c r="K112" s="40" t="n"/>
      <c r="L112" s="40" t="n"/>
    </row>
    <row r="113">
      <c r="A113" s="39" t="n"/>
      <c r="B113" s="40" t="n"/>
      <c r="C113" s="40" t="n"/>
      <c r="D113" s="40" t="n"/>
      <c r="E113" s="40" t="n"/>
      <c r="F113" s="39" t="n"/>
      <c r="G113" s="44">
        <f>IF(A113="","",IF(F113&lt;&gt;"",F113-A113,TODAY()-A113))</f>
        <v/>
      </c>
      <c r="H113" s="42" t="n"/>
      <c r="I113" s="43" t="n"/>
      <c r="J113" s="40" t="n"/>
      <c r="K113" s="40" t="n"/>
      <c r="L113" s="40" t="n"/>
    </row>
    <row r="114">
      <c r="A114" s="39" t="n"/>
      <c r="B114" s="40" t="n"/>
      <c r="C114" s="40" t="n"/>
      <c r="D114" s="40" t="n"/>
      <c r="E114" s="40" t="n"/>
      <c r="F114" s="39" t="n"/>
      <c r="G114" s="44">
        <f>IF(A114="","",IF(F114&lt;&gt;"",F114-A114,TODAY()-A114))</f>
        <v/>
      </c>
      <c r="H114" s="42" t="n"/>
      <c r="I114" s="43" t="n"/>
      <c r="J114" s="40" t="n"/>
      <c r="K114" s="40" t="n"/>
      <c r="L114" s="40" t="n"/>
    </row>
    <row r="115">
      <c r="A115" s="39" t="n"/>
      <c r="B115" s="40" t="n"/>
      <c r="C115" s="40" t="n"/>
      <c r="D115" s="40" t="n"/>
      <c r="E115" s="40" t="n"/>
      <c r="F115" s="39" t="n"/>
      <c r="G115" s="44">
        <f>IF(A115="","",IF(F115&lt;&gt;"",F115-A115,TODAY()-A115))</f>
        <v/>
      </c>
      <c r="H115" s="42" t="n"/>
      <c r="I115" s="43" t="n"/>
      <c r="J115" s="40" t="n"/>
      <c r="K115" s="40" t="n"/>
      <c r="L115" s="40" t="n"/>
    </row>
    <row r="116">
      <c r="A116" s="39" t="n"/>
      <c r="B116" s="40" t="n"/>
      <c r="C116" s="40" t="n"/>
      <c r="D116" s="40" t="n"/>
      <c r="E116" s="40" t="n"/>
      <c r="F116" s="39" t="n"/>
      <c r="G116" s="44">
        <f>IF(A116="","",IF(F116&lt;&gt;"",F116-A116,TODAY()-A116))</f>
        <v/>
      </c>
      <c r="H116" s="42" t="n"/>
      <c r="I116" s="43" t="n"/>
      <c r="J116" s="40" t="n"/>
      <c r="K116" s="40" t="n"/>
      <c r="L116" s="40" t="n"/>
    </row>
    <row r="117">
      <c r="A117" s="39" t="n"/>
      <c r="B117" s="40" t="n"/>
      <c r="C117" s="40" t="n"/>
      <c r="D117" s="40" t="n"/>
      <c r="E117" s="40" t="n"/>
      <c r="F117" s="39" t="n"/>
      <c r="G117" s="44">
        <f>IF(A117="","",IF(F117&lt;&gt;"",F117-A117,TODAY()-A117))</f>
        <v/>
      </c>
      <c r="H117" s="42" t="n"/>
      <c r="I117" s="43" t="n"/>
      <c r="J117" s="40" t="n"/>
      <c r="K117" s="40" t="n"/>
      <c r="L117" s="40" t="n"/>
    </row>
    <row r="118">
      <c r="A118" s="39" t="n"/>
      <c r="B118" s="40" t="n"/>
      <c r="C118" s="40" t="n"/>
      <c r="D118" s="40" t="n"/>
      <c r="E118" s="40" t="n"/>
      <c r="F118" s="39" t="n"/>
      <c r="G118" s="44">
        <f>IF(A118="","",IF(F118&lt;&gt;"",F118-A118,TODAY()-A118))</f>
        <v/>
      </c>
      <c r="H118" s="42" t="n"/>
      <c r="I118" s="43" t="n"/>
      <c r="J118" s="40" t="n"/>
      <c r="K118" s="40" t="n"/>
      <c r="L118" s="40" t="n"/>
    </row>
    <row r="119">
      <c r="A119" s="39" t="n"/>
      <c r="B119" s="40" t="n"/>
      <c r="C119" s="40" t="n"/>
      <c r="D119" s="40" t="n"/>
      <c r="E119" s="40" t="n"/>
      <c r="F119" s="39" t="n"/>
      <c r="G119" s="44">
        <f>IF(A119="","",IF(F119&lt;&gt;"",F119-A119,TODAY()-A119))</f>
        <v/>
      </c>
      <c r="H119" s="42" t="n"/>
      <c r="I119" s="43" t="n"/>
      <c r="J119" s="40" t="n"/>
      <c r="K119" s="40" t="n"/>
      <c r="L119" s="40" t="n"/>
    </row>
    <row r="120">
      <c r="A120" s="39" t="n"/>
      <c r="B120" s="40" t="n"/>
      <c r="C120" s="40" t="n"/>
      <c r="D120" s="40" t="n"/>
      <c r="E120" s="40" t="n"/>
      <c r="F120" s="39" t="n"/>
      <c r="G120" s="44">
        <f>IF(A120="","",IF(F120&lt;&gt;"",F120-A120,TODAY()-A120))</f>
        <v/>
      </c>
      <c r="H120" s="42" t="n"/>
      <c r="I120" s="43" t="n"/>
      <c r="J120" s="40" t="n"/>
      <c r="K120" s="40" t="n"/>
      <c r="L120" s="40" t="n"/>
    </row>
    <row r="121">
      <c r="A121" s="39" t="n"/>
      <c r="B121" s="40" t="n"/>
      <c r="C121" s="40" t="n"/>
      <c r="D121" s="40" t="n"/>
      <c r="E121" s="40" t="n"/>
      <c r="F121" s="39" t="n"/>
      <c r="G121" s="44">
        <f>IF(A121="","",IF(F121&lt;&gt;"",F121-A121,TODAY()-A121))</f>
        <v/>
      </c>
      <c r="H121" s="42" t="n"/>
      <c r="I121" s="43" t="n"/>
      <c r="J121" s="40" t="n"/>
      <c r="K121" s="40" t="n"/>
      <c r="L121" s="40" t="n"/>
    </row>
    <row r="122">
      <c r="A122" s="39" t="n"/>
      <c r="B122" s="40" t="n"/>
      <c r="C122" s="40" t="n"/>
      <c r="D122" s="40" t="n"/>
      <c r="E122" s="40" t="n"/>
      <c r="F122" s="39" t="n"/>
      <c r="G122" s="44">
        <f>IF(A122="","",IF(F122&lt;&gt;"",F122-A122,TODAY()-A122))</f>
        <v/>
      </c>
      <c r="H122" s="42" t="n"/>
      <c r="I122" s="43" t="n"/>
      <c r="J122" s="40" t="n"/>
      <c r="K122" s="40" t="n"/>
      <c r="L122" s="40" t="n"/>
    </row>
    <row r="123">
      <c r="A123" s="39" t="n"/>
      <c r="B123" s="40" t="n"/>
      <c r="C123" s="40" t="n"/>
      <c r="D123" s="40" t="n"/>
      <c r="E123" s="40" t="n"/>
      <c r="F123" s="39" t="n"/>
      <c r="G123" s="44">
        <f>IF(A123="","",IF(F123&lt;&gt;"",F123-A123,TODAY()-A123))</f>
        <v/>
      </c>
      <c r="H123" s="42" t="n"/>
      <c r="I123" s="43" t="n"/>
      <c r="J123" s="40" t="n"/>
      <c r="K123" s="40" t="n"/>
      <c r="L123" s="40" t="n"/>
    </row>
    <row r="124">
      <c r="A124" s="39" t="n"/>
      <c r="B124" s="40" t="n"/>
      <c r="C124" s="40" t="n"/>
      <c r="D124" s="40" t="n"/>
      <c r="E124" s="40" t="n"/>
      <c r="F124" s="39" t="n"/>
      <c r="G124" s="44">
        <f>IF(A124="","",IF(F124&lt;&gt;"",F124-A124,TODAY()-A124))</f>
        <v/>
      </c>
      <c r="H124" s="42" t="n"/>
      <c r="I124" s="43" t="n"/>
      <c r="J124" s="40" t="n"/>
      <c r="K124" s="40" t="n"/>
      <c r="L124" s="40" t="n"/>
    </row>
    <row r="125">
      <c r="A125" s="39" t="n"/>
      <c r="B125" s="40" t="n"/>
      <c r="C125" s="40" t="n"/>
      <c r="D125" s="40" t="n"/>
      <c r="E125" s="40" t="n"/>
      <c r="F125" s="39" t="n"/>
      <c r="G125" s="44">
        <f>IF(A125="","",IF(F125&lt;&gt;"",F125-A125,TODAY()-A125))</f>
        <v/>
      </c>
      <c r="H125" s="42" t="n"/>
      <c r="I125" s="43" t="n"/>
      <c r="J125" s="40" t="n"/>
      <c r="K125" s="40" t="n"/>
      <c r="L125" s="40" t="n"/>
    </row>
    <row r="126">
      <c r="A126" s="39" t="n"/>
      <c r="B126" s="40" t="n"/>
      <c r="C126" s="40" t="n"/>
      <c r="D126" s="40" t="n"/>
      <c r="E126" s="40" t="n"/>
      <c r="F126" s="39" t="n"/>
      <c r="G126" s="44">
        <f>IF(A126="","",IF(F126&lt;&gt;"",F126-A126,TODAY()-A126))</f>
        <v/>
      </c>
      <c r="H126" s="42" t="n"/>
      <c r="I126" s="43" t="n"/>
      <c r="J126" s="40" t="n"/>
      <c r="K126" s="40" t="n"/>
      <c r="L126" s="40" t="n"/>
    </row>
    <row r="127">
      <c r="A127" s="39" t="n"/>
      <c r="B127" s="40" t="n"/>
      <c r="C127" s="40" t="n"/>
      <c r="D127" s="40" t="n"/>
      <c r="E127" s="40" t="n"/>
      <c r="F127" s="39" t="n"/>
      <c r="G127" s="44">
        <f>IF(A127="","",IF(F127&lt;&gt;"",F127-A127,TODAY()-A127))</f>
        <v/>
      </c>
      <c r="H127" s="42" t="n"/>
      <c r="I127" s="43" t="n"/>
      <c r="J127" s="40" t="n"/>
      <c r="K127" s="40" t="n"/>
      <c r="L127" s="40" t="n"/>
    </row>
    <row r="128">
      <c r="A128" s="39" t="n"/>
      <c r="B128" s="40" t="n"/>
      <c r="C128" s="40" t="n"/>
      <c r="D128" s="40" t="n"/>
      <c r="E128" s="40" t="n"/>
      <c r="F128" s="39" t="n"/>
      <c r="G128" s="44">
        <f>IF(A128="","",IF(F128&lt;&gt;"",F128-A128,TODAY()-A128))</f>
        <v/>
      </c>
      <c r="H128" s="42" t="n"/>
      <c r="I128" s="43" t="n"/>
      <c r="J128" s="40" t="n"/>
      <c r="K128" s="40" t="n"/>
      <c r="L128" s="40" t="n"/>
    </row>
    <row r="129">
      <c r="A129" s="39" t="n"/>
      <c r="B129" s="40" t="n"/>
      <c r="C129" s="40" t="n"/>
      <c r="D129" s="40" t="n"/>
      <c r="E129" s="40" t="n"/>
      <c r="F129" s="39" t="n"/>
      <c r="G129" s="44">
        <f>IF(A129="","",IF(F129&lt;&gt;"",F129-A129,TODAY()-A129))</f>
        <v/>
      </c>
      <c r="H129" s="42" t="n"/>
      <c r="I129" s="43" t="n"/>
      <c r="J129" s="40" t="n"/>
      <c r="K129" s="40" t="n"/>
      <c r="L129" s="40" t="n"/>
    </row>
    <row r="130">
      <c r="A130" s="39" t="n"/>
      <c r="B130" s="40" t="n"/>
      <c r="C130" s="40" t="n"/>
      <c r="D130" s="40" t="n"/>
      <c r="E130" s="40" t="n"/>
      <c r="F130" s="39" t="n"/>
      <c r="G130" s="44">
        <f>IF(A130="","",IF(F130&lt;&gt;"",F130-A130,TODAY()-A130))</f>
        <v/>
      </c>
      <c r="H130" s="42" t="n"/>
      <c r="I130" s="43" t="n"/>
      <c r="J130" s="40" t="n"/>
      <c r="K130" s="40" t="n"/>
      <c r="L130" s="40" t="n"/>
    </row>
    <row r="131">
      <c r="A131" s="39" t="n"/>
      <c r="B131" s="40" t="n"/>
      <c r="C131" s="40" t="n"/>
      <c r="D131" s="40" t="n"/>
      <c r="E131" s="40" t="n"/>
      <c r="F131" s="39" t="n"/>
      <c r="G131" s="44">
        <f>IF(A131="","",IF(F131&lt;&gt;"",F131-A131,TODAY()-A131))</f>
        <v/>
      </c>
      <c r="H131" s="42" t="n"/>
      <c r="I131" s="43" t="n"/>
      <c r="J131" s="40" t="n"/>
      <c r="K131" s="40" t="n"/>
      <c r="L131" s="40" t="n"/>
    </row>
    <row r="132">
      <c r="A132" s="39" t="n"/>
      <c r="B132" s="40" t="n"/>
      <c r="C132" s="40" t="n"/>
      <c r="D132" s="40" t="n"/>
      <c r="E132" s="40" t="n"/>
      <c r="F132" s="39" t="n"/>
      <c r="G132" s="44">
        <f>IF(A132="","",IF(F132&lt;&gt;"",F132-A132,TODAY()-A132))</f>
        <v/>
      </c>
      <c r="H132" s="42" t="n"/>
      <c r="I132" s="43" t="n"/>
      <c r="J132" s="40" t="n"/>
      <c r="K132" s="40" t="n"/>
      <c r="L132" s="40" t="n"/>
    </row>
    <row r="133">
      <c r="A133" s="39" t="n"/>
      <c r="B133" s="40" t="n"/>
      <c r="C133" s="40" t="n"/>
      <c r="D133" s="40" t="n"/>
      <c r="E133" s="40" t="n"/>
      <c r="F133" s="39" t="n"/>
      <c r="G133" s="44">
        <f>IF(A133="","",IF(F133&lt;&gt;"",F133-A133,TODAY()-A133))</f>
        <v/>
      </c>
      <c r="H133" s="42" t="n"/>
      <c r="I133" s="43" t="n"/>
      <c r="J133" s="40" t="n"/>
      <c r="K133" s="40" t="n"/>
      <c r="L133" s="40" t="n"/>
    </row>
    <row r="134">
      <c r="A134" s="39" t="n"/>
      <c r="B134" s="40" t="n"/>
      <c r="C134" s="40" t="n"/>
      <c r="D134" s="40" t="n"/>
      <c r="E134" s="40" t="n"/>
      <c r="F134" s="39" t="n"/>
      <c r="G134" s="44">
        <f>IF(A134="","",IF(F134&lt;&gt;"",F134-A134,TODAY()-A134))</f>
        <v/>
      </c>
      <c r="H134" s="42" t="n"/>
      <c r="I134" s="43" t="n"/>
      <c r="J134" s="40" t="n"/>
      <c r="K134" s="40" t="n"/>
      <c r="L134" s="40" t="n"/>
    </row>
    <row r="135">
      <c r="A135" s="39" t="n"/>
      <c r="B135" s="40" t="n"/>
      <c r="C135" s="40" t="n"/>
      <c r="D135" s="40" t="n"/>
      <c r="E135" s="40" t="n"/>
      <c r="F135" s="39" t="n"/>
      <c r="G135" s="44">
        <f>IF(A135="","",IF(F135&lt;&gt;"",F135-A135,TODAY()-A135))</f>
        <v/>
      </c>
      <c r="H135" s="42" t="n"/>
      <c r="I135" s="43" t="n"/>
      <c r="J135" s="40" t="n"/>
      <c r="K135" s="40" t="n"/>
      <c r="L135" s="40" t="n"/>
    </row>
    <row r="136">
      <c r="A136" s="39" t="n"/>
      <c r="B136" s="40" t="n"/>
      <c r="C136" s="40" t="n"/>
      <c r="D136" s="40" t="n"/>
      <c r="E136" s="40" t="n"/>
      <c r="F136" s="39" t="n"/>
      <c r="G136" s="44">
        <f>IF(A136="","",IF(F136&lt;&gt;"",F136-A136,TODAY()-A136))</f>
        <v/>
      </c>
      <c r="H136" s="42" t="n"/>
      <c r="I136" s="43" t="n"/>
      <c r="J136" s="40" t="n"/>
      <c r="K136" s="40" t="n"/>
      <c r="L136" s="40" t="n"/>
    </row>
    <row r="137">
      <c r="A137" s="39" t="n"/>
      <c r="B137" s="40" t="n"/>
      <c r="C137" s="40" t="n"/>
      <c r="D137" s="40" t="n"/>
      <c r="E137" s="40" t="n"/>
      <c r="F137" s="39" t="n"/>
      <c r="G137" s="44">
        <f>IF(A137="","",IF(F137&lt;&gt;"",F137-A137,TODAY()-A137))</f>
        <v/>
      </c>
      <c r="H137" s="42" t="n"/>
      <c r="I137" s="43" t="n"/>
      <c r="J137" s="40" t="n"/>
      <c r="K137" s="40" t="n"/>
      <c r="L137" s="40" t="n"/>
    </row>
    <row r="138">
      <c r="A138" s="39" t="n"/>
      <c r="B138" s="40" t="n"/>
      <c r="C138" s="40" t="n"/>
      <c r="D138" s="40" t="n"/>
      <c r="E138" s="40" t="n"/>
      <c r="F138" s="39" t="n"/>
      <c r="G138" s="44">
        <f>IF(A138="","",IF(F138&lt;&gt;"",F138-A138,TODAY()-A138))</f>
        <v/>
      </c>
      <c r="H138" s="42" t="n"/>
      <c r="I138" s="43" t="n"/>
      <c r="J138" s="40" t="n"/>
      <c r="K138" s="40" t="n"/>
      <c r="L138" s="40" t="n"/>
    </row>
    <row r="139">
      <c r="A139" s="39" t="n"/>
      <c r="B139" s="40" t="n"/>
      <c r="C139" s="40" t="n"/>
      <c r="D139" s="40" t="n"/>
      <c r="E139" s="40" t="n"/>
      <c r="F139" s="39" t="n"/>
      <c r="G139" s="44">
        <f>IF(A139="","",IF(F139&lt;&gt;"",F139-A139,TODAY()-A139))</f>
        <v/>
      </c>
      <c r="H139" s="42" t="n"/>
      <c r="I139" s="43" t="n"/>
      <c r="J139" s="40" t="n"/>
      <c r="K139" s="40" t="n"/>
      <c r="L139" s="40" t="n"/>
    </row>
    <row r="140">
      <c r="A140" s="39" t="n"/>
      <c r="B140" s="40" t="n"/>
      <c r="C140" s="40" t="n"/>
      <c r="D140" s="40" t="n"/>
      <c r="E140" s="40" t="n"/>
      <c r="F140" s="39" t="n"/>
      <c r="G140" s="44">
        <f>IF(A140="","",IF(F140&lt;&gt;"",F140-A140,TODAY()-A140))</f>
        <v/>
      </c>
      <c r="H140" s="42" t="n"/>
      <c r="I140" s="43" t="n"/>
      <c r="J140" s="40" t="n"/>
      <c r="K140" s="40" t="n"/>
      <c r="L140" s="40" t="n"/>
    </row>
    <row r="141">
      <c r="A141" s="39" t="n"/>
      <c r="B141" s="40" t="n"/>
      <c r="C141" s="40" t="n"/>
      <c r="D141" s="40" t="n"/>
      <c r="E141" s="40" t="n"/>
      <c r="F141" s="39" t="n"/>
      <c r="G141" s="44">
        <f>IF(A141="","",IF(F141&lt;&gt;"",F141-A141,TODAY()-A141))</f>
        <v/>
      </c>
      <c r="H141" s="42" t="n"/>
      <c r="I141" s="43" t="n"/>
      <c r="J141" s="40" t="n"/>
      <c r="K141" s="40" t="n"/>
      <c r="L141" s="40" t="n"/>
    </row>
    <row r="142">
      <c r="A142" s="39" t="n"/>
      <c r="B142" s="40" t="n"/>
      <c r="C142" s="40" t="n"/>
      <c r="D142" s="40" t="n"/>
      <c r="E142" s="40" t="n"/>
      <c r="F142" s="39" t="n"/>
      <c r="G142" s="44">
        <f>IF(A142="","",IF(F142&lt;&gt;"",F142-A142,TODAY()-A142))</f>
        <v/>
      </c>
      <c r="H142" s="42" t="n"/>
      <c r="I142" s="43" t="n"/>
      <c r="J142" s="40" t="n"/>
      <c r="K142" s="40" t="n"/>
      <c r="L142" s="40" t="n"/>
    </row>
    <row r="143">
      <c r="A143" s="39" t="n"/>
      <c r="B143" s="40" t="n"/>
      <c r="C143" s="40" t="n"/>
      <c r="D143" s="40" t="n"/>
      <c r="E143" s="40" t="n"/>
      <c r="F143" s="39" t="n"/>
      <c r="G143" s="44">
        <f>IF(A143="","",IF(F143&lt;&gt;"",F143-A143,TODAY()-A143))</f>
        <v/>
      </c>
      <c r="H143" s="42" t="n"/>
      <c r="I143" s="43" t="n"/>
      <c r="J143" s="40" t="n"/>
      <c r="K143" s="40" t="n"/>
      <c r="L143" s="40" t="n"/>
    </row>
    <row r="144">
      <c r="A144" s="39" t="n"/>
      <c r="B144" s="40" t="n"/>
      <c r="C144" s="40" t="n"/>
      <c r="D144" s="40" t="n"/>
      <c r="E144" s="40" t="n"/>
      <c r="F144" s="39" t="n"/>
      <c r="G144" s="44">
        <f>IF(A144="","",IF(F144&lt;&gt;"",F144-A144,TODAY()-A144))</f>
        <v/>
      </c>
      <c r="H144" s="42" t="n"/>
      <c r="I144" s="43" t="n"/>
      <c r="J144" s="40" t="n"/>
      <c r="K144" s="40" t="n"/>
      <c r="L144" s="40" t="n"/>
    </row>
    <row r="145">
      <c r="A145" s="39" t="n"/>
      <c r="B145" s="40" t="n"/>
      <c r="C145" s="40" t="n"/>
      <c r="D145" s="40" t="n"/>
      <c r="E145" s="40" t="n"/>
      <c r="F145" s="39" t="n"/>
      <c r="G145" s="44">
        <f>IF(A145="","",IF(F145&lt;&gt;"",F145-A145,TODAY()-A145))</f>
        <v/>
      </c>
      <c r="H145" s="42" t="n"/>
      <c r="I145" s="43" t="n"/>
      <c r="J145" s="40" t="n"/>
      <c r="K145" s="40" t="n"/>
      <c r="L145" s="40" t="n"/>
    </row>
    <row r="146">
      <c r="A146" s="39" t="n"/>
      <c r="B146" s="40" t="n"/>
      <c r="C146" s="40" t="n"/>
      <c r="D146" s="40" t="n"/>
      <c r="E146" s="40" t="n"/>
      <c r="F146" s="39" t="n"/>
      <c r="G146" s="44">
        <f>IF(A146="","",IF(F146&lt;&gt;"",F146-A146,TODAY()-A146))</f>
        <v/>
      </c>
      <c r="H146" s="42" t="n"/>
      <c r="I146" s="43" t="n"/>
      <c r="J146" s="40" t="n"/>
      <c r="K146" s="40" t="n"/>
      <c r="L146" s="40" t="n"/>
    </row>
    <row r="147">
      <c r="A147" s="39" t="n"/>
      <c r="B147" s="40" t="n"/>
      <c r="C147" s="40" t="n"/>
      <c r="D147" s="40" t="n"/>
      <c r="E147" s="40" t="n"/>
      <c r="F147" s="39" t="n"/>
      <c r="G147" s="44">
        <f>IF(A147="","",IF(F147&lt;&gt;"",F147-A147,TODAY()-A147))</f>
        <v/>
      </c>
      <c r="H147" s="42" t="n"/>
      <c r="I147" s="43" t="n"/>
      <c r="J147" s="40" t="n"/>
      <c r="K147" s="40" t="n"/>
      <c r="L147" s="40" t="n"/>
    </row>
    <row r="148">
      <c r="A148" s="39" t="n"/>
      <c r="B148" s="40" t="n"/>
      <c r="C148" s="40" t="n"/>
      <c r="D148" s="40" t="n"/>
      <c r="E148" s="40" t="n"/>
      <c r="F148" s="39" t="n"/>
      <c r="G148" s="44">
        <f>IF(A148="","",IF(F148&lt;&gt;"",F148-A148,TODAY()-A148))</f>
        <v/>
      </c>
      <c r="H148" s="42" t="n"/>
      <c r="I148" s="43" t="n"/>
      <c r="J148" s="40" t="n"/>
      <c r="K148" s="40" t="n"/>
      <c r="L148" s="40" t="n"/>
    </row>
    <row r="149">
      <c r="A149" s="39" t="n"/>
      <c r="B149" s="40" t="n"/>
      <c r="C149" s="40" t="n"/>
      <c r="D149" s="40" t="n"/>
      <c r="E149" s="40" t="n"/>
      <c r="F149" s="39" t="n"/>
      <c r="G149" s="44">
        <f>IF(A149="","",IF(F149&lt;&gt;"",F149-A149,TODAY()-A149))</f>
        <v/>
      </c>
      <c r="H149" s="42" t="n"/>
      <c r="I149" s="43" t="n"/>
      <c r="J149" s="40" t="n"/>
      <c r="K149" s="40" t="n"/>
      <c r="L149" s="40" t="n"/>
    </row>
    <row r="150">
      <c r="A150" s="39" t="n"/>
      <c r="B150" s="40" t="n"/>
      <c r="C150" s="40" t="n"/>
      <c r="D150" s="40" t="n"/>
      <c r="E150" s="40" t="n"/>
      <c r="F150" s="39" t="n"/>
      <c r="G150" s="44">
        <f>IF(A150="","",IF(F150&lt;&gt;"",F150-A150,TODAY()-A150))</f>
        <v/>
      </c>
      <c r="H150" s="42" t="n"/>
      <c r="I150" s="43" t="n"/>
      <c r="J150" s="40" t="n"/>
      <c r="K150" s="40" t="n"/>
      <c r="L150" s="40" t="n"/>
    </row>
    <row r="151">
      <c r="A151" s="39" t="n"/>
      <c r="B151" s="40" t="n"/>
      <c r="C151" s="40" t="n"/>
      <c r="D151" s="40" t="n"/>
      <c r="E151" s="40" t="n"/>
      <c r="F151" s="39" t="n"/>
      <c r="G151" s="44">
        <f>IF(A151="","",IF(F151&lt;&gt;"",F151-A151,TODAY()-A151))</f>
        <v/>
      </c>
      <c r="H151" s="42" t="n"/>
      <c r="I151" s="43" t="n"/>
      <c r="J151" s="40" t="n"/>
      <c r="K151" s="40" t="n"/>
      <c r="L151" s="40" t="n"/>
    </row>
    <row r="152">
      <c r="A152" s="39" t="n"/>
      <c r="B152" s="40" t="n"/>
      <c r="C152" s="40" t="n"/>
      <c r="D152" s="40" t="n"/>
      <c r="E152" s="40" t="n"/>
      <c r="F152" s="39" t="n"/>
      <c r="G152" s="44">
        <f>IF(A152="","",IF(F152&lt;&gt;"",F152-A152,TODAY()-A152))</f>
        <v/>
      </c>
      <c r="H152" s="42" t="n"/>
      <c r="I152" s="43" t="n"/>
      <c r="J152" s="40" t="n"/>
      <c r="K152" s="40" t="n"/>
      <c r="L152" s="40" t="n"/>
    </row>
    <row r="153">
      <c r="A153" s="39" t="n"/>
      <c r="B153" s="40" t="n"/>
      <c r="C153" s="40" t="n"/>
      <c r="D153" s="40" t="n"/>
      <c r="E153" s="40" t="n"/>
      <c r="F153" s="39" t="n"/>
      <c r="G153" s="44">
        <f>IF(A153="","",IF(F153&lt;&gt;"",F153-A153,TODAY()-A153))</f>
        <v/>
      </c>
      <c r="H153" s="42" t="n"/>
      <c r="I153" s="43" t="n"/>
      <c r="J153" s="40" t="n"/>
      <c r="K153" s="40" t="n"/>
      <c r="L153" s="40" t="n"/>
    </row>
    <row r="154">
      <c r="A154" s="39" t="n"/>
      <c r="B154" s="40" t="n"/>
      <c r="C154" s="40" t="n"/>
      <c r="D154" s="40" t="n"/>
      <c r="E154" s="40" t="n"/>
      <c r="F154" s="39" t="n"/>
      <c r="G154" s="44">
        <f>IF(A154="","",IF(F154&lt;&gt;"",F154-A154,TODAY()-A154))</f>
        <v/>
      </c>
      <c r="H154" s="42" t="n"/>
      <c r="I154" s="43" t="n"/>
      <c r="J154" s="40" t="n"/>
      <c r="K154" s="40" t="n"/>
      <c r="L154" s="40" t="n"/>
    </row>
    <row r="155">
      <c r="A155" s="39" t="n"/>
      <c r="B155" s="40" t="n"/>
      <c r="C155" s="40" t="n"/>
      <c r="D155" s="40" t="n"/>
      <c r="E155" s="40" t="n"/>
      <c r="F155" s="39" t="n"/>
      <c r="G155" s="44">
        <f>IF(A155="","",IF(F155&lt;&gt;"",F155-A155,TODAY()-A155))</f>
        <v/>
      </c>
      <c r="H155" s="42" t="n"/>
      <c r="I155" s="43" t="n"/>
      <c r="J155" s="40" t="n"/>
      <c r="K155" s="40" t="n"/>
      <c r="L155" s="40" t="n"/>
    </row>
    <row r="156">
      <c r="A156" s="39" t="n"/>
      <c r="B156" s="40" t="n"/>
      <c r="C156" s="40" t="n"/>
      <c r="D156" s="40" t="n"/>
      <c r="E156" s="40" t="n"/>
      <c r="F156" s="39" t="n"/>
      <c r="G156" s="44">
        <f>IF(A156="","",IF(F156&lt;&gt;"",F156-A156,TODAY()-A156))</f>
        <v/>
      </c>
      <c r="H156" s="42" t="n"/>
      <c r="I156" s="43" t="n"/>
      <c r="J156" s="40" t="n"/>
      <c r="K156" s="40" t="n"/>
      <c r="L156" s="40" t="n"/>
    </row>
    <row r="157">
      <c r="A157" s="39" t="n"/>
      <c r="B157" s="40" t="n"/>
      <c r="C157" s="40" t="n"/>
      <c r="D157" s="40" t="n"/>
      <c r="E157" s="40" t="n"/>
      <c r="F157" s="39" t="n"/>
      <c r="G157" s="44">
        <f>IF(A157="","",IF(F157&lt;&gt;"",F157-A157,TODAY()-A157))</f>
        <v/>
      </c>
      <c r="H157" s="42" t="n"/>
      <c r="I157" s="43" t="n"/>
      <c r="J157" s="40" t="n"/>
      <c r="K157" s="40" t="n"/>
      <c r="L157" s="40" t="n"/>
    </row>
    <row r="158">
      <c r="A158" s="39" t="n"/>
      <c r="B158" s="40" t="n"/>
      <c r="C158" s="40" t="n"/>
      <c r="D158" s="40" t="n"/>
      <c r="E158" s="40" t="n"/>
      <c r="F158" s="39" t="n"/>
      <c r="G158" s="44">
        <f>IF(A158="","",IF(F158&lt;&gt;"",F158-A158,TODAY()-A158))</f>
        <v/>
      </c>
      <c r="H158" s="42" t="n"/>
      <c r="I158" s="43" t="n"/>
      <c r="J158" s="40" t="n"/>
      <c r="K158" s="40" t="n"/>
      <c r="L158" s="40" t="n"/>
    </row>
    <row r="159">
      <c r="A159" s="39" t="n"/>
      <c r="B159" s="40" t="n"/>
      <c r="C159" s="40" t="n"/>
      <c r="D159" s="40" t="n"/>
      <c r="E159" s="40" t="n"/>
      <c r="F159" s="39" t="n"/>
      <c r="G159" s="44">
        <f>IF(A159="","",IF(F159&lt;&gt;"",F159-A159,TODAY()-A159))</f>
        <v/>
      </c>
      <c r="H159" s="42" t="n"/>
      <c r="I159" s="43" t="n"/>
      <c r="J159" s="40" t="n"/>
      <c r="K159" s="40" t="n"/>
      <c r="L159" s="40" t="n"/>
    </row>
    <row r="160">
      <c r="A160" s="39" t="n"/>
      <c r="B160" s="40" t="n"/>
      <c r="C160" s="40" t="n"/>
      <c r="D160" s="40" t="n"/>
      <c r="E160" s="40" t="n"/>
      <c r="F160" s="39" t="n"/>
      <c r="G160" s="44">
        <f>IF(A160="","",IF(F160&lt;&gt;"",F160-A160,TODAY()-A160))</f>
        <v/>
      </c>
      <c r="H160" s="42" t="n"/>
      <c r="I160" s="43" t="n"/>
      <c r="J160" s="40" t="n"/>
      <c r="K160" s="40" t="n"/>
      <c r="L160" s="40" t="n"/>
    </row>
    <row r="161">
      <c r="A161" s="39" t="n"/>
      <c r="B161" s="40" t="n"/>
      <c r="C161" s="40" t="n"/>
      <c r="D161" s="40" t="n"/>
      <c r="E161" s="40" t="n"/>
      <c r="F161" s="39" t="n"/>
      <c r="G161" s="44">
        <f>IF(A161="","",IF(F161&lt;&gt;"",F161-A161,TODAY()-A161))</f>
        <v/>
      </c>
      <c r="H161" s="42" t="n"/>
      <c r="I161" s="43" t="n"/>
      <c r="J161" s="40" t="n"/>
      <c r="K161" s="40" t="n"/>
      <c r="L161" s="40" t="n"/>
    </row>
    <row r="162">
      <c r="A162" s="39" t="n"/>
      <c r="B162" s="40" t="n"/>
      <c r="C162" s="40" t="n"/>
      <c r="D162" s="40" t="n"/>
      <c r="E162" s="40" t="n"/>
      <c r="F162" s="39" t="n"/>
      <c r="G162" s="44">
        <f>IF(A162="","",IF(F162&lt;&gt;"",F162-A162,TODAY()-A162))</f>
        <v/>
      </c>
      <c r="H162" s="42" t="n"/>
      <c r="I162" s="43" t="n"/>
      <c r="J162" s="40" t="n"/>
      <c r="K162" s="40" t="n"/>
      <c r="L162" s="40" t="n"/>
    </row>
    <row r="163">
      <c r="A163" s="39" t="n"/>
      <c r="B163" s="40" t="n"/>
      <c r="C163" s="40" t="n"/>
      <c r="D163" s="40" t="n"/>
      <c r="E163" s="40" t="n"/>
      <c r="F163" s="39" t="n"/>
      <c r="G163" s="44">
        <f>IF(A163="","",IF(F163&lt;&gt;"",F163-A163,TODAY()-A163))</f>
        <v/>
      </c>
      <c r="H163" s="42" t="n"/>
      <c r="I163" s="43" t="n"/>
      <c r="J163" s="40" t="n"/>
      <c r="K163" s="40" t="n"/>
      <c r="L163" s="40" t="n"/>
    </row>
    <row r="164">
      <c r="A164" s="39" t="n"/>
      <c r="B164" s="40" t="n"/>
      <c r="C164" s="40" t="n"/>
      <c r="D164" s="40" t="n"/>
      <c r="E164" s="40" t="n"/>
      <c r="F164" s="39" t="n"/>
      <c r="G164" s="44">
        <f>IF(A164="","",IF(F164&lt;&gt;"",F164-A164,TODAY()-A164))</f>
        <v/>
      </c>
      <c r="H164" s="42" t="n"/>
      <c r="I164" s="43" t="n"/>
      <c r="J164" s="40" t="n"/>
      <c r="K164" s="40" t="n"/>
      <c r="L164" s="40" t="n"/>
    </row>
    <row r="165">
      <c r="A165" s="39" t="n"/>
      <c r="B165" s="40" t="n"/>
      <c r="C165" s="40" t="n"/>
      <c r="D165" s="40" t="n"/>
      <c r="E165" s="40" t="n"/>
      <c r="F165" s="39" t="n"/>
      <c r="G165" s="44">
        <f>IF(A165="","",IF(F165&lt;&gt;"",F165-A165,TODAY()-A165))</f>
        <v/>
      </c>
      <c r="H165" s="42" t="n"/>
      <c r="I165" s="43" t="n"/>
      <c r="J165" s="40" t="n"/>
      <c r="K165" s="40" t="n"/>
      <c r="L165" s="40" t="n"/>
    </row>
    <row r="166">
      <c r="A166" s="39" t="n"/>
      <c r="B166" s="40" t="n"/>
      <c r="C166" s="40" t="n"/>
      <c r="D166" s="40" t="n"/>
      <c r="E166" s="40" t="n"/>
      <c r="F166" s="39" t="n"/>
      <c r="G166" s="44">
        <f>IF(A166="","",IF(F166&lt;&gt;"",F166-A166,TODAY()-A166))</f>
        <v/>
      </c>
      <c r="H166" s="42" t="n"/>
      <c r="I166" s="43" t="n"/>
      <c r="J166" s="40" t="n"/>
      <c r="K166" s="40" t="n"/>
      <c r="L166" s="40" t="n"/>
    </row>
    <row r="167">
      <c r="A167" s="39" t="n"/>
      <c r="B167" s="40" t="n"/>
      <c r="C167" s="40" t="n"/>
      <c r="D167" s="40" t="n"/>
      <c r="E167" s="40" t="n"/>
      <c r="F167" s="39" t="n"/>
      <c r="G167" s="44">
        <f>IF(A167="","",IF(F167&lt;&gt;"",F167-A167,TODAY()-A167))</f>
        <v/>
      </c>
      <c r="H167" s="42" t="n"/>
      <c r="I167" s="43" t="n"/>
      <c r="J167" s="40" t="n"/>
      <c r="K167" s="40" t="n"/>
      <c r="L167" s="40" t="n"/>
    </row>
    <row r="168">
      <c r="A168" s="39" t="n"/>
      <c r="B168" s="40" t="n"/>
      <c r="C168" s="40" t="n"/>
      <c r="D168" s="40" t="n"/>
      <c r="E168" s="40" t="n"/>
      <c r="F168" s="39" t="n"/>
      <c r="G168" s="44">
        <f>IF(A168="","",IF(F168&lt;&gt;"",F168-A168,TODAY()-A168))</f>
        <v/>
      </c>
      <c r="H168" s="42" t="n"/>
      <c r="I168" s="43" t="n"/>
      <c r="J168" s="40" t="n"/>
      <c r="K168" s="40" t="n"/>
      <c r="L168" s="40" t="n"/>
    </row>
    <row r="169">
      <c r="A169" s="39" t="n"/>
      <c r="B169" s="40" t="n"/>
      <c r="C169" s="40" t="n"/>
      <c r="D169" s="40" t="n"/>
      <c r="E169" s="40" t="n"/>
      <c r="F169" s="39" t="n"/>
      <c r="G169" s="44">
        <f>IF(A169="","",IF(F169&lt;&gt;"",F169-A169,TODAY()-A169))</f>
        <v/>
      </c>
      <c r="H169" s="42" t="n"/>
      <c r="I169" s="43" t="n"/>
      <c r="J169" s="40" t="n"/>
      <c r="K169" s="40" t="n"/>
      <c r="L169" s="40" t="n"/>
    </row>
    <row r="170">
      <c r="A170" s="39" t="n"/>
      <c r="B170" s="40" t="n"/>
      <c r="C170" s="40" t="n"/>
      <c r="D170" s="40" t="n"/>
      <c r="E170" s="40" t="n"/>
      <c r="F170" s="39" t="n"/>
      <c r="G170" s="44">
        <f>IF(A170="","",IF(F170&lt;&gt;"",F170-A170,TODAY()-A170))</f>
        <v/>
      </c>
      <c r="H170" s="42" t="n"/>
      <c r="I170" s="43" t="n"/>
      <c r="J170" s="40" t="n"/>
      <c r="K170" s="40" t="n"/>
      <c r="L170" s="40" t="n"/>
    </row>
    <row r="171">
      <c r="A171" s="39" t="n"/>
      <c r="B171" s="40" t="n"/>
      <c r="C171" s="40" t="n"/>
      <c r="D171" s="40" t="n"/>
      <c r="E171" s="40" t="n"/>
      <c r="F171" s="39" t="n"/>
      <c r="G171" s="44">
        <f>IF(A171="","",IF(F171&lt;&gt;"",F171-A171,TODAY()-A171))</f>
        <v/>
      </c>
      <c r="H171" s="42" t="n"/>
      <c r="I171" s="43" t="n"/>
      <c r="J171" s="40" t="n"/>
      <c r="K171" s="40" t="n"/>
      <c r="L171" s="40" t="n"/>
    </row>
    <row r="172">
      <c r="A172" s="39" t="n"/>
      <c r="B172" s="40" t="n"/>
      <c r="C172" s="40" t="n"/>
      <c r="D172" s="40" t="n"/>
      <c r="E172" s="40" t="n"/>
      <c r="F172" s="39" t="n"/>
      <c r="G172" s="44">
        <f>IF(A172="","",IF(F172&lt;&gt;"",F172-A172,TODAY()-A172))</f>
        <v/>
      </c>
      <c r="H172" s="42" t="n"/>
      <c r="I172" s="43" t="n"/>
      <c r="J172" s="40" t="n"/>
      <c r="K172" s="40" t="n"/>
      <c r="L172" s="40" t="n"/>
    </row>
    <row r="173">
      <c r="A173" s="39" t="n"/>
      <c r="B173" s="40" t="n"/>
      <c r="C173" s="40" t="n"/>
      <c r="D173" s="40" t="n"/>
      <c r="E173" s="40" t="n"/>
      <c r="F173" s="39" t="n"/>
      <c r="G173" s="44">
        <f>IF(A173="","",IF(F173&lt;&gt;"",F173-A173,TODAY()-A173))</f>
        <v/>
      </c>
      <c r="H173" s="42" t="n"/>
      <c r="I173" s="43" t="n"/>
      <c r="J173" s="40" t="n"/>
      <c r="K173" s="40" t="n"/>
      <c r="L173" s="40" t="n"/>
    </row>
    <row r="174">
      <c r="A174" s="39" t="n"/>
      <c r="B174" s="40" t="n"/>
      <c r="C174" s="40" t="n"/>
      <c r="D174" s="40" t="n"/>
      <c r="E174" s="40" t="n"/>
      <c r="F174" s="39" t="n"/>
      <c r="G174" s="44">
        <f>IF(A174="","",IF(F174&lt;&gt;"",F174-A174,TODAY()-A174))</f>
        <v/>
      </c>
      <c r="H174" s="42" t="n"/>
      <c r="I174" s="43" t="n"/>
      <c r="J174" s="40" t="n"/>
      <c r="K174" s="40" t="n"/>
      <c r="L174" s="40" t="n"/>
    </row>
    <row r="175">
      <c r="A175" s="39" t="n"/>
      <c r="B175" s="40" t="n"/>
      <c r="C175" s="40" t="n"/>
      <c r="D175" s="40" t="n"/>
      <c r="E175" s="40" t="n"/>
      <c r="F175" s="39" t="n"/>
      <c r="G175" s="44">
        <f>IF(A175="","",IF(F175&lt;&gt;"",F175-A175,TODAY()-A175))</f>
        <v/>
      </c>
      <c r="H175" s="42" t="n"/>
      <c r="I175" s="43" t="n"/>
      <c r="J175" s="40" t="n"/>
      <c r="K175" s="40" t="n"/>
      <c r="L175" s="40" t="n"/>
    </row>
    <row r="176">
      <c r="A176" s="39" t="n"/>
      <c r="B176" s="40" t="n"/>
      <c r="C176" s="40" t="n"/>
      <c r="D176" s="40" t="n"/>
      <c r="E176" s="40" t="n"/>
      <c r="F176" s="39" t="n"/>
      <c r="G176" s="44">
        <f>IF(A176="","",IF(F176&lt;&gt;"",F176-A176,TODAY()-A176))</f>
        <v/>
      </c>
      <c r="H176" s="42" t="n"/>
      <c r="I176" s="43" t="n"/>
      <c r="J176" s="40" t="n"/>
      <c r="K176" s="40" t="n"/>
      <c r="L176" s="40" t="n"/>
    </row>
    <row r="177">
      <c r="A177" s="39" t="n"/>
      <c r="B177" s="40" t="n"/>
      <c r="C177" s="40" t="n"/>
      <c r="D177" s="40" t="n"/>
      <c r="E177" s="40" t="n"/>
      <c r="F177" s="39" t="n"/>
      <c r="G177" s="44">
        <f>IF(A177="","",IF(F177&lt;&gt;"",F177-A177,TODAY()-A177))</f>
        <v/>
      </c>
      <c r="H177" s="42" t="n"/>
      <c r="I177" s="43" t="n"/>
      <c r="J177" s="40" t="n"/>
      <c r="K177" s="40" t="n"/>
      <c r="L177" s="40" t="n"/>
    </row>
    <row r="178">
      <c r="A178" s="39" t="n"/>
      <c r="B178" s="40" t="n"/>
      <c r="C178" s="40" t="n"/>
      <c r="D178" s="40" t="n"/>
      <c r="E178" s="40" t="n"/>
      <c r="F178" s="39" t="n"/>
      <c r="G178" s="44">
        <f>IF(A178="","",IF(F178&lt;&gt;"",F178-A178,TODAY()-A178))</f>
        <v/>
      </c>
      <c r="H178" s="42" t="n"/>
      <c r="I178" s="43" t="n"/>
      <c r="J178" s="40" t="n"/>
      <c r="K178" s="40" t="n"/>
      <c r="L178" s="40" t="n"/>
    </row>
    <row r="179">
      <c r="A179" s="39" t="n"/>
      <c r="B179" s="40" t="n"/>
      <c r="C179" s="40" t="n"/>
      <c r="D179" s="40" t="n"/>
      <c r="E179" s="40" t="n"/>
      <c r="F179" s="39" t="n"/>
      <c r="G179" s="44">
        <f>IF(A179="","",IF(F179&lt;&gt;"",F179-A179,TODAY()-A179))</f>
        <v/>
      </c>
      <c r="H179" s="42" t="n"/>
      <c r="I179" s="43" t="n"/>
      <c r="J179" s="40" t="n"/>
      <c r="K179" s="40" t="n"/>
      <c r="L179" s="40" t="n"/>
    </row>
    <row r="180">
      <c r="A180" s="39" t="n"/>
      <c r="B180" s="40" t="n"/>
      <c r="C180" s="40" t="n"/>
      <c r="D180" s="40" t="n"/>
      <c r="E180" s="40" t="n"/>
      <c r="F180" s="39" t="n"/>
      <c r="G180" s="44">
        <f>IF(A180="","",IF(F180&lt;&gt;"",F180-A180,TODAY()-A180))</f>
        <v/>
      </c>
      <c r="H180" s="42" t="n"/>
      <c r="I180" s="43" t="n"/>
      <c r="J180" s="40" t="n"/>
      <c r="K180" s="40" t="n"/>
      <c r="L180" s="40" t="n"/>
    </row>
    <row r="181">
      <c r="A181" s="39" t="n"/>
      <c r="B181" s="40" t="n"/>
      <c r="C181" s="40" t="n"/>
      <c r="D181" s="40" t="n"/>
      <c r="E181" s="40" t="n"/>
      <c r="F181" s="39" t="n"/>
      <c r="G181" s="44">
        <f>IF(A181="","",IF(F181&lt;&gt;"",F181-A181,TODAY()-A181))</f>
        <v/>
      </c>
      <c r="H181" s="42" t="n"/>
      <c r="I181" s="43" t="n"/>
      <c r="J181" s="40" t="n"/>
      <c r="K181" s="40" t="n"/>
      <c r="L181" s="40" t="n"/>
    </row>
    <row r="182">
      <c r="A182" s="39" t="n"/>
      <c r="B182" s="40" t="n"/>
      <c r="C182" s="40" t="n"/>
      <c r="D182" s="40" t="n"/>
      <c r="E182" s="40" t="n"/>
      <c r="F182" s="39" t="n"/>
      <c r="G182" s="44">
        <f>IF(A182="","",IF(F182&lt;&gt;"",F182-A182,TODAY()-A182))</f>
        <v/>
      </c>
      <c r="H182" s="42" t="n"/>
      <c r="I182" s="43" t="n"/>
      <c r="J182" s="40" t="n"/>
      <c r="K182" s="40" t="n"/>
      <c r="L182" s="40" t="n"/>
    </row>
    <row r="183">
      <c r="A183" s="39" t="n"/>
      <c r="B183" s="40" t="n"/>
      <c r="C183" s="40" t="n"/>
      <c r="D183" s="40" t="n"/>
      <c r="E183" s="40" t="n"/>
      <c r="F183" s="39" t="n"/>
      <c r="G183" s="44">
        <f>IF(A183="","",IF(F183&lt;&gt;"",F183-A183,TODAY()-A183))</f>
        <v/>
      </c>
      <c r="H183" s="42" t="n"/>
      <c r="I183" s="43" t="n"/>
      <c r="J183" s="40" t="n"/>
      <c r="K183" s="40" t="n"/>
      <c r="L183" s="40" t="n"/>
    </row>
    <row r="184">
      <c r="A184" s="39" t="n"/>
      <c r="B184" s="40" t="n"/>
      <c r="C184" s="40" t="n"/>
      <c r="D184" s="40" t="n"/>
      <c r="E184" s="40" t="n"/>
      <c r="F184" s="39" t="n"/>
      <c r="G184" s="44">
        <f>IF(A184="","",IF(F184&lt;&gt;"",F184-A184,TODAY()-A184))</f>
        <v/>
      </c>
      <c r="H184" s="42" t="n"/>
      <c r="I184" s="43" t="n"/>
      <c r="J184" s="40" t="n"/>
      <c r="K184" s="40" t="n"/>
      <c r="L184" s="40" t="n"/>
    </row>
    <row r="185">
      <c r="A185" s="39" t="n"/>
      <c r="B185" s="40" t="n"/>
      <c r="C185" s="40" t="n"/>
      <c r="D185" s="40" t="n"/>
      <c r="E185" s="40" t="n"/>
      <c r="F185" s="39" t="n"/>
      <c r="G185" s="44">
        <f>IF(A185="","",IF(F185&lt;&gt;"",F185-A185,TODAY()-A185))</f>
        <v/>
      </c>
      <c r="H185" s="42" t="n"/>
      <c r="I185" s="43" t="n"/>
      <c r="J185" s="40" t="n"/>
      <c r="K185" s="40" t="n"/>
      <c r="L185" s="40" t="n"/>
    </row>
    <row r="186">
      <c r="A186" s="39" t="n"/>
      <c r="B186" s="40" t="n"/>
      <c r="C186" s="40" t="n"/>
      <c r="D186" s="40" t="n"/>
      <c r="E186" s="40" t="n"/>
      <c r="F186" s="39" t="n"/>
      <c r="G186" s="44">
        <f>IF(A186="","",IF(F186&lt;&gt;"",F186-A186,TODAY()-A186))</f>
        <v/>
      </c>
      <c r="H186" s="42" t="n"/>
      <c r="I186" s="43" t="n"/>
      <c r="J186" s="40" t="n"/>
      <c r="K186" s="40" t="n"/>
      <c r="L186" s="40" t="n"/>
    </row>
    <row r="187">
      <c r="A187" s="39" t="n"/>
      <c r="B187" s="40" t="n"/>
      <c r="C187" s="40" t="n"/>
      <c r="D187" s="40" t="n"/>
      <c r="E187" s="40" t="n"/>
      <c r="F187" s="39" t="n"/>
      <c r="G187" s="44">
        <f>IF(A187="","",IF(F187&lt;&gt;"",F187-A187,TODAY()-A187))</f>
        <v/>
      </c>
      <c r="H187" s="42" t="n"/>
      <c r="I187" s="43" t="n"/>
      <c r="J187" s="40" t="n"/>
      <c r="K187" s="40" t="n"/>
      <c r="L187" s="40" t="n"/>
    </row>
    <row r="188">
      <c r="A188" s="39" t="n"/>
      <c r="B188" s="40" t="n"/>
      <c r="C188" s="40" t="n"/>
      <c r="D188" s="40" t="n"/>
      <c r="E188" s="40" t="n"/>
      <c r="F188" s="39" t="n"/>
      <c r="G188" s="44">
        <f>IF(A188="","",IF(F188&lt;&gt;"",F188-A188,TODAY()-A188))</f>
        <v/>
      </c>
      <c r="H188" s="42" t="n"/>
      <c r="I188" s="43" t="n"/>
      <c r="J188" s="40" t="n"/>
      <c r="K188" s="40" t="n"/>
      <c r="L188" s="40" t="n"/>
    </row>
    <row r="189">
      <c r="A189" s="39" t="n"/>
      <c r="B189" s="40" t="n"/>
      <c r="C189" s="40" t="n"/>
      <c r="D189" s="40" t="n"/>
      <c r="E189" s="40" t="n"/>
      <c r="F189" s="39" t="n"/>
      <c r="G189" s="44">
        <f>IF(A189="","",IF(F189&lt;&gt;"",F189-A189,TODAY()-A189))</f>
        <v/>
      </c>
      <c r="H189" s="42" t="n"/>
      <c r="I189" s="43" t="n"/>
      <c r="J189" s="40" t="n"/>
      <c r="K189" s="40" t="n"/>
      <c r="L189" s="40" t="n"/>
    </row>
    <row r="190">
      <c r="A190" s="39" t="n"/>
      <c r="B190" s="40" t="n"/>
      <c r="C190" s="40" t="n"/>
      <c r="D190" s="40" t="n"/>
      <c r="E190" s="40" t="n"/>
      <c r="F190" s="39" t="n"/>
      <c r="G190" s="44">
        <f>IF(A190="","",IF(F190&lt;&gt;"",F190-A190,TODAY()-A190))</f>
        <v/>
      </c>
      <c r="H190" s="42" t="n"/>
      <c r="I190" s="43" t="n"/>
      <c r="J190" s="40" t="n"/>
      <c r="K190" s="40" t="n"/>
      <c r="L190" s="40" t="n"/>
    </row>
    <row r="191">
      <c r="A191" s="39" t="n"/>
      <c r="B191" s="40" t="n"/>
      <c r="C191" s="40" t="n"/>
      <c r="D191" s="40" t="n"/>
      <c r="E191" s="40" t="n"/>
      <c r="F191" s="39" t="n"/>
      <c r="G191" s="44">
        <f>IF(A191="","",IF(F191&lt;&gt;"",F191-A191,TODAY()-A191))</f>
        <v/>
      </c>
      <c r="H191" s="42" t="n"/>
      <c r="I191" s="43" t="n"/>
      <c r="J191" s="40" t="n"/>
      <c r="K191" s="40" t="n"/>
      <c r="L191" s="40" t="n"/>
    </row>
    <row r="192">
      <c r="A192" s="39" t="n"/>
      <c r="B192" s="40" t="n"/>
      <c r="C192" s="40" t="n"/>
      <c r="D192" s="40" t="n"/>
      <c r="E192" s="40" t="n"/>
      <c r="F192" s="39" t="n"/>
      <c r="G192" s="44">
        <f>IF(A192="","",IF(F192&lt;&gt;"",F192-A192,TODAY()-A192))</f>
        <v/>
      </c>
      <c r="H192" s="42" t="n"/>
      <c r="I192" s="43" t="n"/>
      <c r="J192" s="40" t="n"/>
      <c r="K192" s="40" t="n"/>
      <c r="L192" s="40" t="n"/>
    </row>
    <row r="193">
      <c r="A193" s="39" t="n"/>
      <c r="B193" s="40" t="n"/>
      <c r="C193" s="40" t="n"/>
      <c r="D193" s="40" t="n"/>
      <c r="E193" s="40" t="n"/>
      <c r="F193" s="39" t="n"/>
      <c r="G193" s="44">
        <f>IF(A193="","",IF(F193&lt;&gt;"",F193-A193,TODAY()-A193))</f>
        <v/>
      </c>
      <c r="H193" s="42" t="n"/>
      <c r="I193" s="43" t="n"/>
      <c r="J193" s="40" t="n"/>
      <c r="K193" s="40" t="n"/>
      <c r="L193" s="40" t="n"/>
    </row>
    <row r="194">
      <c r="A194" s="39" t="n"/>
      <c r="B194" s="40" t="n"/>
      <c r="C194" s="40" t="n"/>
      <c r="D194" s="40" t="n"/>
      <c r="E194" s="40" t="n"/>
      <c r="F194" s="39" t="n"/>
      <c r="G194" s="44">
        <f>IF(A194="","",IF(F194&lt;&gt;"",F194-A194,TODAY()-A194))</f>
        <v/>
      </c>
      <c r="H194" s="42" t="n"/>
      <c r="I194" s="43" t="n"/>
      <c r="J194" s="40" t="n"/>
      <c r="K194" s="40" t="n"/>
      <c r="L194" s="40" t="n"/>
    </row>
    <row r="195">
      <c r="A195" s="39" t="n"/>
      <c r="B195" s="40" t="n"/>
      <c r="C195" s="40" t="n"/>
      <c r="D195" s="40" t="n"/>
      <c r="E195" s="40" t="n"/>
      <c r="F195" s="39" t="n"/>
      <c r="G195" s="44">
        <f>IF(A195="","",IF(F195&lt;&gt;"",F195-A195,TODAY()-A195))</f>
        <v/>
      </c>
      <c r="H195" s="42" t="n"/>
      <c r="I195" s="43" t="n"/>
      <c r="J195" s="40" t="n"/>
      <c r="K195" s="40" t="n"/>
      <c r="L195" s="40" t="n"/>
    </row>
    <row r="196">
      <c r="A196" s="39" t="n"/>
      <c r="B196" s="40" t="n"/>
      <c r="C196" s="40" t="n"/>
      <c r="D196" s="40" t="n"/>
      <c r="E196" s="40" t="n"/>
      <c r="F196" s="39" t="n"/>
      <c r="G196" s="44">
        <f>IF(A196="","",IF(F196&lt;&gt;"",F196-A196,TODAY()-A196))</f>
        <v/>
      </c>
      <c r="H196" s="42" t="n"/>
      <c r="I196" s="43" t="n"/>
      <c r="J196" s="40" t="n"/>
      <c r="K196" s="40" t="n"/>
      <c r="L196" s="40" t="n"/>
    </row>
    <row r="197">
      <c r="A197" s="39" t="n"/>
      <c r="B197" s="40" t="n"/>
      <c r="C197" s="40" t="n"/>
      <c r="D197" s="40" t="n"/>
      <c r="E197" s="40" t="n"/>
      <c r="F197" s="39" t="n"/>
      <c r="G197" s="44">
        <f>IF(A197="","",IF(F197&lt;&gt;"",F197-A197,TODAY()-A197))</f>
        <v/>
      </c>
      <c r="H197" s="42" t="n"/>
      <c r="I197" s="43" t="n"/>
      <c r="J197" s="40" t="n"/>
      <c r="K197" s="40" t="n"/>
      <c r="L197" s="40" t="n"/>
    </row>
    <row r="198">
      <c r="A198" s="39" t="n"/>
      <c r="B198" s="40" t="n"/>
      <c r="C198" s="40" t="n"/>
      <c r="D198" s="40" t="n"/>
      <c r="E198" s="40" t="n"/>
      <c r="F198" s="39" t="n"/>
      <c r="G198" s="44">
        <f>IF(A198="","",IF(F198&lt;&gt;"",F198-A198,TODAY()-A198))</f>
        <v/>
      </c>
      <c r="H198" s="42" t="n"/>
      <c r="I198" s="43" t="n"/>
      <c r="J198" s="40" t="n"/>
      <c r="K198" s="40" t="n"/>
      <c r="L198" s="40" t="n"/>
    </row>
    <row r="199">
      <c r="A199" s="39" t="n"/>
      <c r="B199" s="40" t="n"/>
      <c r="C199" s="40" t="n"/>
      <c r="D199" s="40" t="n"/>
      <c r="E199" s="40" t="n"/>
      <c r="F199" s="39" t="n"/>
      <c r="G199" s="44">
        <f>IF(A199="","",IF(F199&lt;&gt;"",F199-A199,TODAY()-A199))</f>
        <v/>
      </c>
      <c r="H199" s="42" t="n"/>
      <c r="I199" s="43" t="n"/>
      <c r="J199" s="40" t="n"/>
      <c r="K199" s="40" t="n"/>
      <c r="L199" s="40" t="n"/>
    </row>
    <row r="200">
      <c r="A200" s="39" t="n"/>
      <c r="B200" s="40" t="n"/>
      <c r="C200" s="40" t="n"/>
      <c r="D200" s="40" t="n"/>
      <c r="E200" s="40" t="n"/>
      <c r="F200" s="39" t="n"/>
      <c r="G200" s="44">
        <f>IF(A200="","",IF(F200&lt;&gt;"",F200-A200,TODAY()-A200))</f>
        <v/>
      </c>
      <c r="H200" s="42" t="n"/>
      <c r="I200" s="43" t="n"/>
      <c r="J200" s="40" t="n"/>
      <c r="K200" s="40" t="n"/>
      <c r="L200" s="40" t="n"/>
    </row>
    <row r="201">
      <c r="A201" s="39" t="n"/>
      <c r="B201" s="40" t="n"/>
      <c r="C201" s="40" t="n"/>
      <c r="D201" s="40" t="n"/>
      <c r="E201" s="40" t="n"/>
      <c r="F201" s="39" t="n"/>
      <c r="G201" s="44">
        <f>IF(A201="","",IF(F201&lt;&gt;"",F201-A201,TODAY()-A201))</f>
        <v/>
      </c>
      <c r="H201" s="42" t="n"/>
      <c r="I201" s="43" t="n"/>
      <c r="J201" s="40" t="n"/>
      <c r="K201" s="40" t="n"/>
      <c r="L201" s="40" t="n"/>
    </row>
    <row r="202">
      <c r="A202" s="39" t="n"/>
      <c r="B202" s="40" t="n"/>
      <c r="C202" s="40" t="n"/>
      <c r="D202" s="40" t="n"/>
      <c r="E202" s="40" t="n"/>
      <c r="F202" s="39" t="n"/>
      <c r="G202" s="44">
        <f>IF(A202="","",IF(F202&lt;&gt;"",F202-A202,TODAY()-A202))</f>
        <v/>
      </c>
      <c r="H202" s="42" t="n"/>
      <c r="I202" s="43" t="n"/>
      <c r="J202" s="40" t="n"/>
      <c r="K202" s="40" t="n"/>
      <c r="L202" s="40" t="n"/>
    </row>
    <row r="203">
      <c r="A203" s="39" t="n"/>
      <c r="B203" s="40" t="n"/>
      <c r="C203" s="40" t="n"/>
      <c r="D203" s="40" t="n"/>
      <c r="E203" s="40" t="n"/>
      <c r="F203" s="39" t="n"/>
      <c r="G203" s="44">
        <f>IF(A203="","",IF(F203&lt;&gt;"",F203-A203,TODAY()-A203))</f>
        <v/>
      </c>
      <c r="H203" s="42" t="n"/>
      <c r="I203" s="43" t="n"/>
      <c r="J203" s="40" t="n"/>
      <c r="K203" s="40" t="n"/>
      <c r="L203" s="40" t="n"/>
    </row>
    <row r="204">
      <c r="A204" s="39" t="n"/>
      <c r="B204" s="40" t="n"/>
      <c r="C204" s="40" t="n"/>
      <c r="D204" s="40" t="n"/>
      <c r="E204" s="40" t="n"/>
      <c r="F204" s="39" t="n"/>
      <c r="G204" s="44">
        <f>IF(A204="","",IF(F204&lt;&gt;"",F204-A204,TODAY()-A204))</f>
        <v/>
      </c>
      <c r="H204" s="42" t="n"/>
      <c r="I204" s="43" t="n"/>
      <c r="J204" s="40" t="n"/>
      <c r="K204" s="40" t="n"/>
      <c r="L204" s="40" t="n"/>
    </row>
    <row r="205">
      <c r="A205" s="39" t="n"/>
      <c r="B205" s="40" t="n"/>
      <c r="C205" s="40" t="n"/>
      <c r="D205" s="40" t="n"/>
      <c r="E205" s="40" t="n"/>
      <c r="F205" s="39" t="n"/>
      <c r="G205" s="44">
        <f>IF(A205="","",IF(F205&lt;&gt;"",F205-A205,TODAY()-A205))</f>
        <v/>
      </c>
      <c r="H205" s="42" t="n"/>
      <c r="I205" s="43" t="n"/>
      <c r="J205" s="40" t="n"/>
      <c r="K205" s="40" t="n"/>
      <c r="L205" s="40" t="n"/>
    </row>
    <row r="206">
      <c r="A206" s="39" t="n"/>
      <c r="B206" s="40" t="n"/>
      <c r="C206" s="40" t="n"/>
      <c r="D206" s="40" t="n"/>
      <c r="E206" s="40" t="n"/>
      <c r="F206" s="39" t="n"/>
      <c r="G206" s="44">
        <f>IF(A206="","",IF(F206&lt;&gt;"",F206-A206,TODAY()-A206))</f>
        <v/>
      </c>
      <c r="H206" s="42" t="n"/>
      <c r="I206" s="43" t="n"/>
      <c r="J206" s="40" t="n"/>
      <c r="K206" s="40" t="n"/>
      <c r="L206" s="40" t="n"/>
    </row>
    <row r="207">
      <c r="A207" s="39" t="n"/>
      <c r="B207" s="40" t="n"/>
      <c r="C207" s="40" t="n"/>
      <c r="D207" s="40" t="n"/>
      <c r="E207" s="40" t="n"/>
      <c r="F207" s="39" t="n"/>
      <c r="G207" s="44">
        <f>IF(A207="","",IF(F207&lt;&gt;"",F207-A207,TODAY()-A207))</f>
        <v/>
      </c>
      <c r="H207" s="42" t="n"/>
      <c r="I207" s="43" t="n"/>
      <c r="J207" s="40" t="n"/>
      <c r="K207" s="40" t="n"/>
      <c r="L207" s="40" t="n"/>
    </row>
    <row r="208">
      <c r="A208" s="39" t="n"/>
      <c r="B208" s="40" t="n"/>
      <c r="C208" s="40" t="n"/>
      <c r="D208" s="40" t="n"/>
      <c r="E208" s="40" t="n"/>
      <c r="F208" s="39" t="n"/>
      <c r="G208" s="44">
        <f>IF(A208="","",IF(F208&lt;&gt;"",F208-A208,TODAY()-A208))</f>
        <v/>
      </c>
      <c r="H208" s="42" t="n"/>
      <c r="I208" s="43" t="n"/>
      <c r="J208" s="40" t="n"/>
      <c r="K208" s="40" t="n"/>
      <c r="L208" s="40" t="n"/>
    </row>
    <row r="209">
      <c r="A209" s="39" t="n"/>
      <c r="B209" s="40" t="n"/>
      <c r="C209" s="40" t="n"/>
      <c r="D209" s="40" t="n"/>
      <c r="E209" s="40" t="n"/>
      <c r="F209" s="39" t="n"/>
      <c r="G209" s="44">
        <f>IF(A209="","",IF(F209&lt;&gt;"",F209-A209,TODAY()-A209))</f>
        <v/>
      </c>
      <c r="H209" s="42" t="n"/>
      <c r="I209" s="43" t="n"/>
      <c r="J209" s="40" t="n"/>
      <c r="K209" s="40" t="n"/>
      <c r="L209" s="40" t="n"/>
    </row>
    <row r="210">
      <c r="A210" s="39" t="n"/>
      <c r="B210" s="40" t="n"/>
      <c r="C210" s="40" t="n"/>
      <c r="D210" s="40" t="n"/>
      <c r="E210" s="40" t="n"/>
      <c r="F210" s="39" t="n"/>
      <c r="G210" s="44">
        <f>IF(A210="","",IF(F210&lt;&gt;"",F210-A210,TODAY()-A210))</f>
        <v/>
      </c>
      <c r="H210" s="42" t="n"/>
      <c r="I210" s="43" t="n"/>
      <c r="J210" s="40" t="n"/>
      <c r="K210" s="40" t="n"/>
      <c r="L210" s="40" t="n"/>
    </row>
    <row r="211">
      <c r="A211" s="39" t="n"/>
      <c r="B211" s="40" t="n"/>
      <c r="C211" s="40" t="n"/>
      <c r="D211" s="40" t="n"/>
      <c r="E211" s="40" t="n"/>
      <c r="F211" s="39" t="n"/>
      <c r="G211" s="44">
        <f>IF(A211="","",IF(F211&lt;&gt;"",F211-A211,TODAY()-A211))</f>
        <v/>
      </c>
      <c r="H211" s="42" t="n"/>
      <c r="I211" s="43" t="n"/>
      <c r="J211" s="40" t="n"/>
      <c r="K211" s="40" t="n"/>
      <c r="L211" s="40" t="n"/>
    </row>
    <row r="212">
      <c r="A212" s="39" t="n"/>
      <c r="B212" s="40" t="n"/>
      <c r="C212" s="40" t="n"/>
      <c r="D212" s="40" t="n"/>
      <c r="E212" s="40" t="n"/>
      <c r="F212" s="39" t="n"/>
      <c r="G212" s="44">
        <f>IF(A212="","",IF(F212&lt;&gt;"",F212-A212,TODAY()-A212))</f>
        <v/>
      </c>
      <c r="H212" s="42" t="n"/>
      <c r="I212" s="43" t="n"/>
      <c r="J212" s="40" t="n"/>
      <c r="K212" s="40" t="n"/>
      <c r="L212" s="40" t="n"/>
    </row>
    <row r="213">
      <c r="A213" s="39" t="n"/>
      <c r="B213" s="40" t="n"/>
      <c r="C213" s="40" t="n"/>
      <c r="D213" s="40" t="n"/>
      <c r="E213" s="40" t="n"/>
      <c r="F213" s="39" t="n"/>
      <c r="G213" s="44">
        <f>IF(A213="","",IF(F213&lt;&gt;"",F213-A213,TODAY()-A213))</f>
        <v/>
      </c>
      <c r="H213" s="42" t="n"/>
      <c r="I213" s="43" t="n"/>
      <c r="J213" s="40" t="n"/>
      <c r="K213" s="40" t="n"/>
      <c r="L213" s="40" t="n"/>
    </row>
    <row r="214">
      <c r="A214" s="39" t="n"/>
      <c r="B214" s="40" t="n"/>
      <c r="C214" s="40" t="n"/>
      <c r="D214" s="40" t="n"/>
      <c r="E214" s="40" t="n"/>
      <c r="F214" s="39" t="n"/>
      <c r="G214" s="44">
        <f>IF(A214="","",IF(F214&lt;&gt;"",F214-A214,TODAY()-A214))</f>
        <v/>
      </c>
      <c r="H214" s="42" t="n"/>
      <c r="I214" s="43" t="n"/>
      <c r="J214" s="40" t="n"/>
      <c r="K214" s="40" t="n"/>
      <c r="L214" s="40" t="n"/>
    </row>
    <row r="215">
      <c r="A215" s="39" t="n"/>
      <c r="B215" s="40" t="n"/>
      <c r="C215" s="40" t="n"/>
      <c r="D215" s="40" t="n"/>
      <c r="E215" s="40" t="n"/>
      <c r="F215" s="39" t="n"/>
      <c r="G215" s="44">
        <f>IF(A215="","",IF(F215&lt;&gt;"",F215-A215,TODAY()-A215))</f>
        <v/>
      </c>
      <c r="H215" s="42" t="n"/>
      <c r="I215" s="43" t="n"/>
      <c r="J215" s="40" t="n"/>
      <c r="K215" s="40" t="n"/>
      <c r="L215" s="40" t="n"/>
    </row>
    <row r="216">
      <c r="A216" s="39" t="n"/>
      <c r="B216" s="40" t="n"/>
      <c r="C216" s="40" t="n"/>
      <c r="D216" s="40" t="n"/>
      <c r="E216" s="40" t="n"/>
      <c r="F216" s="39" t="n"/>
      <c r="G216" s="44">
        <f>IF(A216="","",IF(F216&lt;&gt;"",F216-A216,TODAY()-A216))</f>
        <v/>
      </c>
      <c r="H216" s="42" t="n"/>
      <c r="I216" s="43" t="n"/>
      <c r="J216" s="40" t="n"/>
      <c r="K216" s="40" t="n"/>
      <c r="L216" s="40" t="n"/>
    </row>
    <row r="217">
      <c r="A217" s="39" t="n"/>
      <c r="B217" s="40" t="n"/>
      <c r="C217" s="40" t="n"/>
      <c r="D217" s="40" t="n"/>
      <c r="E217" s="40" t="n"/>
      <c r="F217" s="39" t="n"/>
      <c r="G217" s="44">
        <f>IF(A217="","",IF(F217&lt;&gt;"",F217-A217,TODAY()-A217))</f>
        <v/>
      </c>
      <c r="H217" s="42" t="n"/>
      <c r="I217" s="43" t="n"/>
      <c r="J217" s="40" t="n"/>
      <c r="K217" s="40" t="n"/>
      <c r="L217" s="40" t="n"/>
    </row>
    <row r="218">
      <c r="A218" s="39" t="n"/>
      <c r="B218" s="40" t="n"/>
      <c r="C218" s="40" t="n"/>
      <c r="D218" s="40" t="n"/>
      <c r="E218" s="40" t="n"/>
      <c r="F218" s="39" t="n"/>
      <c r="G218" s="44">
        <f>IF(A218="","",IF(F218&lt;&gt;"",F218-A218,TODAY()-A218))</f>
        <v/>
      </c>
      <c r="H218" s="42" t="n"/>
      <c r="I218" s="43" t="n"/>
      <c r="J218" s="40" t="n"/>
      <c r="K218" s="40" t="n"/>
      <c r="L218" s="40" t="n"/>
    </row>
    <row r="219">
      <c r="A219" s="39" t="n"/>
      <c r="B219" s="40" t="n"/>
      <c r="C219" s="40" t="n"/>
      <c r="D219" s="40" t="n"/>
      <c r="E219" s="40" t="n"/>
      <c r="F219" s="39" t="n"/>
      <c r="G219" s="44">
        <f>IF(A219="","",IF(F219&lt;&gt;"",F219-A219,TODAY()-A219))</f>
        <v/>
      </c>
      <c r="H219" s="42" t="n"/>
      <c r="I219" s="43" t="n"/>
      <c r="J219" s="40" t="n"/>
      <c r="K219" s="40" t="n"/>
      <c r="L219" s="40" t="n"/>
    </row>
    <row r="220">
      <c r="A220" s="39" t="n"/>
      <c r="B220" s="40" t="n"/>
      <c r="C220" s="40" t="n"/>
      <c r="D220" s="40" t="n"/>
      <c r="E220" s="40" t="n"/>
      <c r="F220" s="39" t="n"/>
      <c r="G220" s="44">
        <f>IF(A220="","",IF(F220&lt;&gt;"",F220-A220,TODAY()-A220))</f>
        <v/>
      </c>
      <c r="H220" s="42" t="n"/>
      <c r="I220" s="43" t="n"/>
      <c r="J220" s="40" t="n"/>
      <c r="K220" s="40" t="n"/>
      <c r="L220" s="40" t="n"/>
    </row>
    <row r="221">
      <c r="A221" s="39" t="n"/>
      <c r="B221" s="40" t="n"/>
      <c r="C221" s="40" t="n"/>
      <c r="D221" s="40" t="n"/>
      <c r="E221" s="40" t="n"/>
      <c r="F221" s="39" t="n"/>
      <c r="G221" s="44">
        <f>IF(A221="","",IF(F221&lt;&gt;"",F221-A221,TODAY()-A221))</f>
        <v/>
      </c>
      <c r="H221" s="42" t="n"/>
      <c r="I221" s="43" t="n"/>
      <c r="J221" s="40" t="n"/>
      <c r="K221" s="40" t="n"/>
      <c r="L221" s="40" t="n"/>
    </row>
    <row r="222">
      <c r="A222" s="39" t="n"/>
      <c r="B222" s="40" t="n"/>
      <c r="C222" s="40" t="n"/>
      <c r="D222" s="40" t="n"/>
      <c r="E222" s="40" t="n"/>
      <c r="F222" s="39" t="n"/>
      <c r="G222" s="44">
        <f>IF(A222="","",IF(F222&lt;&gt;"",F222-A222,TODAY()-A222))</f>
        <v/>
      </c>
      <c r="H222" s="42" t="n"/>
      <c r="I222" s="43" t="n"/>
      <c r="J222" s="40" t="n"/>
      <c r="K222" s="40" t="n"/>
      <c r="L222" s="40" t="n"/>
    </row>
    <row r="223">
      <c r="A223" s="39" t="n"/>
      <c r="B223" s="40" t="n"/>
      <c r="C223" s="40" t="n"/>
      <c r="D223" s="40" t="n"/>
      <c r="E223" s="40" t="n"/>
      <c r="F223" s="39" t="n"/>
      <c r="G223" s="44">
        <f>IF(A223="","",IF(F223&lt;&gt;"",F223-A223,TODAY()-A223))</f>
        <v/>
      </c>
      <c r="H223" s="42" t="n"/>
      <c r="I223" s="43" t="n"/>
      <c r="J223" s="40" t="n"/>
      <c r="K223" s="40" t="n"/>
      <c r="L223" s="40" t="n"/>
    </row>
    <row r="224">
      <c r="A224" s="39" t="n"/>
      <c r="B224" s="40" t="n"/>
      <c r="C224" s="40" t="n"/>
      <c r="D224" s="40" t="n"/>
      <c r="E224" s="40" t="n"/>
      <c r="F224" s="39" t="n"/>
      <c r="G224" s="44">
        <f>IF(A224="","",IF(F224&lt;&gt;"",F224-A224,TODAY()-A224))</f>
        <v/>
      </c>
      <c r="H224" s="42" t="n"/>
      <c r="I224" s="43" t="n"/>
      <c r="J224" s="40" t="n"/>
      <c r="K224" s="40" t="n"/>
      <c r="L224" s="40" t="n"/>
    </row>
    <row r="225">
      <c r="A225" s="39" t="n"/>
      <c r="B225" s="40" t="n"/>
      <c r="C225" s="40" t="n"/>
      <c r="D225" s="40" t="n"/>
      <c r="E225" s="40" t="n"/>
      <c r="F225" s="39" t="n"/>
      <c r="G225" s="44">
        <f>IF(A225="","",IF(F225&lt;&gt;"",F225-A225,TODAY()-A225))</f>
        <v/>
      </c>
      <c r="H225" s="42" t="n"/>
      <c r="I225" s="43" t="n"/>
      <c r="J225" s="40" t="n"/>
      <c r="K225" s="40" t="n"/>
      <c r="L225" s="40" t="n"/>
    </row>
    <row r="226">
      <c r="A226" s="39" t="n"/>
      <c r="B226" s="40" t="n"/>
      <c r="C226" s="40" t="n"/>
      <c r="D226" s="40" t="n"/>
      <c r="E226" s="40" t="n"/>
      <c r="F226" s="39" t="n"/>
      <c r="G226" s="44">
        <f>IF(A226="","",IF(F226&lt;&gt;"",F226-A226,TODAY()-A226))</f>
        <v/>
      </c>
      <c r="H226" s="42" t="n"/>
      <c r="I226" s="43" t="n"/>
      <c r="J226" s="40" t="n"/>
      <c r="K226" s="40" t="n"/>
      <c r="L226" s="40" t="n"/>
    </row>
    <row r="227">
      <c r="A227" s="39" t="n"/>
      <c r="B227" s="40" t="n"/>
      <c r="C227" s="40" t="n"/>
      <c r="D227" s="40" t="n"/>
      <c r="E227" s="40" t="n"/>
      <c r="F227" s="39" t="n"/>
      <c r="G227" s="44">
        <f>IF(A227="","",IF(F227&lt;&gt;"",F227-A227,TODAY()-A227))</f>
        <v/>
      </c>
      <c r="H227" s="42" t="n"/>
      <c r="I227" s="43" t="n"/>
      <c r="J227" s="40" t="n"/>
      <c r="K227" s="40" t="n"/>
      <c r="L227" s="40" t="n"/>
    </row>
    <row r="228">
      <c r="A228" s="39" t="n"/>
      <c r="B228" s="40" t="n"/>
      <c r="C228" s="40" t="n"/>
      <c r="D228" s="40" t="n"/>
      <c r="E228" s="40" t="n"/>
      <c r="F228" s="39" t="n"/>
      <c r="G228" s="44">
        <f>IF(A228="","",IF(F228&lt;&gt;"",F228-A228,TODAY()-A228))</f>
        <v/>
      </c>
      <c r="H228" s="42" t="n"/>
      <c r="I228" s="43" t="n"/>
      <c r="J228" s="40" t="n"/>
      <c r="K228" s="40" t="n"/>
      <c r="L228" s="40" t="n"/>
    </row>
    <row r="229">
      <c r="A229" s="39" t="n"/>
      <c r="B229" s="40" t="n"/>
      <c r="C229" s="40" t="n"/>
      <c r="D229" s="40" t="n"/>
      <c r="E229" s="40" t="n"/>
      <c r="F229" s="39" t="n"/>
      <c r="G229" s="44">
        <f>IF(A229="","",IF(F229&lt;&gt;"",F229-A229,TODAY()-A229))</f>
        <v/>
      </c>
      <c r="H229" s="42" t="n"/>
      <c r="I229" s="43" t="n"/>
      <c r="J229" s="40" t="n"/>
      <c r="K229" s="40" t="n"/>
      <c r="L229" s="40" t="n"/>
    </row>
    <row r="230">
      <c r="A230" s="39" t="n"/>
      <c r="B230" s="40" t="n"/>
      <c r="C230" s="40" t="n"/>
      <c r="D230" s="40" t="n"/>
      <c r="E230" s="40" t="n"/>
      <c r="F230" s="39" t="n"/>
      <c r="G230" s="44">
        <f>IF(A230="","",IF(F230&lt;&gt;"",F230-A230,TODAY()-A230))</f>
        <v/>
      </c>
      <c r="H230" s="42" t="n"/>
      <c r="I230" s="43" t="n"/>
      <c r="J230" s="40" t="n"/>
      <c r="K230" s="40" t="n"/>
      <c r="L230" s="40" t="n"/>
    </row>
    <row r="231">
      <c r="A231" s="39" t="n"/>
      <c r="B231" s="40" t="n"/>
      <c r="C231" s="40" t="n"/>
      <c r="D231" s="40" t="n"/>
      <c r="E231" s="40" t="n"/>
      <c r="F231" s="39" t="n"/>
      <c r="G231" s="44">
        <f>IF(A231="","",IF(F231&lt;&gt;"",F231-A231,TODAY()-A231))</f>
        <v/>
      </c>
      <c r="H231" s="42" t="n"/>
      <c r="I231" s="43" t="n"/>
      <c r="J231" s="40" t="n"/>
      <c r="K231" s="40" t="n"/>
      <c r="L231" s="40" t="n"/>
    </row>
    <row r="232">
      <c r="A232" s="39" t="n"/>
      <c r="B232" s="40" t="n"/>
      <c r="C232" s="40" t="n"/>
      <c r="D232" s="40" t="n"/>
      <c r="E232" s="40" t="n"/>
      <c r="F232" s="39" t="n"/>
      <c r="G232" s="44">
        <f>IF(A232="","",IF(F232&lt;&gt;"",F232-A232,TODAY()-A232))</f>
        <v/>
      </c>
      <c r="H232" s="42" t="n"/>
      <c r="I232" s="43" t="n"/>
      <c r="J232" s="40" t="n"/>
      <c r="K232" s="40" t="n"/>
      <c r="L232" s="40" t="n"/>
    </row>
    <row r="233">
      <c r="A233" s="39" t="n"/>
      <c r="B233" s="40" t="n"/>
      <c r="C233" s="40" t="n"/>
      <c r="D233" s="40" t="n"/>
      <c r="E233" s="40" t="n"/>
      <c r="F233" s="39" t="n"/>
      <c r="G233" s="44">
        <f>IF(A233="","",IF(F233&lt;&gt;"",F233-A233,TODAY()-A233))</f>
        <v/>
      </c>
      <c r="H233" s="42" t="n"/>
      <c r="I233" s="43" t="n"/>
      <c r="J233" s="40" t="n"/>
      <c r="K233" s="40" t="n"/>
      <c r="L233" s="40" t="n"/>
    </row>
    <row r="234">
      <c r="A234" s="39" t="n"/>
      <c r="B234" s="40" t="n"/>
      <c r="C234" s="40" t="n"/>
      <c r="D234" s="40" t="n"/>
      <c r="E234" s="40" t="n"/>
      <c r="F234" s="39" t="n"/>
      <c r="G234" s="44">
        <f>IF(A234="","",IF(F234&lt;&gt;"",F234-A234,TODAY()-A234))</f>
        <v/>
      </c>
      <c r="H234" s="42" t="n"/>
      <c r="I234" s="43" t="n"/>
      <c r="J234" s="40" t="n"/>
      <c r="K234" s="40" t="n"/>
      <c r="L234" s="40" t="n"/>
    </row>
    <row r="235">
      <c r="A235" s="39" t="n"/>
      <c r="B235" s="40" t="n"/>
      <c r="C235" s="40" t="n"/>
      <c r="D235" s="40" t="n"/>
      <c r="E235" s="40" t="n"/>
      <c r="F235" s="39" t="n"/>
      <c r="G235" s="44">
        <f>IF(A235="","",IF(F235&lt;&gt;"",F235-A235,TODAY()-A235))</f>
        <v/>
      </c>
      <c r="H235" s="42" t="n"/>
      <c r="I235" s="43" t="n"/>
      <c r="J235" s="40" t="n"/>
      <c r="K235" s="40" t="n"/>
      <c r="L235" s="40" t="n"/>
    </row>
    <row r="236">
      <c r="A236" s="39" t="n"/>
      <c r="B236" s="40" t="n"/>
      <c r="C236" s="40" t="n"/>
      <c r="D236" s="40" t="n"/>
      <c r="E236" s="40" t="n"/>
      <c r="F236" s="39" t="n"/>
      <c r="G236" s="44">
        <f>IF(A236="","",IF(F236&lt;&gt;"",F236-A236,TODAY()-A236))</f>
        <v/>
      </c>
      <c r="H236" s="42" t="n"/>
      <c r="I236" s="43" t="n"/>
      <c r="J236" s="40" t="n"/>
      <c r="K236" s="40" t="n"/>
      <c r="L236" s="40" t="n"/>
    </row>
    <row r="237">
      <c r="A237" s="39" t="n"/>
      <c r="B237" s="40" t="n"/>
      <c r="C237" s="40" t="n"/>
      <c r="D237" s="40" t="n"/>
      <c r="E237" s="40" t="n"/>
      <c r="F237" s="39" t="n"/>
      <c r="G237" s="44">
        <f>IF(A237="","",IF(F237&lt;&gt;"",F237-A237,TODAY()-A237))</f>
        <v/>
      </c>
      <c r="H237" s="42" t="n"/>
      <c r="I237" s="43" t="n"/>
      <c r="J237" s="40" t="n"/>
      <c r="K237" s="40" t="n"/>
      <c r="L237" s="40" t="n"/>
    </row>
    <row r="238">
      <c r="A238" s="39" t="n"/>
      <c r="B238" s="40" t="n"/>
      <c r="C238" s="40" t="n"/>
      <c r="D238" s="40" t="n"/>
      <c r="E238" s="40" t="n"/>
      <c r="F238" s="39" t="n"/>
      <c r="G238" s="44">
        <f>IF(A238="","",IF(F238&lt;&gt;"",F238-A238,TODAY()-A238))</f>
        <v/>
      </c>
      <c r="H238" s="42" t="n"/>
      <c r="I238" s="43" t="n"/>
      <c r="J238" s="40" t="n"/>
      <c r="K238" s="40" t="n"/>
      <c r="L238" s="40" t="n"/>
    </row>
    <row r="239">
      <c r="A239" s="39" t="n"/>
      <c r="B239" s="40" t="n"/>
      <c r="C239" s="40" t="n"/>
      <c r="D239" s="40" t="n"/>
      <c r="E239" s="40" t="n"/>
      <c r="F239" s="39" t="n"/>
      <c r="G239" s="44">
        <f>IF(A239="","",IF(F239&lt;&gt;"",F239-A239,TODAY()-A239))</f>
        <v/>
      </c>
      <c r="H239" s="42" t="n"/>
      <c r="I239" s="43" t="n"/>
      <c r="J239" s="40" t="n"/>
      <c r="K239" s="40" t="n"/>
      <c r="L239" s="40" t="n"/>
    </row>
    <row r="240">
      <c r="A240" s="39" t="n"/>
      <c r="B240" s="40" t="n"/>
      <c r="C240" s="40" t="n"/>
      <c r="D240" s="40" t="n"/>
      <c r="E240" s="40" t="n"/>
      <c r="F240" s="39" t="n"/>
      <c r="G240" s="44">
        <f>IF(A240="","",IF(F240&lt;&gt;"",F240-A240,TODAY()-A240))</f>
        <v/>
      </c>
      <c r="H240" s="42" t="n"/>
      <c r="I240" s="43" t="n"/>
      <c r="J240" s="40" t="n"/>
      <c r="K240" s="40" t="n"/>
      <c r="L240" s="40" t="n"/>
    </row>
    <row r="241">
      <c r="A241" s="39" t="n"/>
      <c r="B241" s="40" t="n"/>
      <c r="C241" s="40" t="n"/>
      <c r="D241" s="40" t="n"/>
      <c r="E241" s="40" t="n"/>
      <c r="F241" s="39" t="n"/>
      <c r="G241" s="44">
        <f>IF(A241="","",IF(F241&lt;&gt;"",F241-A241,TODAY()-A241))</f>
        <v/>
      </c>
      <c r="H241" s="42" t="n"/>
      <c r="I241" s="43" t="n"/>
      <c r="J241" s="40" t="n"/>
      <c r="K241" s="40" t="n"/>
      <c r="L241" s="40" t="n"/>
    </row>
    <row r="242">
      <c r="A242" s="39" t="n"/>
      <c r="B242" s="40" t="n"/>
      <c r="C242" s="40" t="n"/>
      <c r="D242" s="40" t="n"/>
      <c r="E242" s="40" t="n"/>
      <c r="F242" s="39" t="n"/>
      <c r="G242" s="44">
        <f>IF(A242="","",IF(F242&lt;&gt;"",F242-A242,TODAY()-A242))</f>
        <v/>
      </c>
      <c r="H242" s="42" t="n"/>
      <c r="I242" s="43" t="n"/>
      <c r="J242" s="40" t="n"/>
      <c r="K242" s="40" t="n"/>
      <c r="L242" s="40" t="n"/>
    </row>
    <row r="243">
      <c r="A243" s="39" t="n"/>
      <c r="B243" s="40" t="n"/>
      <c r="C243" s="40" t="n"/>
      <c r="D243" s="40" t="n"/>
      <c r="E243" s="40" t="n"/>
      <c r="F243" s="39" t="n"/>
      <c r="G243" s="44">
        <f>IF(A243="","",IF(F243&lt;&gt;"",F243-A243,TODAY()-A243))</f>
        <v/>
      </c>
      <c r="H243" s="42" t="n"/>
      <c r="I243" s="43" t="n"/>
      <c r="J243" s="40" t="n"/>
      <c r="K243" s="40" t="n"/>
      <c r="L243" s="40" t="n"/>
    </row>
    <row r="244">
      <c r="A244" s="39" t="n"/>
      <c r="B244" s="40" t="n"/>
      <c r="C244" s="40" t="n"/>
      <c r="D244" s="40" t="n"/>
      <c r="E244" s="40" t="n"/>
      <c r="F244" s="39" t="n"/>
      <c r="G244" s="44">
        <f>IF(A244="","",IF(F244&lt;&gt;"",F244-A244,TODAY()-A244))</f>
        <v/>
      </c>
      <c r="H244" s="42" t="n"/>
      <c r="I244" s="43" t="n"/>
      <c r="J244" s="40" t="n"/>
      <c r="K244" s="40" t="n"/>
      <c r="L244" s="40" t="n"/>
    </row>
    <row r="245">
      <c r="A245" s="39" t="n"/>
      <c r="B245" s="40" t="n"/>
      <c r="C245" s="40" t="n"/>
      <c r="D245" s="40" t="n"/>
      <c r="E245" s="40" t="n"/>
      <c r="F245" s="39" t="n"/>
      <c r="G245" s="44">
        <f>IF(A245="","",IF(F245&lt;&gt;"",F245-A245,TODAY()-A245))</f>
        <v/>
      </c>
      <c r="H245" s="42" t="n"/>
      <c r="I245" s="43" t="n"/>
      <c r="J245" s="40" t="n"/>
      <c r="K245" s="40" t="n"/>
      <c r="L245" s="40" t="n"/>
    </row>
    <row r="246">
      <c r="A246" s="39" t="n"/>
      <c r="B246" s="40" t="n"/>
      <c r="C246" s="40" t="n"/>
      <c r="D246" s="40" t="n"/>
      <c r="E246" s="40" t="n"/>
      <c r="F246" s="39" t="n"/>
      <c r="G246" s="44">
        <f>IF(A246="","",IF(F246&lt;&gt;"",F246-A246,TODAY()-A246))</f>
        <v/>
      </c>
      <c r="H246" s="42" t="n"/>
      <c r="I246" s="43" t="n"/>
      <c r="J246" s="40" t="n"/>
      <c r="K246" s="40" t="n"/>
      <c r="L246" s="40" t="n"/>
    </row>
    <row r="247">
      <c r="A247" s="39" t="n"/>
      <c r="B247" s="40" t="n"/>
      <c r="C247" s="40" t="n"/>
      <c r="D247" s="40" t="n"/>
      <c r="E247" s="40" t="n"/>
      <c r="F247" s="39" t="n"/>
      <c r="G247" s="44">
        <f>IF(A247="","",IF(F247&lt;&gt;"",F247-A247,TODAY()-A247))</f>
        <v/>
      </c>
      <c r="H247" s="42" t="n"/>
      <c r="I247" s="43" t="n"/>
      <c r="J247" s="40" t="n"/>
      <c r="K247" s="40" t="n"/>
      <c r="L247" s="40" t="n"/>
    </row>
    <row r="248">
      <c r="A248" s="39" t="n"/>
      <c r="B248" s="40" t="n"/>
      <c r="C248" s="40" t="n"/>
      <c r="D248" s="40" t="n"/>
      <c r="E248" s="40" t="n"/>
      <c r="F248" s="39" t="n"/>
      <c r="G248" s="44">
        <f>IF(A248="","",IF(F248&lt;&gt;"",F248-A248,TODAY()-A248))</f>
        <v/>
      </c>
      <c r="H248" s="42" t="n"/>
      <c r="I248" s="43" t="n"/>
      <c r="J248" s="40" t="n"/>
      <c r="K248" s="40" t="n"/>
      <c r="L248" s="40" t="n"/>
    </row>
    <row r="249">
      <c r="A249" s="39" t="n"/>
      <c r="B249" s="40" t="n"/>
      <c r="C249" s="40" t="n"/>
      <c r="D249" s="40" t="n"/>
      <c r="E249" s="40" t="n"/>
      <c r="F249" s="39" t="n"/>
      <c r="G249" s="44">
        <f>IF(A249="","",IF(F249&lt;&gt;"",F249-A249,TODAY()-A249))</f>
        <v/>
      </c>
      <c r="H249" s="42" t="n"/>
      <c r="I249" s="43" t="n"/>
      <c r="J249" s="40" t="n"/>
      <c r="K249" s="40" t="n"/>
      <c r="L249" s="40" t="n"/>
    </row>
    <row r="250">
      <c r="A250" s="39" t="n"/>
      <c r="B250" s="40" t="n"/>
      <c r="C250" s="40" t="n"/>
      <c r="D250" s="40" t="n"/>
      <c r="E250" s="40" t="n"/>
      <c r="F250" s="39" t="n"/>
      <c r="G250" s="44">
        <f>IF(A250="","",IF(F250&lt;&gt;"",F250-A250,TODAY()-A250))</f>
        <v/>
      </c>
      <c r="H250" s="42" t="n"/>
      <c r="I250" s="43" t="n"/>
      <c r="J250" s="40" t="n"/>
      <c r="K250" s="40" t="n"/>
      <c r="L250" s="40" t="n"/>
    </row>
    <row r="251">
      <c r="A251" s="39" t="n"/>
      <c r="B251" s="40" t="n"/>
      <c r="C251" s="40" t="n"/>
      <c r="D251" s="40" t="n"/>
      <c r="E251" s="40" t="n"/>
      <c r="F251" s="39" t="n"/>
      <c r="G251" s="44">
        <f>IF(A251="","",IF(F251&lt;&gt;"",F251-A251,TODAY()-A251))</f>
        <v/>
      </c>
      <c r="H251" s="42" t="n"/>
      <c r="I251" s="43" t="n"/>
      <c r="J251" s="40" t="n"/>
      <c r="K251" s="40" t="n"/>
      <c r="L251" s="40" t="n"/>
    </row>
    <row r="252">
      <c r="A252" s="39" t="n"/>
      <c r="B252" s="40" t="n"/>
      <c r="C252" s="40" t="n"/>
      <c r="D252" s="40" t="n"/>
      <c r="E252" s="40" t="n"/>
      <c r="F252" s="39" t="n"/>
      <c r="G252" s="44">
        <f>IF(A252="","",IF(F252&lt;&gt;"",F252-A252,TODAY()-A252))</f>
        <v/>
      </c>
      <c r="H252" s="42" t="n"/>
      <c r="I252" s="43" t="n"/>
      <c r="J252" s="40" t="n"/>
      <c r="K252" s="40" t="n"/>
      <c r="L252" s="40" t="n"/>
    </row>
    <row r="253">
      <c r="A253" s="39" t="n"/>
      <c r="B253" s="40" t="n"/>
      <c r="C253" s="40" t="n"/>
      <c r="D253" s="40" t="n"/>
      <c r="E253" s="40" t="n"/>
      <c r="F253" s="39" t="n"/>
      <c r="G253" s="44">
        <f>IF(A253="","",IF(F253&lt;&gt;"",F253-A253,TODAY()-A253))</f>
        <v/>
      </c>
      <c r="H253" s="42" t="n"/>
      <c r="I253" s="43" t="n"/>
      <c r="J253" s="40" t="n"/>
      <c r="K253" s="40" t="n"/>
      <c r="L253" s="40" t="n"/>
    </row>
    <row r="254">
      <c r="A254" s="39" t="n"/>
      <c r="B254" s="40" t="n"/>
      <c r="C254" s="40" t="n"/>
      <c r="D254" s="40" t="n"/>
      <c r="E254" s="40" t="n"/>
      <c r="F254" s="39" t="n"/>
      <c r="G254" s="44">
        <f>IF(A254="","",IF(F254&lt;&gt;"",F254-A254,TODAY()-A254))</f>
        <v/>
      </c>
      <c r="H254" s="42" t="n"/>
      <c r="I254" s="43" t="n"/>
      <c r="J254" s="40" t="n"/>
      <c r="K254" s="40" t="n"/>
      <c r="L254" s="40" t="n"/>
    </row>
    <row r="255">
      <c r="A255" s="39" t="n"/>
      <c r="B255" s="40" t="n"/>
      <c r="C255" s="40" t="n"/>
      <c r="D255" s="40" t="n"/>
      <c r="E255" s="40" t="n"/>
      <c r="F255" s="39" t="n"/>
      <c r="G255" s="44">
        <f>IF(A255="","",IF(F255&lt;&gt;"",F255-A255,TODAY()-A255))</f>
        <v/>
      </c>
      <c r="H255" s="42" t="n"/>
      <c r="I255" s="43" t="n"/>
      <c r="J255" s="40" t="n"/>
      <c r="K255" s="40" t="n"/>
      <c r="L255" s="40" t="n"/>
    </row>
    <row r="256">
      <c r="A256" s="39" t="n"/>
      <c r="B256" s="40" t="n"/>
      <c r="C256" s="40" t="n"/>
      <c r="D256" s="40" t="n"/>
      <c r="E256" s="40" t="n"/>
      <c r="F256" s="39" t="n"/>
      <c r="G256" s="44">
        <f>IF(A256="","",IF(F256&lt;&gt;"",F256-A256,TODAY()-A256))</f>
        <v/>
      </c>
      <c r="H256" s="42" t="n"/>
      <c r="I256" s="43" t="n"/>
      <c r="J256" s="40" t="n"/>
      <c r="K256" s="40" t="n"/>
      <c r="L256" s="40" t="n"/>
    </row>
    <row r="257">
      <c r="A257" s="39" t="n"/>
      <c r="B257" s="40" t="n"/>
      <c r="C257" s="40" t="n"/>
      <c r="D257" s="40" t="n"/>
      <c r="E257" s="40" t="n"/>
      <c r="F257" s="39" t="n"/>
      <c r="G257" s="44">
        <f>IF(A257="","",IF(F257&lt;&gt;"",F257-A257,TODAY()-A257))</f>
        <v/>
      </c>
      <c r="H257" s="42" t="n"/>
      <c r="I257" s="43" t="n"/>
      <c r="J257" s="40" t="n"/>
      <c r="K257" s="40" t="n"/>
      <c r="L257" s="40" t="n"/>
    </row>
    <row r="258">
      <c r="A258" s="39" t="n"/>
      <c r="B258" s="40" t="n"/>
      <c r="C258" s="40" t="n"/>
      <c r="D258" s="40" t="n"/>
      <c r="E258" s="40" t="n"/>
      <c r="F258" s="39" t="n"/>
      <c r="G258" s="44">
        <f>IF(A258="","",IF(F258&lt;&gt;"",F258-A258,TODAY()-A258))</f>
        <v/>
      </c>
      <c r="H258" s="42" t="n"/>
      <c r="I258" s="43" t="n"/>
      <c r="J258" s="40" t="n"/>
      <c r="K258" s="40" t="n"/>
      <c r="L258" s="40" t="n"/>
    </row>
    <row r="259">
      <c r="A259" s="39" t="n"/>
      <c r="B259" s="40" t="n"/>
      <c r="C259" s="40" t="n"/>
      <c r="D259" s="40" t="n"/>
      <c r="E259" s="40" t="n"/>
      <c r="F259" s="39" t="n"/>
      <c r="G259" s="44">
        <f>IF(A259="","",IF(F259&lt;&gt;"",F259-A259,TODAY()-A259))</f>
        <v/>
      </c>
      <c r="H259" s="42" t="n"/>
      <c r="I259" s="43" t="n"/>
      <c r="J259" s="40" t="n"/>
      <c r="K259" s="40" t="n"/>
      <c r="L259" s="40" t="n"/>
    </row>
    <row r="260">
      <c r="A260" s="39" t="n"/>
      <c r="B260" s="40" t="n"/>
      <c r="C260" s="40" t="n"/>
      <c r="D260" s="40" t="n"/>
      <c r="E260" s="40" t="n"/>
      <c r="F260" s="39" t="n"/>
      <c r="G260" s="44">
        <f>IF(A260="","",IF(F260&lt;&gt;"",F260-A260,TODAY()-A260))</f>
        <v/>
      </c>
      <c r="H260" s="42" t="n"/>
      <c r="I260" s="43" t="n"/>
      <c r="J260" s="40" t="n"/>
      <c r="K260" s="40" t="n"/>
      <c r="L260" s="40" t="n"/>
    </row>
    <row r="261">
      <c r="A261" s="39" t="n"/>
      <c r="B261" s="40" t="n"/>
      <c r="C261" s="40" t="n"/>
      <c r="D261" s="40" t="n"/>
      <c r="E261" s="40" t="n"/>
      <c r="F261" s="39" t="n"/>
      <c r="G261" s="44">
        <f>IF(A261="","",IF(F261&lt;&gt;"",F261-A261,TODAY()-A261))</f>
        <v/>
      </c>
      <c r="H261" s="42" t="n"/>
      <c r="I261" s="43" t="n"/>
      <c r="J261" s="40" t="n"/>
      <c r="K261" s="40" t="n"/>
      <c r="L261" s="40" t="n"/>
    </row>
    <row r="262">
      <c r="A262" s="39" t="n"/>
      <c r="B262" s="40" t="n"/>
      <c r="C262" s="40" t="n"/>
      <c r="D262" s="40" t="n"/>
      <c r="E262" s="40" t="n"/>
      <c r="F262" s="39" t="n"/>
      <c r="G262" s="44">
        <f>IF(A262="","",IF(F262&lt;&gt;"",F262-A262,TODAY()-A262))</f>
        <v/>
      </c>
      <c r="H262" s="42" t="n"/>
      <c r="I262" s="43" t="n"/>
      <c r="J262" s="40" t="n"/>
      <c r="K262" s="40" t="n"/>
      <c r="L262" s="40" t="n"/>
    </row>
    <row r="263">
      <c r="A263" s="39" t="n"/>
      <c r="B263" s="40" t="n"/>
      <c r="C263" s="40" t="n"/>
      <c r="D263" s="40" t="n"/>
      <c r="E263" s="40" t="n"/>
      <c r="F263" s="39" t="n"/>
      <c r="G263" s="44">
        <f>IF(A263="","",IF(F263&lt;&gt;"",F263-A263,TODAY()-A263))</f>
        <v/>
      </c>
      <c r="H263" s="42" t="n"/>
      <c r="I263" s="43" t="n"/>
      <c r="J263" s="40" t="n"/>
      <c r="K263" s="40" t="n"/>
      <c r="L263" s="40" t="n"/>
    </row>
    <row r="264">
      <c r="A264" s="39" t="n"/>
      <c r="B264" s="40" t="n"/>
      <c r="C264" s="40" t="n"/>
      <c r="D264" s="40" t="n"/>
      <c r="E264" s="40" t="n"/>
      <c r="F264" s="39" t="n"/>
      <c r="G264" s="44">
        <f>IF(A264="","",IF(F264&lt;&gt;"",F264-A264,TODAY()-A264))</f>
        <v/>
      </c>
      <c r="H264" s="42" t="n"/>
      <c r="I264" s="43" t="n"/>
      <c r="J264" s="40" t="n"/>
      <c r="K264" s="40" t="n"/>
      <c r="L264" s="40" t="n"/>
    </row>
    <row r="265">
      <c r="A265" s="39" t="n"/>
      <c r="B265" s="40" t="n"/>
      <c r="C265" s="40" t="n"/>
      <c r="D265" s="40" t="n"/>
      <c r="E265" s="40" t="n"/>
      <c r="F265" s="39" t="n"/>
      <c r="G265" s="44">
        <f>IF(A265="","",IF(F265&lt;&gt;"",F265-A265,TODAY()-A265))</f>
        <v/>
      </c>
      <c r="H265" s="42" t="n"/>
      <c r="I265" s="43" t="n"/>
      <c r="J265" s="40" t="n"/>
      <c r="K265" s="40" t="n"/>
      <c r="L265" s="40" t="n"/>
    </row>
    <row r="266">
      <c r="A266" s="39" t="n"/>
      <c r="B266" s="40" t="n"/>
      <c r="C266" s="40" t="n"/>
      <c r="D266" s="40" t="n"/>
      <c r="E266" s="40" t="n"/>
      <c r="F266" s="39" t="n"/>
      <c r="G266" s="44">
        <f>IF(A266="","",IF(F266&lt;&gt;"",F266-A266,TODAY()-A266))</f>
        <v/>
      </c>
      <c r="H266" s="42" t="n"/>
      <c r="I266" s="43" t="n"/>
      <c r="J266" s="40" t="n"/>
      <c r="K266" s="40" t="n"/>
      <c r="L266" s="40" t="n"/>
    </row>
    <row r="267">
      <c r="A267" s="39" t="n"/>
      <c r="B267" s="40" t="n"/>
      <c r="C267" s="40" t="n"/>
      <c r="D267" s="40" t="n"/>
      <c r="E267" s="40" t="n"/>
      <c r="F267" s="39" t="n"/>
      <c r="G267" s="44">
        <f>IF(A267="","",IF(F267&lt;&gt;"",F267-A267,TODAY()-A267))</f>
        <v/>
      </c>
      <c r="H267" s="42" t="n"/>
      <c r="I267" s="43" t="n"/>
      <c r="J267" s="40" t="n"/>
      <c r="K267" s="40" t="n"/>
      <c r="L267" s="40" t="n"/>
    </row>
    <row r="268">
      <c r="A268" s="39" t="n"/>
      <c r="B268" s="40" t="n"/>
      <c r="C268" s="40" t="n"/>
      <c r="D268" s="40" t="n"/>
      <c r="E268" s="40" t="n"/>
      <c r="F268" s="39" t="n"/>
      <c r="G268" s="44">
        <f>IF(A268="","",IF(F268&lt;&gt;"",F268-A268,TODAY()-A268))</f>
        <v/>
      </c>
      <c r="H268" s="42" t="n"/>
      <c r="I268" s="43" t="n"/>
      <c r="J268" s="40" t="n"/>
      <c r="K268" s="40" t="n"/>
      <c r="L268" s="40" t="n"/>
    </row>
    <row r="269">
      <c r="A269" s="39" t="n"/>
      <c r="B269" s="40" t="n"/>
      <c r="C269" s="40" t="n"/>
      <c r="D269" s="40" t="n"/>
      <c r="E269" s="40" t="n"/>
      <c r="F269" s="39" t="n"/>
      <c r="G269" s="44">
        <f>IF(A269="","",IF(F269&lt;&gt;"",F269-A269,TODAY()-A269))</f>
        <v/>
      </c>
      <c r="H269" s="42" t="n"/>
      <c r="I269" s="43" t="n"/>
      <c r="J269" s="40" t="n"/>
      <c r="K269" s="40" t="n"/>
      <c r="L269" s="40" t="n"/>
    </row>
    <row r="270">
      <c r="A270" s="39" t="n"/>
      <c r="B270" s="40" t="n"/>
      <c r="C270" s="40" t="n"/>
      <c r="D270" s="40" t="n"/>
      <c r="E270" s="40" t="n"/>
      <c r="F270" s="39" t="n"/>
      <c r="G270" s="44">
        <f>IF(A270="","",IF(F270&lt;&gt;"",F270-A270,TODAY()-A270))</f>
        <v/>
      </c>
      <c r="H270" s="42" t="n"/>
      <c r="I270" s="43" t="n"/>
      <c r="J270" s="40" t="n"/>
      <c r="K270" s="40" t="n"/>
      <c r="L270" s="40" t="n"/>
    </row>
    <row r="271">
      <c r="A271" s="39" t="n"/>
      <c r="B271" s="40" t="n"/>
      <c r="C271" s="40" t="n"/>
      <c r="D271" s="40" t="n"/>
      <c r="E271" s="40" t="n"/>
      <c r="F271" s="39" t="n"/>
      <c r="G271" s="44">
        <f>IF(A271="","",IF(F271&lt;&gt;"",F271-A271,TODAY()-A271))</f>
        <v/>
      </c>
      <c r="H271" s="42" t="n"/>
      <c r="I271" s="43" t="n"/>
      <c r="J271" s="40" t="n"/>
      <c r="K271" s="40" t="n"/>
      <c r="L271" s="40" t="n"/>
    </row>
    <row r="272">
      <c r="A272" s="39" t="n"/>
      <c r="B272" s="40" t="n"/>
      <c r="C272" s="40" t="n"/>
      <c r="D272" s="40" t="n"/>
      <c r="E272" s="40" t="n"/>
      <c r="F272" s="39" t="n"/>
      <c r="G272" s="44">
        <f>IF(A272="","",IF(F272&lt;&gt;"",F272-A272,TODAY()-A272))</f>
        <v/>
      </c>
      <c r="H272" s="42" t="n"/>
      <c r="I272" s="43" t="n"/>
      <c r="J272" s="40" t="n"/>
      <c r="K272" s="40" t="n"/>
      <c r="L272" s="40" t="n"/>
    </row>
    <row r="273">
      <c r="A273" s="39" t="n"/>
      <c r="B273" s="40" t="n"/>
      <c r="C273" s="40" t="n"/>
      <c r="D273" s="40" t="n"/>
      <c r="E273" s="40" t="n"/>
      <c r="F273" s="39" t="n"/>
      <c r="G273" s="44">
        <f>IF(A273="","",IF(F273&lt;&gt;"",F273-A273,TODAY()-A273))</f>
        <v/>
      </c>
      <c r="H273" s="42" t="n"/>
      <c r="I273" s="43" t="n"/>
      <c r="J273" s="40" t="n"/>
      <c r="K273" s="40" t="n"/>
      <c r="L273" s="40" t="n"/>
    </row>
    <row r="274">
      <c r="A274" s="39" t="n"/>
      <c r="B274" s="40" t="n"/>
      <c r="C274" s="40" t="n"/>
      <c r="D274" s="40" t="n"/>
      <c r="E274" s="40" t="n"/>
      <c r="F274" s="39" t="n"/>
      <c r="G274" s="44">
        <f>IF(A274="","",IF(F274&lt;&gt;"",F274-A274,TODAY()-A274))</f>
        <v/>
      </c>
      <c r="H274" s="42" t="n"/>
      <c r="I274" s="43" t="n"/>
      <c r="J274" s="40" t="n"/>
      <c r="K274" s="40" t="n"/>
      <c r="L274" s="40" t="n"/>
    </row>
    <row r="275">
      <c r="A275" s="39" t="n"/>
      <c r="B275" s="40" t="n"/>
      <c r="C275" s="40" t="n"/>
      <c r="D275" s="40" t="n"/>
      <c r="E275" s="40" t="n"/>
      <c r="F275" s="39" t="n"/>
      <c r="G275" s="44">
        <f>IF(A275="","",IF(F275&lt;&gt;"",F275-A275,TODAY()-A275))</f>
        <v/>
      </c>
      <c r="H275" s="42" t="n"/>
      <c r="I275" s="43" t="n"/>
      <c r="J275" s="40" t="n"/>
      <c r="K275" s="40" t="n"/>
      <c r="L275" s="40" t="n"/>
    </row>
    <row r="276">
      <c r="A276" s="39" t="n"/>
      <c r="B276" s="40" t="n"/>
      <c r="C276" s="40" t="n"/>
      <c r="D276" s="40" t="n"/>
      <c r="E276" s="40" t="n"/>
      <c r="F276" s="39" t="n"/>
      <c r="G276" s="44">
        <f>IF(A276="","",IF(F276&lt;&gt;"",F276-A276,TODAY()-A276))</f>
        <v/>
      </c>
      <c r="H276" s="42" t="n"/>
      <c r="I276" s="43" t="n"/>
      <c r="J276" s="40" t="n"/>
      <c r="K276" s="40" t="n"/>
      <c r="L276" s="40" t="n"/>
    </row>
    <row r="277">
      <c r="A277" s="39" t="n"/>
      <c r="B277" s="40" t="n"/>
      <c r="C277" s="40" t="n"/>
      <c r="D277" s="40" t="n"/>
      <c r="E277" s="40" t="n"/>
      <c r="F277" s="39" t="n"/>
      <c r="G277" s="44">
        <f>IF(A277="","",IF(F277&lt;&gt;"",F277-A277,TODAY()-A277))</f>
        <v/>
      </c>
      <c r="H277" s="42" t="n"/>
      <c r="I277" s="43" t="n"/>
      <c r="J277" s="40" t="n"/>
      <c r="K277" s="40" t="n"/>
      <c r="L277" s="40" t="n"/>
    </row>
    <row r="278">
      <c r="A278" s="39" t="n"/>
      <c r="B278" s="40" t="n"/>
      <c r="C278" s="40" t="n"/>
      <c r="D278" s="40" t="n"/>
      <c r="E278" s="40" t="n"/>
      <c r="F278" s="39" t="n"/>
      <c r="G278" s="44">
        <f>IF(A278="","",IF(F278&lt;&gt;"",F278-A278,TODAY()-A278))</f>
        <v/>
      </c>
      <c r="H278" s="42" t="n"/>
      <c r="I278" s="43" t="n"/>
      <c r="J278" s="40" t="n"/>
      <c r="K278" s="40" t="n"/>
      <c r="L278" s="40" t="n"/>
    </row>
    <row r="279">
      <c r="A279" s="39" t="n"/>
      <c r="B279" s="40" t="n"/>
      <c r="C279" s="40" t="n"/>
      <c r="D279" s="40" t="n"/>
      <c r="E279" s="40" t="n"/>
      <c r="F279" s="39" t="n"/>
      <c r="G279" s="44">
        <f>IF(A279="","",IF(F279&lt;&gt;"",F279-A279,TODAY()-A279))</f>
        <v/>
      </c>
      <c r="H279" s="42" t="n"/>
      <c r="I279" s="43" t="n"/>
      <c r="J279" s="40" t="n"/>
      <c r="K279" s="40" t="n"/>
      <c r="L279" s="40" t="n"/>
    </row>
    <row r="280">
      <c r="A280" s="39" t="n"/>
      <c r="B280" s="40" t="n"/>
      <c r="C280" s="40" t="n"/>
      <c r="D280" s="40" t="n"/>
      <c r="E280" s="40" t="n"/>
      <c r="F280" s="39" t="n"/>
      <c r="G280" s="44">
        <f>IF(A280="","",IF(F280&lt;&gt;"",F280-A280,TODAY()-A280))</f>
        <v/>
      </c>
      <c r="H280" s="42" t="n"/>
      <c r="I280" s="43" t="n"/>
      <c r="J280" s="40" t="n"/>
      <c r="K280" s="40" t="n"/>
      <c r="L280" s="40" t="n"/>
    </row>
    <row r="281">
      <c r="A281" s="39" t="n"/>
      <c r="B281" s="40" t="n"/>
      <c r="C281" s="40" t="n"/>
      <c r="D281" s="40" t="n"/>
      <c r="E281" s="40" t="n"/>
      <c r="F281" s="39" t="n"/>
      <c r="G281" s="44">
        <f>IF(A281="","",IF(F281&lt;&gt;"",F281-A281,TODAY()-A281))</f>
        <v/>
      </c>
      <c r="H281" s="42" t="n"/>
      <c r="I281" s="43" t="n"/>
      <c r="J281" s="40" t="n"/>
      <c r="K281" s="40" t="n"/>
      <c r="L281" s="40" t="n"/>
    </row>
    <row r="282">
      <c r="A282" s="39" t="n"/>
      <c r="B282" s="40" t="n"/>
      <c r="C282" s="40" t="n"/>
      <c r="D282" s="40" t="n"/>
      <c r="E282" s="40" t="n"/>
      <c r="F282" s="39" t="n"/>
      <c r="G282" s="44">
        <f>IF(A282="","",IF(F282&lt;&gt;"",F282-A282,TODAY()-A282))</f>
        <v/>
      </c>
      <c r="H282" s="42" t="n"/>
      <c r="I282" s="43" t="n"/>
      <c r="J282" s="40" t="n"/>
      <c r="K282" s="40" t="n"/>
      <c r="L282" s="40" t="n"/>
    </row>
    <row r="283">
      <c r="A283" s="39" t="n"/>
      <c r="B283" s="40" t="n"/>
      <c r="C283" s="40" t="n"/>
      <c r="D283" s="40" t="n"/>
      <c r="E283" s="40" t="n"/>
      <c r="F283" s="39" t="n"/>
      <c r="G283" s="44">
        <f>IF(A283="","",IF(F283&lt;&gt;"",F283-A283,TODAY()-A283))</f>
        <v/>
      </c>
      <c r="H283" s="42" t="n"/>
      <c r="I283" s="43" t="n"/>
      <c r="J283" s="40" t="n"/>
      <c r="K283" s="40" t="n"/>
      <c r="L283" s="40" t="n"/>
    </row>
    <row r="284">
      <c r="A284" s="39" t="n"/>
      <c r="B284" s="40" t="n"/>
      <c r="C284" s="40" t="n"/>
      <c r="D284" s="40" t="n"/>
      <c r="E284" s="40" t="n"/>
      <c r="F284" s="39" t="n"/>
      <c r="G284" s="44">
        <f>IF(A284="","",IF(F284&lt;&gt;"",F284-A284,TODAY()-A284))</f>
        <v/>
      </c>
      <c r="H284" s="42" t="n"/>
      <c r="I284" s="43" t="n"/>
      <c r="J284" s="40" t="n"/>
      <c r="K284" s="40" t="n"/>
      <c r="L284" s="40" t="n"/>
    </row>
    <row r="285">
      <c r="A285" s="39" t="n"/>
      <c r="B285" s="40" t="n"/>
      <c r="C285" s="40" t="n"/>
      <c r="D285" s="40" t="n"/>
      <c r="E285" s="40" t="n"/>
      <c r="F285" s="39" t="n"/>
      <c r="G285" s="44">
        <f>IF(A285="","",IF(F285&lt;&gt;"",F285-A285,TODAY()-A285))</f>
        <v/>
      </c>
      <c r="H285" s="42" t="n"/>
      <c r="I285" s="43" t="n"/>
      <c r="J285" s="40" t="n"/>
      <c r="K285" s="40" t="n"/>
      <c r="L285" s="40" t="n"/>
    </row>
    <row r="286">
      <c r="A286" s="39" t="n"/>
      <c r="B286" s="40" t="n"/>
      <c r="C286" s="40" t="n"/>
      <c r="D286" s="40" t="n"/>
      <c r="E286" s="40" t="n"/>
      <c r="F286" s="39" t="n"/>
      <c r="G286" s="44">
        <f>IF(A286="","",IF(F286&lt;&gt;"",F286-A286,TODAY()-A286))</f>
        <v/>
      </c>
      <c r="H286" s="42" t="n"/>
      <c r="I286" s="43" t="n"/>
      <c r="J286" s="40" t="n"/>
      <c r="K286" s="40" t="n"/>
      <c r="L286" s="40" t="n"/>
    </row>
    <row r="287">
      <c r="A287" s="39" t="n"/>
      <c r="B287" s="40" t="n"/>
      <c r="C287" s="40" t="n"/>
      <c r="D287" s="40" t="n"/>
      <c r="E287" s="40" t="n"/>
      <c r="F287" s="39" t="n"/>
      <c r="G287" s="44">
        <f>IF(A287="","",IF(F287&lt;&gt;"",F287-A287,TODAY()-A287))</f>
        <v/>
      </c>
      <c r="H287" s="42" t="n"/>
      <c r="I287" s="43" t="n"/>
      <c r="J287" s="40" t="n"/>
      <c r="K287" s="40" t="n"/>
      <c r="L287" s="40" t="n"/>
    </row>
    <row r="288">
      <c r="A288" s="39" t="n"/>
      <c r="B288" s="40" t="n"/>
      <c r="C288" s="40" t="n"/>
      <c r="D288" s="40" t="n"/>
      <c r="E288" s="40" t="n"/>
      <c r="F288" s="39" t="n"/>
      <c r="G288" s="44">
        <f>IF(A288="","",IF(F288&lt;&gt;"",F288-A288,TODAY()-A288))</f>
        <v/>
      </c>
      <c r="H288" s="42" t="n"/>
      <c r="I288" s="43" t="n"/>
      <c r="J288" s="40" t="n"/>
      <c r="K288" s="40" t="n"/>
      <c r="L288" s="40" t="n"/>
    </row>
    <row r="289">
      <c r="A289" s="39" t="n"/>
      <c r="B289" s="40" t="n"/>
      <c r="C289" s="40" t="n"/>
      <c r="D289" s="40" t="n"/>
      <c r="E289" s="40" t="n"/>
      <c r="F289" s="39" t="n"/>
      <c r="G289" s="44">
        <f>IF(A289="","",IF(F289&lt;&gt;"",F289-A289,TODAY()-A289))</f>
        <v/>
      </c>
      <c r="H289" s="42" t="n"/>
      <c r="I289" s="43" t="n"/>
      <c r="J289" s="40" t="n"/>
      <c r="K289" s="40" t="n"/>
      <c r="L289" s="40" t="n"/>
    </row>
    <row r="290">
      <c r="A290" s="39" t="n"/>
      <c r="B290" s="40" t="n"/>
      <c r="C290" s="40" t="n"/>
      <c r="D290" s="40" t="n"/>
      <c r="E290" s="40" t="n"/>
      <c r="F290" s="39" t="n"/>
      <c r="G290" s="44">
        <f>IF(A290="","",IF(F290&lt;&gt;"",F290-A290,TODAY()-A290))</f>
        <v/>
      </c>
      <c r="H290" s="42" t="n"/>
      <c r="I290" s="43" t="n"/>
      <c r="J290" s="40" t="n"/>
      <c r="K290" s="40" t="n"/>
      <c r="L290" s="40" t="n"/>
    </row>
    <row r="291">
      <c r="A291" s="39" t="n"/>
      <c r="B291" s="40" t="n"/>
      <c r="C291" s="40" t="n"/>
      <c r="D291" s="40" t="n"/>
      <c r="E291" s="40" t="n"/>
      <c r="F291" s="39" t="n"/>
      <c r="G291" s="44">
        <f>IF(A291="","",IF(F291&lt;&gt;"",F291-A291,TODAY()-A291))</f>
        <v/>
      </c>
      <c r="H291" s="42" t="n"/>
      <c r="I291" s="43" t="n"/>
      <c r="J291" s="40" t="n"/>
      <c r="K291" s="40" t="n"/>
      <c r="L291" s="40" t="n"/>
    </row>
    <row r="292">
      <c r="A292" s="39" t="n"/>
      <c r="B292" s="40" t="n"/>
      <c r="C292" s="40" t="n"/>
      <c r="D292" s="40" t="n"/>
      <c r="E292" s="40" t="n"/>
      <c r="F292" s="39" t="n"/>
      <c r="G292" s="44">
        <f>IF(A292="","",IF(F292&lt;&gt;"",F292-A292,TODAY()-A292))</f>
        <v/>
      </c>
      <c r="H292" s="42" t="n"/>
      <c r="I292" s="43" t="n"/>
      <c r="J292" s="40" t="n"/>
      <c r="K292" s="40" t="n"/>
      <c r="L292" s="40" t="n"/>
    </row>
    <row r="293">
      <c r="A293" s="39" t="n"/>
      <c r="B293" s="40" t="n"/>
      <c r="C293" s="40" t="n"/>
      <c r="D293" s="40" t="n"/>
      <c r="E293" s="40" t="n"/>
      <c r="F293" s="39" t="n"/>
      <c r="G293" s="44">
        <f>IF(A293="","",IF(F293&lt;&gt;"",F293-A293,TODAY()-A293))</f>
        <v/>
      </c>
      <c r="H293" s="42" t="n"/>
      <c r="I293" s="43" t="n"/>
      <c r="J293" s="40" t="n"/>
      <c r="K293" s="40" t="n"/>
      <c r="L293" s="40" t="n"/>
    </row>
    <row r="294">
      <c r="A294" s="39" t="n"/>
      <c r="B294" s="40" t="n"/>
      <c r="C294" s="40" t="n"/>
      <c r="D294" s="40" t="n"/>
      <c r="E294" s="40" t="n"/>
      <c r="F294" s="39" t="n"/>
      <c r="G294" s="44">
        <f>IF(A294="","",IF(F294&lt;&gt;"",F294-A294,TODAY()-A294))</f>
        <v/>
      </c>
      <c r="H294" s="42" t="n"/>
      <c r="I294" s="43" t="n"/>
      <c r="J294" s="40" t="n"/>
      <c r="K294" s="40" t="n"/>
      <c r="L294" s="40" t="n"/>
    </row>
    <row r="295">
      <c r="A295" s="39" t="n"/>
      <c r="B295" s="40" t="n"/>
      <c r="C295" s="40" t="n"/>
      <c r="D295" s="40" t="n"/>
      <c r="E295" s="40" t="n"/>
      <c r="F295" s="39" t="n"/>
      <c r="G295" s="44">
        <f>IF(A295="","",IF(F295&lt;&gt;"",F295-A295,TODAY()-A295))</f>
        <v/>
      </c>
      <c r="H295" s="42" t="n"/>
      <c r="I295" s="43" t="n"/>
      <c r="J295" s="40" t="n"/>
      <c r="K295" s="40" t="n"/>
      <c r="L295" s="40" t="n"/>
    </row>
    <row r="296">
      <c r="A296" s="39" t="n"/>
      <c r="B296" s="40" t="n"/>
      <c r="C296" s="40" t="n"/>
      <c r="D296" s="40" t="n"/>
      <c r="E296" s="40" t="n"/>
      <c r="F296" s="39" t="n"/>
      <c r="G296" s="44">
        <f>IF(A296="","",IF(F296&lt;&gt;"",F296-A296,TODAY()-A296))</f>
        <v/>
      </c>
      <c r="H296" s="42" t="n"/>
      <c r="I296" s="43" t="n"/>
      <c r="J296" s="40" t="n"/>
      <c r="K296" s="40" t="n"/>
      <c r="L296" s="40" t="n"/>
    </row>
    <row r="297">
      <c r="A297" s="39" t="n"/>
      <c r="B297" s="40" t="n"/>
      <c r="C297" s="40" t="n"/>
      <c r="D297" s="40" t="n"/>
      <c r="E297" s="40" t="n"/>
      <c r="F297" s="39" t="n"/>
      <c r="G297" s="44">
        <f>IF(A297="","",IF(F297&lt;&gt;"",F297-A297,TODAY()-A297))</f>
        <v/>
      </c>
      <c r="H297" s="42" t="n"/>
      <c r="I297" s="43" t="n"/>
      <c r="J297" s="40" t="n"/>
      <c r="K297" s="40" t="n"/>
      <c r="L297" s="40" t="n"/>
    </row>
    <row r="298">
      <c r="A298" s="39" t="n"/>
      <c r="B298" s="40" t="n"/>
      <c r="C298" s="40" t="n"/>
      <c r="D298" s="40" t="n"/>
      <c r="E298" s="40" t="n"/>
      <c r="F298" s="39" t="n"/>
      <c r="G298" s="44">
        <f>IF(A298="","",IF(F298&lt;&gt;"",F298-A298,TODAY()-A298))</f>
        <v/>
      </c>
      <c r="H298" s="42" t="n"/>
      <c r="I298" s="43" t="n"/>
      <c r="J298" s="40" t="n"/>
      <c r="K298" s="40" t="n"/>
      <c r="L298" s="40" t="n"/>
    </row>
    <row r="299">
      <c r="A299" s="39" t="n"/>
      <c r="B299" s="40" t="n"/>
      <c r="C299" s="40" t="n"/>
      <c r="D299" s="40" t="n"/>
      <c r="E299" s="40" t="n"/>
      <c r="F299" s="39" t="n"/>
      <c r="G299" s="44">
        <f>IF(A299="","",IF(F299&lt;&gt;"",F299-A299,TODAY()-A299))</f>
        <v/>
      </c>
      <c r="H299" s="42" t="n"/>
      <c r="I299" s="43" t="n"/>
      <c r="J299" s="40" t="n"/>
      <c r="K299" s="40" t="n"/>
      <c r="L299" s="40" t="n"/>
    </row>
    <row r="300">
      <c r="A300" s="39" t="n"/>
      <c r="B300" s="40" t="n"/>
      <c r="C300" s="40" t="n"/>
      <c r="D300" s="40" t="n"/>
      <c r="E300" s="40" t="n"/>
      <c r="F300" s="39" t="n"/>
      <c r="G300" s="44">
        <f>IF(A300="","",IF(F300&lt;&gt;"",F300-A300,TODAY()-A300))</f>
        <v/>
      </c>
      <c r="H300" s="42" t="n"/>
      <c r="I300" s="43" t="n"/>
      <c r="J300" s="40" t="n"/>
      <c r="K300" s="40" t="n"/>
      <c r="L300" s="40" t="n"/>
    </row>
    <row r="301">
      <c r="A301" s="39" t="n"/>
      <c r="B301" s="40" t="n"/>
      <c r="C301" s="40" t="n"/>
      <c r="D301" s="40" t="n"/>
      <c r="E301" s="40" t="n"/>
      <c r="F301" s="39" t="n"/>
      <c r="G301" s="44">
        <f>IF(A301="","",IF(F301&lt;&gt;"",F301-A301,TODAY()-A301))</f>
        <v/>
      </c>
      <c r="H301" s="42" t="n"/>
      <c r="I301" s="43" t="n"/>
      <c r="J301" s="40" t="n"/>
      <c r="K301" s="40" t="n"/>
      <c r="L301" s="40" t="n"/>
    </row>
    <row r="302">
      <c r="A302" s="39" t="n"/>
      <c r="B302" s="40" t="n"/>
      <c r="C302" s="40" t="n"/>
      <c r="D302" s="40" t="n"/>
      <c r="E302" s="40" t="n"/>
      <c r="F302" s="39" t="n"/>
      <c r="G302" s="44">
        <f>IF(A302="","",IF(F302&lt;&gt;"",F302-A302,TODAY()-A302))</f>
        <v/>
      </c>
      <c r="H302" s="42" t="n"/>
      <c r="I302" s="43" t="n"/>
      <c r="J302" s="40" t="n"/>
      <c r="K302" s="40" t="n"/>
      <c r="L302" s="40" t="n"/>
    </row>
    <row r="303">
      <c r="A303" s="39" t="n"/>
      <c r="B303" s="40" t="n"/>
      <c r="C303" s="40" t="n"/>
      <c r="D303" s="40" t="n"/>
      <c r="E303" s="40" t="n"/>
      <c r="F303" s="39" t="n"/>
      <c r="G303" s="44">
        <f>IF(A303="","",IF(F303&lt;&gt;"",F303-A303,TODAY()-A303))</f>
        <v/>
      </c>
      <c r="H303" s="42" t="n"/>
      <c r="I303" s="43" t="n"/>
      <c r="J303" s="40" t="n"/>
      <c r="K303" s="40" t="n"/>
      <c r="L303" s="40" t="n"/>
    </row>
    <row r="304">
      <c r="A304" s="39" t="n"/>
      <c r="B304" s="40" t="n"/>
      <c r="C304" s="40" t="n"/>
      <c r="D304" s="40" t="n"/>
      <c r="E304" s="40" t="n"/>
      <c r="F304" s="39" t="n"/>
      <c r="G304" s="44">
        <f>IF(A304="","",IF(F304&lt;&gt;"",F304-A304,TODAY()-A304))</f>
        <v/>
      </c>
      <c r="H304" s="42" t="n"/>
      <c r="I304" s="43" t="n"/>
      <c r="J304" s="40" t="n"/>
      <c r="K304" s="40" t="n"/>
      <c r="L304" s="40" t="n"/>
    </row>
    <row r="305">
      <c r="A305" s="39" t="n"/>
      <c r="B305" s="40" t="n"/>
      <c r="C305" s="40" t="n"/>
      <c r="D305" s="40" t="n"/>
      <c r="E305" s="40" t="n"/>
      <c r="F305" s="39" t="n"/>
      <c r="G305" s="44">
        <f>IF(A305="","",IF(F305&lt;&gt;"",F305-A305,TODAY()-A305))</f>
        <v/>
      </c>
      <c r="H305" s="42" t="n"/>
      <c r="I305" s="43" t="n"/>
      <c r="J305" s="40" t="n"/>
      <c r="K305" s="40" t="n"/>
      <c r="L305" s="40" t="n"/>
    </row>
  </sheetData>
  <mergeCells count="4">
    <mergeCell ref="J2:L2"/>
    <mergeCell ref="D2:I2"/>
    <mergeCell ref="A2:C2"/>
    <mergeCell ref="A4:L4"/>
  </mergeCells>
  <conditionalFormatting sqref="A6:L305">
    <cfRule type="expression" priority="1" dxfId="0">
      <formula>AND($J6="Open",$G6&gt;14)</formula>
    </cfRule>
  </conditionalFormatting>
  <dataValidations count="6">
    <dataValidation sqref="B6:B305" showDropDown="0" showInputMessage="0" showErrorMessage="0" allowBlank="1" type="list">
      <formula1>=Settings!$B$7:$B$16</formula1>
    </dataValidation>
    <dataValidation sqref="C6:C305" showDropDown="0" showInputMessage="0" showErrorMessage="0" allowBlank="1" type="list">
      <formula1>=Settings!$B$27:$B$36</formula1>
    </dataValidation>
    <dataValidation sqref="E6:E305" showDropDown="0" showInputMessage="0" showErrorMessage="0" allowBlank="1" type="list">
      <formula1>=Vendors!$A$6:$A$55</formula1>
    </dataValidation>
    <dataValidation sqref="I6:I305" showDropDown="0" showInputMessage="0" showErrorMessage="0" allowBlank="1" type="list">
      <formula1>"Y,N"</formula1>
    </dataValidation>
    <dataValidation sqref="J6:J305" showDropDown="0" showInputMessage="0" showErrorMessage="0" allowBlank="1" type="list">
      <formula1>=Settings!$B$18:$B$25</formula1>
    </dataValidation>
    <dataValidation sqref="K6:K305" showDropDown="0" showInputMessage="0" showErrorMessage="0" allowBlank="1" type="list">
      <formula1>"Repair,Capex"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6" customWidth="1" min="3" max="3"/>
    <col width="26" customWidth="1" min="4" max="4"/>
    <col width="15" customWidth="1" min="5" max="5"/>
    <col width="9" customWidth="1" min="6" max="6"/>
    <col width="11" customWidth="1" min="7" max="7"/>
    <col width="22" customWidth="1" min="8" max="8"/>
    <col width="12" customWidth="1" min="9" max="9"/>
    <col width="12" customWidth="1" min="10" max="10"/>
    <col width="8" customWidth="1" min="11" max="11"/>
    <col width="2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HYPERLINK("#'Work Orders'!A1", "← BACK")</f>
        <v/>
      </c>
      <c r="B2" s="12" t="n"/>
      <c r="C2" s="12" t="n"/>
      <c r="D2" s="36" t="inlineStr">
        <is>
          <t>VENDORS</t>
        </is>
      </c>
      <c r="J2" s="29">
        <f>HYPERLINK("#'Recurring Services'!A1",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Preferred-vendor CRM — your call sheet for the next emergency</t>
        </is>
      </c>
    </row>
    <row r="5" ht="20" customHeight="1">
      <c r="A5" s="38" t="inlineStr">
        <is>
          <t>Vendor Name</t>
        </is>
      </c>
      <c r="B5" s="38" t="inlineStr">
        <is>
          <t>Trade</t>
        </is>
      </c>
      <c r="C5" s="38" t="inlineStr">
        <is>
          <t>Phone</t>
        </is>
      </c>
      <c r="D5" s="38" t="inlineStr">
        <is>
          <t>Email</t>
        </is>
      </c>
      <c r="E5" s="38" t="inlineStr">
        <is>
          <t>License #</t>
        </is>
      </c>
      <c r="F5" s="38" t="inlineStr">
        <is>
          <t>Insured?</t>
        </is>
      </c>
      <c r="G5" s="38" t="inlineStr">
        <is>
          <t>Hourly Rate</t>
        </is>
      </c>
      <c r="H5" s="38" t="inlineStr">
        <is>
          <t>Service Area</t>
        </is>
      </c>
      <c r="I5" s="38" t="inlineStr">
        <is>
          <t>Last Used</t>
        </is>
      </c>
      <c r="J5" s="38" t="inlineStr">
        <is>
          <t>YTD Spend</t>
        </is>
      </c>
      <c r="K5" s="38" t="inlineStr">
        <is>
          <t>Rating 1-5</t>
        </is>
      </c>
      <c r="L5" s="38" t="inlineStr">
        <is>
          <t>Notes</t>
        </is>
      </c>
    </row>
    <row r="6" ht="16" customHeight="1">
      <c r="A6" s="40" t="inlineStr">
        <is>
          <t>Quick Plumbing</t>
        </is>
      </c>
      <c r="B6" s="40" t="inlineStr">
        <is>
          <t>Plumber</t>
        </is>
      </c>
      <c r="C6" s="40" t="inlineStr">
        <is>
          <t>(865) 555-0166</t>
        </is>
      </c>
      <c r="D6" s="40" t="inlineStr">
        <is>
          <t>info@quickplumbing.com</t>
        </is>
      </c>
      <c r="E6" s="40" t="inlineStr">
        <is>
          <t>TN-PL-12847</t>
        </is>
      </c>
      <c r="F6" s="43" t="inlineStr">
        <is>
          <t>Y</t>
        </is>
      </c>
      <c r="G6" s="45" t="n">
        <v>95</v>
      </c>
      <c r="H6" s="40" t="inlineStr">
        <is>
          <t>Sevierville · Gatlinburg</t>
        </is>
      </c>
      <c r="I6" s="39" t="n">
        <v>46103</v>
      </c>
      <c r="J6" s="46">
        <f>IF(A6="","",SUMIFS('Work Orders'!$H$6:$H$305,'Work Orders'!$E$6:$E$305,A6,'Work Orders'!$A$6:$A$305,"&gt;="&amp;DATE(Settings!$B$5,1,1),'Work Orders'!$A$6:$A$305,"&lt;"&amp;DATE(Settings!$B$5+1,1,1)))</f>
        <v/>
      </c>
      <c r="K6" s="47" t="n">
        <v>5</v>
      </c>
      <c r="L6" s="40" t="inlineStr">
        <is>
          <t>Emergency 24/7</t>
        </is>
      </c>
    </row>
    <row r="7" ht="16" customHeight="1">
      <c r="A7" s="40" t="inlineStr">
        <is>
          <t>Mountain HVAC</t>
        </is>
      </c>
      <c r="B7" s="40" t="inlineStr">
        <is>
          <t>HVAC</t>
        </is>
      </c>
      <c r="C7" s="40" t="inlineStr">
        <is>
          <t>(865) 555-0218</t>
        </is>
      </c>
      <c r="D7" s="40" t="inlineStr">
        <is>
          <t>service@mtnhvac.com</t>
        </is>
      </c>
      <c r="E7" s="40" t="inlineStr">
        <is>
          <t>TN-HV-09122</t>
        </is>
      </c>
      <c r="F7" s="43" t="inlineStr">
        <is>
          <t>Y</t>
        </is>
      </c>
      <c r="G7" s="45" t="n">
        <v>110</v>
      </c>
      <c r="H7" s="40" t="inlineStr">
        <is>
          <t>All Smokies area</t>
        </is>
      </c>
      <c r="I7" s="39" t="n">
        <v>46105</v>
      </c>
      <c r="J7" s="46">
        <f>IF(A7="","",SUMIFS('Work Orders'!$H$6:$H$305,'Work Orders'!$E$6:$E$305,A7,'Work Orders'!$A$6:$A$305,"&gt;="&amp;DATE(Settings!$B$5,1,1),'Work Orders'!$A$6:$A$305,"&lt;"&amp;DATE(Settings!$B$5+1,1,1)))</f>
        <v/>
      </c>
      <c r="K7" s="47" t="n">
        <v>5</v>
      </c>
      <c r="L7" s="40" t="inlineStr">
        <is>
          <t>Maintenance contract option</t>
        </is>
      </c>
    </row>
    <row r="8" ht="16" customHeight="1">
      <c r="A8" s="40" t="inlineStr">
        <is>
          <t>Bob Handyman</t>
        </is>
      </c>
      <c r="B8" s="40" t="inlineStr">
        <is>
          <t>Handyman</t>
        </is>
      </c>
      <c r="C8" s="40" t="inlineStr">
        <is>
          <t>(865) 555-0198</t>
        </is>
      </c>
      <c r="D8" s="40" t="inlineStr">
        <is>
          <t>bob@ridgerepair.com</t>
        </is>
      </c>
      <c r="E8" s="40" t="inlineStr">
        <is>
          <t>—</t>
        </is>
      </c>
      <c r="F8" s="43" t="inlineStr">
        <is>
          <t>Y</t>
        </is>
      </c>
      <c r="G8" s="45" t="n">
        <v>65</v>
      </c>
      <c r="H8" s="40" t="inlineStr">
        <is>
          <t>Sevierville · Pigeon Forge</t>
        </is>
      </c>
      <c r="I8" s="39" t="n">
        <v>46109</v>
      </c>
      <c r="J8" s="46">
        <f>IF(A8="","",SUMIFS('Work Orders'!$H$6:$H$305,'Work Orders'!$E$6:$E$305,A8,'Work Orders'!$A$6:$A$305,"&gt;="&amp;DATE(Settings!$B$5,1,1),'Work Orders'!$A$6:$A$305,"&lt;"&amp;DATE(Settings!$B$5+1,1,1)))</f>
        <v/>
      </c>
      <c r="K8" s="47" t="n">
        <v>4</v>
      </c>
      <c r="L8" s="40" t="inlineStr">
        <is>
          <t>Best for small repairs</t>
        </is>
      </c>
    </row>
    <row r="9" ht="16" customHeight="1">
      <c r="A9" s="40" t="inlineStr">
        <is>
          <t>Spark Electric</t>
        </is>
      </c>
      <c r="B9" s="40" t="inlineStr">
        <is>
          <t>Electrician</t>
        </is>
      </c>
      <c r="C9" s="40" t="inlineStr">
        <is>
          <t>(865) 555-0341</t>
        </is>
      </c>
      <c r="D9" s="40" t="inlineStr">
        <is>
          <t>dispatch@sparkelectric.co</t>
        </is>
      </c>
      <c r="E9" s="40" t="inlineStr">
        <is>
          <t>TN-EL-04518</t>
        </is>
      </c>
      <c r="F9" s="43" t="inlineStr">
        <is>
          <t>Y</t>
        </is>
      </c>
      <c r="G9" s="45" t="n">
        <v>125</v>
      </c>
      <c r="H9" s="40" t="inlineStr">
        <is>
          <t>Knoxville · Sevierville</t>
        </is>
      </c>
      <c r="I9" s="39" t="n">
        <v>46085</v>
      </c>
      <c r="J9" s="46">
        <f>IF(A9="","",SUMIFS('Work Orders'!$H$6:$H$305,'Work Orders'!$E$6:$E$305,A9,'Work Orders'!$A$6:$A$305,"&gt;="&amp;DATE(Settings!$B$5,1,1),'Work Orders'!$A$6:$A$305,"&lt;"&amp;DATE(Settings!$B$5+1,1,1)))</f>
        <v/>
      </c>
      <c r="K9" s="47" t="n">
        <v>5</v>
      </c>
      <c r="L9" s="40" t="inlineStr">
        <is>
          <t>Slow on weekends</t>
        </is>
      </c>
    </row>
    <row r="10" ht="16" customHeight="1">
      <c r="A10" s="40" t="inlineStr">
        <is>
          <t>BugOff Pest</t>
        </is>
      </c>
      <c r="B10" s="40" t="inlineStr">
        <is>
          <t>Pest control</t>
        </is>
      </c>
      <c r="C10" s="40" t="inlineStr">
        <is>
          <t>(865) 555-0277</t>
        </is>
      </c>
      <c r="D10" s="40" t="inlineStr">
        <is>
          <t>schedule@bugoff.co</t>
        </is>
      </c>
      <c r="E10" s="40" t="inlineStr">
        <is>
          <t>TN-PC-22019</t>
        </is>
      </c>
      <c r="F10" s="43" t="inlineStr">
        <is>
          <t>Y</t>
        </is>
      </c>
      <c r="G10" s="45" t="n"/>
      <c r="H10" s="40" t="inlineStr">
        <is>
          <t>All Smokies area</t>
        </is>
      </c>
      <c r="I10" s="39" t="n">
        <v>46109</v>
      </c>
      <c r="J10" s="46">
        <f>IF(A10="","",SUMIFS('Work Orders'!$H$6:$H$305,'Work Orders'!$E$6:$E$305,A10,'Work Orders'!$A$6:$A$305,"&gt;="&amp;DATE(Settings!$B$5,1,1),'Work Orders'!$A$6:$A$305,"&lt;"&amp;DATE(Settings!$B$5+1,1,1)))</f>
        <v/>
      </c>
      <c r="K10" s="47" t="n">
        <v>4</v>
      </c>
      <c r="L10" s="40" t="inlineStr">
        <is>
          <t>Quarterly contract $95/visit</t>
        </is>
      </c>
    </row>
    <row r="11" ht="16" customHeight="1">
      <c r="A11" s="40" t="inlineStr">
        <is>
          <t>Joe Landscape</t>
        </is>
      </c>
      <c r="B11" s="40" t="inlineStr">
        <is>
          <t>Landscaper</t>
        </is>
      </c>
      <c r="C11" s="40" t="inlineStr">
        <is>
          <t>(865) 555-0155</t>
        </is>
      </c>
      <c r="D11" s="40" t="inlineStr">
        <is>
          <t>joe@joeslawn.com</t>
        </is>
      </c>
      <c r="E11" s="40" t="inlineStr">
        <is>
          <t>—</t>
        </is>
      </c>
      <c r="F11" s="43" t="inlineStr">
        <is>
          <t>N</t>
        </is>
      </c>
      <c r="G11" s="45" t="n">
        <v>50</v>
      </c>
      <c r="H11" s="40" t="inlineStr">
        <is>
          <t>Pigeon Forge · Gatlinburg</t>
        </is>
      </c>
      <c r="I11" s="39" t="n">
        <v>46112</v>
      </c>
      <c r="J11" s="46">
        <f>IF(A11="","",SUMIFS('Work Orders'!$H$6:$H$305,'Work Orders'!$E$6:$E$305,A11,'Work Orders'!$A$6:$A$305,"&gt;="&amp;DATE(Settings!$B$5,1,1),'Work Orders'!$A$6:$A$305,"&lt;"&amp;DATE(Settings!$B$5+1,1,1)))</f>
        <v/>
      </c>
      <c r="K11" s="47" t="n">
        <v>4</v>
      </c>
      <c r="L11" s="40" t="inlineStr">
        <is>
          <t>No COI yet — request</t>
        </is>
      </c>
    </row>
    <row r="12" ht="16" customHeight="1">
      <c r="A12" s="40" t="inlineStr">
        <is>
          <t>Lock-N-Key</t>
        </is>
      </c>
      <c r="B12" s="40" t="inlineStr">
        <is>
          <t>Locksmith</t>
        </is>
      </c>
      <c r="C12" s="40" t="inlineStr">
        <is>
          <t>(865) 555-0399</t>
        </is>
      </c>
      <c r="D12" s="40" t="inlineStr">
        <is>
          <t>help@locknkey.co</t>
        </is>
      </c>
      <c r="E12" s="40" t="inlineStr">
        <is>
          <t>TN-LK-00821</t>
        </is>
      </c>
      <c r="F12" s="43" t="inlineStr">
        <is>
          <t>Y</t>
        </is>
      </c>
      <c r="G12" s="45" t="n">
        <v>85</v>
      </c>
      <c r="H12" s="40" t="inlineStr">
        <is>
          <t>Knoxville metro</t>
        </is>
      </c>
      <c r="I12" s="39" t="n">
        <v>46101</v>
      </c>
      <c r="J12" s="46">
        <f>IF(A12="","",SUMIFS('Work Orders'!$H$6:$H$305,'Work Orders'!$E$6:$E$305,A12,'Work Orders'!$A$6:$A$305,"&gt;="&amp;DATE(Settings!$B$5,1,1),'Work Orders'!$A$6:$A$305,"&lt;"&amp;DATE(Settings!$B$5+1,1,1)))</f>
        <v/>
      </c>
      <c r="K12" s="47" t="n">
        <v>5</v>
      </c>
      <c r="L12" s="40" t="inlineStr">
        <is>
          <t>24/7 emergency</t>
        </is>
      </c>
    </row>
    <row r="13" ht="16" customHeight="1">
      <c r="A13" s="40" t="inlineStr">
        <is>
          <t>Smokies Clean</t>
        </is>
      </c>
      <c r="B13" s="40" t="inlineStr">
        <is>
          <t>Cleaner</t>
        </is>
      </c>
      <c r="C13" s="40" t="inlineStr">
        <is>
          <t>(865) 555-0145</t>
        </is>
      </c>
      <c r="D13" s="40" t="inlineStr">
        <is>
          <t>sarah@smokiesclean.com</t>
        </is>
      </c>
      <c r="E13" s="40" t="inlineStr">
        <is>
          <t>—</t>
        </is>
      </c>
      <c r="F13" s="43" t="inlineStr">
        <is>
          <t>Y</t>
        </is>
      </c>
      <c r="G13" s="45" t="n">
        <v>35</v>
      </c>
      <c r="H13" s="40" t="inlineStr">
        <is>
          <t>Gatlinburg · Sevierville</t>
        </is>
      </c>
      <c r="I13" s="39" t="n">
        <v>46111</v>
      </c>
      <c r="J13" s="46">
        <f>IF(A13="","",SUMIFS('Work Orders'!$H$6:$H$305,'Work Orders'!$E$6:$E$305,A13,'Work Orders'!$A$6:$A$305,"&gt;="&amp;DATE(Settings!$B$5,1,1),'Work Orders'!$A$6:$A$305,"&lt;"&amp;DATE(Settings!$B$5+1,1,1)))</f>
        <v/>
      </c>
      <c r="K13" s="47" t="n">
        <v>5</v>
      </c>
      <c r="L13" s="40" t="inlineStr">
        <is>
          <t>Primary turnover</t>
        </is>
      </c>
    </row>
    <row r="14">
      <c r="A14" s="40" t="n"/>
      <c r="B14" s="40" t="n"/>
      <c r="C14" s="40" t="n"/>
      <c r="D14" s="40" t="n"/>
      <c r="E14" s="40" t="n"/>
      <c r="F14" s="43" t="n"/>
      <c r="G14" s="45" t="n"/>
      <c r="H14" s="40" t="n"/>
      <c r="I14" s="39" t="n"/>
      <c r="J14" s="48">
        <f>IF(A14="","",SUMIFS('Work Orders'!$H$6:$H$305,'Work Orders'!$E$6:$E$305,A14,'Work Orders'!$A$6:$A$305,"&gt;="&amp;DATE(Settings!$B$5,1,1),'Work Orders'!$A$6:$A$305,"&lt;"&amp;DATE(Settings!$B$5+1,1,1)))</f>
        <v/>
      </c>
      <c r="K14" s="47" t="n"/>
      <c r="L14" s="40" t="n"/>
    </row>
    <row r="15">
      <c r="A15" s="40" t="n"/>
      <c r="B15" s="40" t="n"/>
      <c r="C15" s="40" t="n"/>
      <c r="D15" s="40" t="n"/>
      <c r="E15" s="40" t="n"/>
      <c r="F15" s="43" t="n"/>
      <c r="G15" s="45" t="n"/>
      <c r="H15" s="40" t="n"/>
      <c r="I15" s="39" t="n"/>
      <c r="J15" s="48">
        <f>IF(A15="","",SUMIFS('Work Orders'!$H$6:$H$305,'Work Orders'!$E$6:$E$305,A15,'Work Orders'!$A$6:$A$305,"&gt;="&amp;DATE(Settings!$B$5,1,1),'Work Orders'!$A$6:$A$305,"&lt;"&amp;DATE(Settings!$B$5+1,1,1)))</f>
        <v/>
      </c>
      <c r="K15" s="47" t="n"/>
      <c r="L15" s="40" t="n"/>
    </row>
    <row r="16">
      <c r="A16" s="40" t="n"/>
      <c r="B16" s="40" t="n"/>
      <c r="C16" s="40" t="n"/>
      <c r="D16" s="40" t="n"/>
      <c r="E16" s="40" t="n"/>
      <c r="F16" s="43" t="n"/>
      <c r="G16" s="45" t="n"/>
      <c r="H16" s="40" t="n"/>
      <c r="I16" s="39" t="n"/>
      <c r="J16" s="48">
        <f>IF(A16="","",SUMIFS('Work Orders'!$H$6:$H$305,'Work Orders'!$E$6:$E$305,A16,'Work Orders'!$A$6:$A$305,"&gt;="&amp;DATE(Settings!$B$5,1,1),'Work Orders'!$A$6:$A$305,"&lt;"&amp;DATE(Settings!$B$5+1,1,1)))</f>
        <v/>
      </c>
      <c r="K16" s="47" t="n"/>
      <c r="L16" s="40" t="n"/>
    </row>
    <row r="17">
      <c r="A17" s="40" t="n"/>
      <c r="B17" s="40" t="n"/>
      <c r="C17" s="40" t="n"/>
      <c r="D17" s="40" t="n"/>
      <c r="E17" s="40" t="n"/>
      <c r="F17" s="43" t="n"/>
      <c r="G17" s="45" t="n"/>
      <c r="H17" s="40" t="n"/>
      <c r="I17" s="39" t="n"/>
      <c r="J17" s="48">
        <f>IF(A17="","",SUMIFS('Work Orders'!$H$6:$H$305,'Work Orders'!$E$6:$E$305,A17,'Work Orders'!$A$6:$A$305,"&gt;="&amp;DATE(Settings!$B$5,1,1),'Work Orders'!$A$6:$A$305,"&lt;"&amp;DATE(Settings!$B$5+1,1,1)))</f>
        <v/>
      </c>
      <c r="K17" s="47" t="n"/>
      <c r="L17" s="40" t="n"/>
    </row>
    <row r="18">
      <c r="A18" s="40" t="n"/>
      <c r="B18" s="40" t="n"/>
      <c r="C18" s="40" t="n"/>
      <c r="D18" s="40" t="n"/>
      <c r="E18" s="40" t="n"/>
      <c r="F18" s="43" t="n"/>
      <c r="G18" s="45" t="n"/>
      <c r="H18" s="40" t="n"/>
      <c r="I18" s="39" t="n"/>
      <c r="J18" s="48">
        <f>IF(A18="","",SUMIFS('Work Orders'!$H$6:$H$305,'Work Orders'!$E$6:$E$305,A18,'Work Orders'!$A$6:$A$305,"&gt;="&amp;DATE(Settings!$B$5,1,1),'Work Orders'!$A$6:$A$305,"&lt;"&amp;DATE(Settings!$B$5+1,1,1)))</f>
        <v/>
      </c>
      <c r="K18" s="47" t="n"/>
      <c r="L18" s="40" t="n"/>
    </row>
    <row r="19">
      <c r="A19" s="40" t="n"/>
      <c r="B19" s="40" t="n"/>
      <c r="C19" s="40" t="n"/>
      <c r="D19" s="40" t="n"/>
      <c r="E19" s="40" t="n"/>
      <c r="F19" s="43" t="n"/>
      <c r="G19" s="45" t="n"/>
      <c r="H19" s="40" t="n"/>
      <c r="I19" s="39" t="n"/>
      <c r="J19" s="48">
        <f>IF(A19="","",SUMIFS('Work Orders'!$H$6:$H$305,'Work Orders'!$E$6:$E$305,A19,'Work Orders'!$A$6:$A$305,"&gt;="&amp;DATE(Settings!$B$5,1,1),'Work Orders'!$A$6:$A$305,"&lt;"&amp;DATE(Settings!$B$5+1,1,1)))</f>
        <v/>
      </c>
      <c r="K19" s="47" t="n"/>
      <c r="L19" s="40" t="n"/>
    </row>
    <row r="20">
      <c r="A20" s="40" t="n"/>
      <c r="B20" s="40" t="n"/>
      <c r="C20" s="40" t="n"/>
      <c r="D20" s="40" t="n"/>
      <c r="E20" s="40" t="n"/>
      <c r="F20" s="43" t="n"/>
      <c r="G20" s="45" t="n"/>
      <c r="H20" s="40" t="n"/>
      <c r="I20" s="39" t="n"/>
      <c r="J20" s="48">
        <f>IF(A20="","",SUMIFS('Work Orders'!$H$6:$H$305,'Work Orders'!$E$6:$E$305,A20,'Work Orders'!$A$6:$A$305,"&gt;="&amp;DATE(Settings!$B$5,1,1),'Work Orders'!$A$6:$A$305,"&lt;"&amp;DATE(Settings!$B$5+1,1,1)))</f>
        <v/>
      </c>
      <c r="K20" s="47" t="n"/>
      <c r="L20" s="40" t="n"/>
    </row>
    <row r="21">
      <c r="A21" s="40" t="n"/>
      <c r="B21" s="40" t="n"/>
      <c r="C21" s="40" t="n"/>
      <c r="D21" s="40" t="n"/>
      <c r="E21" s="40" t="n"/>
      <c r="F21" s="43" t="n"/>
      <c r="G21" s="45" t="n"/>
      <c r="H21" s="40" t="n"/>
      <c r="I21" s="39" t="n"/>
      <c r="J21" s="48">
        <f>IF(A21="","",SUMIFS('Work Orders'!$H$6:$H$305,'Work Orders'!$E$6:$E$305,A21,'Work Orders'!$A$6:$A$305,"&gt;="&amp;DATE(Settings!$B$5,1,1),'Work Orders'!$A$6:$A$305,"&lt;"&amp;DATE(Settings!$B$5+1,1,1)))</f>
        <v/>
      </c>
      <c r="K21" s="47" t="n"/>
      <c r="L21" s="40" t="n"/>
    </row>
    <row r="22">
      <c r="A22" s="40" t="n"/>
      <c r="B22" s="40" t="n"/>
      <c r="C22" s="40" t="n"/>
      <c r="D22" s="40" t="n"/>
      <c r="E22" s="40" t="n"/>
      <c r="F22" s="43" t="n"/>
      <c r="G22" s="45" t="n"/>
      <c r="H22" s="40" t="n"/>
      <c r="I22" s="39" t="n"/>
      <c r="J22" s="48">
        <f>IF(A22="","",SUMIFS('Work Orders'!$H$6:$H$305,'Work Orders'!$E$6:$E$305,A22,'Work Orders'!$A$6:$A$305,"&gt;="&amp;DATE(Settings!$B$5,1,1),'Work Orders'!$A$6:$A$305,"&lt;"&amp;DATE(Settings!$B$5+1,1,1)))</f>
        <v/>
      </c>
      <c r="K22" s="47" t="n"/>
      <c r="L22" s="40" t="n"/>
    </row>
    <row r="23">
      <c r="A23" s="40" t="n"/>
      <c r="B23" s="40" t="n"/>
      <c r="C23" s="40" t="n"/>
      <c r="D23" s="40" t="n"/>
      <c r="E23" s="40" t="n"/>
      <c r="F23" s="43" t="n"/>
      <c r="G23" s="45" t="n"/>
      <c r="H23" s="40" t="n"/>
      <c r="I23" s="39" t="n"/>
      <c r="J23" s="48">
        <f>IF(A23="","",SUMIFS('Work Orders'!$H$6:$H$305,'Work Orders'!$E$6:$E$305,A23,'Work Orders'!$A$6:$A$305,"&gt;="&amp;DATE(Settings!$B$5,1,1),'Work Orders'!$A$6:$A$305,"&lt;"&amp;DATE(Settings!$B$5+1,1,1)))</f>
        <v/>
      </c>
      <c r="K23" s="47" t="n"/>
      <c r="L23" s="40" t="n"/>
    </row>
    <row r="24">
      <c r="A24" s="40" t="n"/>
      <c r="B24" s="40" t="n"/>
      <c r="C24" s="40" t="n"/>
      <c r="D24" s="40" t="n"/>
      <c r="E24" s="40" t="n"/>
      <c r="F24" s="43" t="n"/>
      <c r="G24" s="45" t="n"/>
      <c r="H24" s="40" t="n"/>
      <c r="I24" s="39" t="n"/>
      <c r="J24" s="48">
        <f>IF(A24="","",SUMIFS('Work Orders'!$H$6:$H$305,'Work Orders'!$E$6:$E$305,A24,'Work Orders'!$A$6:$A$305,"&gt;="&amp;DATE(Settings!$B$5,1,1),'Work Orders'!$A$6:$A$305,"&lt;"&amp;DATE(Settings!$B$5+1,1,1)))</f>
        <v/>
      </c>
      <c r="K24" s="47" t="n"/>
      <c r="L24" s="40" t="n"/>
    </row>
    <row r="25">
      <c r="A25" s="40" t="n"/>
      <c r="B25" s="40" t="n"/>
      <c r="C25" s="40" t="n"/>
      <c r="D25" s="40" t="n"/>
      <c r="E25" s="40" t="n"/>
      <c r="F25" s="43" t="n"/>
      <c r="G25" s="45" t="n"/>
      <c r="H25" s="40" t="n"/>
      <c r="I25" s="39" t="n"/>
      <c r="J25" s="48">
        <f>IF(A25="","",SUMIFS('Work Orders'!$H$6:$H$305,'Work Orders'!$E$6:$E$305,A25,'Work Orders'!$A$6:$A$305,"&gt;="&amp;DATE(Settings!$B$5,1,1),'Work Orders'!$A$6:$A$305,"&lt;"&amp;DATE(Settings!$B$5+1,1,1)))</f>
        <v/>
      </c>
      <c r="K25" s="47" t="n"/>
      <c r="L25" s="40" t="n"/>
    </row>
    <row r="26">
      <c r="A26" s="40" t="n"/>
      <c r="B26" s="40" t="n"/>
      <c r="C26" s="40" t="n"/>
      <c r="D26" s="40" t="n"/>
      <c r="E26" s="40" t="n"/>
      <c r="F26" s="43" t="n"/>
      <c r="G26" s="45" t="n"/>
      <c r="H26" s="40" t="n"/>
      <c r="I26" s="39" t="n"/>
      <c r="J26" s="48">
        <f>IF(A26="","",SUMIFS('Work Orders'!$H$6:$H$305,'Work Orders'!$E$6:$E$305,A26,'Work Orders'!$A$6:$A$305,"&gt;="&amp;DATE(Settings!$B$5,1,1),'Work Orders'!$A$6:$A$305,"&lt;"&amp;DATE(Settings!$B$5+1,1,1)))</f>
        <v/>
      </c>
      <c r="K26" s="47" t="n"/>
      <c r="L26" s="40" t="n"/>
    </row>
    <row r="27">
      <c r="A27" s="40" t="n"/>
      <c r="B27" s="40" t="n"/>
      <c r="C27" s="40" t="n"/>
      <c r="D27" s="40" t="n"/>
      <c r="E27" s="40" t="n"/>
      <c r="F27" s="43" t="n"/>
      <c r="G27" s="45" t="n"/>
      <c r="H27" s="40" t="n"/>
      <c r="I27" s="39" t="n"/>
      <c r="J27" s="48">
        <f>IF(A27="","",SUMIFS('Work Orders'!$H$6:$H$305,'Work Orders'!$E$6:$E$305,A27,'Work Orders'!$A$6:$A$305,"&gt;="&amp;DATE(Settings!$B$5,1,1),'Work Orders'!$A$6:$A$305,"&lt;"&amp;DATE(Settings!$B$5+1,1,1)))</f>
        <v/>
      </c>
      <c r="K27" s="47" t="n"/>
      <c r="L27" s="40" t="n"/>
    </row>
    <row r="28">
      <c r="A28" s="40" t="n"/>
      <c r="B28" s="40" t="n"/>
      <c r="C28" s="40" t="n"/>
      <c r="D28" s="40" t="n"/>
      <c r="E28" s="40" t="n"/>
      <c r="F28" s="43" t="n"/>
      <c r="G28" s="45" t="n"/>
      <c r="H28" s="40" t="n"/>
      <c r="I28" s="39" t="n"/>
      <c r="J28" s="48">
        <f>IF(A28="","",SUMIFS('Work Orders'!$H$6:$H$305,'Work Orders'!$E$6:$E$305,A28,'Work Orders'!$A$6:$A$305,"&gt;="&amp;DATE(Settings!$B$5,1,1),'Work Orders'!$A$6:$A$305,"&lt;"&amp;DATE(Settings!$B$5+1,1,1)))</f>
        <v/>
      </c>
      <c r="K28" s="47" t="n"/>
      <c r="L28" s="40" t="n"/>
    </row>
    <row r="29">
      <c r="A29" s="40" t="n"/>
      <c r="B29" s="40" t="n"/>
      <c r="C29" s="40" t="n"/>
      <c r="D29" s="40" t="n"/>
      <c r="E29" s="40" t="n"/>
      <c r="F29" s="43" t="n"/>
      <c r="G29" s="45" t="n"/>
      <c r="H29" s="40" t="n"/>
      <c r="I29" s="39" t="n"/>
      <c r="J29" s="48">
        <f>IF(A29="","",SUMIFS('Work Orders'!$H$6:$H$305,'Work Orders'!$E$6:$E$305,A29,'Work Orders'!$A$6:$A$305,"&gt;="&amp;DATE(Settings!$B$5,1,1),'Work Orders'!$A$6:$A$305,"&lt;"&amp;DATE(Settings!$B$5+1,1,1)))</f>
        <v/>
      </c>
      <c r="K29" s="47" t="n"/>
      <c r="L29" s="40" t="n"/>
    </row>
    <row r="30">
      <c r="A30" s="40" t="n"/>
      <c r="B30" s="40" t="n"/>
      <c r="C30" s="40" t="n"/>
      <c r="D30" s="40" t="n"/>
      <c r="E30" s="40" t="n"/>
      <c r="F30" s="43" t="n"/>
      <c r="G30" s="45" t="n"/>
      <c r="H30" s="40" t="n"/>
      <c r="I30" s="39" t="n"/>
      <c r="J30" s="48">
        <f>IF(A30="","",SUMIFS('Work Orders'!$H$6:$H$305,'Work Orders'!$E$6:$E$305,A30,'Work Orders'!$A$6:$A$305,"&gt;="&amp;DATE(Settings!$B$5,1,1),'Work Orders'!$A$6:$A$305,"&lt;"&amp;DATE(Settings!$B$5+1,1,1)))</f>
        <v/>
      </c>
      <c r="K30" s="47" t="n"/>
      <c r="L30" s="40" t="n"/>
    </row>
    <row r="31">
      <c r="A31" s="40" t="n"/>
      <c r="B31" s="40" t="n"/>
      <c r="C31" s="40" t="n"/>
      <c r="D31" s="40" t="n"/>
      <c r="E31" s="40" t="n"/>
      <c r="F31" s="43" t="n"/>
      <c r="G31" s="45" t="n"/>
      <c r="H31" s="40" t="n"/>
      <c r="I31" s="39" t="n"/>
      <c r="J31" s="48">
        <f>IF(A31="","",SUMIFS('Work Orders'!$H$6:$H$305,'Work Orders'!$E$6:$E$305,A31,'Work Orders'!$A$6:$A$305,"&gt;="&amp;DATE(Settings!$B$5,1,1),'Work Orders'!$A$6:$A$305,"&lt;"&amp;DATE(Settings!$B$5+1,1,1)))</f>
        <v/>
      </c>
      <c r="K31" s="47" t="n"/>
      <c r="L31" s="40" t="n"/>
    </row>
    <row r="32">
      <c r="A32" s="40" t="n"/>
      <c r="B32" s="40" t="n"/>
      <c r="C32" s="40" t="n"/>
      <c r="D32" s="40" t="n"/>
      <c r="E32" s="40" t="n"/>
      <c r="F32" s="43" t="n"/>
      <c r="G32" s="45" t="n"/>
      <c r="H32" s="40" t="n"/>
      <c r="I32" s="39" t="n"/>
      <c r="J32" s="48">
        <f>IF(A32="","",SUMIFS('Work Orders'!$H$6:$H$305,'Work Orders'!$E$6:$E$305,A32,'Work Orders'!$A$6:$A$305,"&gt;="&amp;DATE(Settings!$B$5,1,1),'Work Orders'!$A$6:$A$305,"&lt;"&amp;DATE(Settings!$B$5+1,1,1)))</f>
        <v/>
      </c>
      <c r="K32" s="47" t="n"/>
      <c r="L32" s="40" t="n"/>
    </row>
    <row r="33">
      <c r="A33" s="40" t="n"/>
      <c r="B33" s="40" t="n"/>
      <c r="C33" s="40" t="n"/>
      <c r="D33" s="40" t="n"/>
      <c r="E33" s="40" t="n"/>
      <c r="F33" s="43" t="n"/>
      <c r="G33" s="45" t="n"/>
      <c r="H33" s="40" t="n"/>
      <c r="I33" s="39" t="n"/>
      <c r="J33" s="48">
        <f>IF(A33="","",SUMIFS('Work Orders'!$H$6:$H$305,'Work Orders'!$E$6:$E$305,A33,'Work Orders'!$A$6:$A$305,"&gt;="&amp;DATE(Settings!$B$5,1,1),'Work Orders'!$A$6:$A$305,"&lt;"&amp;DATE(Settings!$B$5+1,1,1)))</f>
        <v/>
      </c>
      <c r="K33" s="47" t="n"/>
      <c r="L33" s="40" t="n"/>
    </row>
    <row r="34">
      <c r="A34" s="40" t="n"/>
      <c r="B34" s="40" t="n"/>
      <c r="C34" s="40" t="n"/>
      <c r="D34" s="40" t="n"/>
      <c r="E34" s="40" t="n"/>
      <c r="F34" s="43" t="n"/>
      <c r="G34" s="45" t="n"/>
      <c r="H34" s="40" t="n"/>
      <c r="I34" s="39" t="n"/>
      <c r="J34" s="48">
        <f>IF(A34="","",SUMIFS('Work Orders'!$H$6:$H$305,'Work Orders'!$E$6:$E$305,A34,'Work Orders'!$A$6:$A$305,"&gt;="&amp;DATE(Settings!$B$5,1,1),'Work Orders'!$A$6:$A$305,"&lt;"&amp;DATE(Settings!$B$5+1,1,1)))</f>
        <v/>
      </c>
      <c r="K34" s="47" t="n"/>
      <c r="L34" s="40" t="n"/>
    </row>
    <row r="35">
      <c r="A35" s="40" t="n"/>
      <c r="B35" s="40" t="n"/>
      <c r="C35" s="40" t="n"/>
      <c r="D35" s="40" t="n"/>
      <c r="E35" s="40" t="n"/>
      <c r="F35" s="43" t="n"/>
      <c r="G35" s="45" t="n"/>
      <c r="H35" s="40" t="n"/>
      <c r="I35" s="39" t="n"/>
      <c r="J35" s="48">
        <f>IF(A35="","",SUMIFS('Work Orders'!$H$6:$H$305,'Work Orders'!$E$6:$E$305,A35,'Work Orders'!$A$6:$A$305,"&gt;="&amp;DATE(Settings!$B$5,1,1),'Work Orders'!$A$6:$A$305,"&lt;"&amp;DATE(Settings!$B$5+1,1,1)))</f>
        <v/>
      </c>
      <c r="K35" s="47" t="n"/>
      <c r="L35" s="40" t="n"/>
    </row>
    <row r="36">
      <c r="A36" s="40" t="n"/>
      <c r="B36" s="40" t="n"/>
      <c r="C36" s="40" t="n"/>
      <c r="D36" s="40" t="n"/>
      <c r="E36" s="40" t="n"/>
      <c r="F36" s="43" t="n"/>
      <c r="G36" s="45" t="n"/>
      <c r="H36" s="40" t="n"/>
      <c r="I36" s="39" t="n"/>
      <c r="J36" s="48">
        <f>IF(A36="","",SUMIFS('Work Orders'!$H$6:$H$305,'Work Orders'!$E$6:$E$305,A36,'Work Orders'!$A$6:$A$305,"&gt;="&amp;DATE(Settings!$B$5,1,1),'Work Orders'!$A$6:$A$305,"&lt;"&amp;DATE(Settings!$B$5+1,1,1)))</f>
        <v/>
      </c>
      <c r="K36" s="47" t="n"/>
      <c r="L36" s="40" t="n"/>
    </row>
    <row r="37">
      <c r="A37" s="40" t="n"/>
      <c r="B37" s="40" t="n"/>
      <c r="C37" s="40" t="n"/>
      <c r="D37" s="40" t="n"/>
      <c r="E37" s="40" t="n"/>
      <c r="F37" s="43" t="n"/>
      <c r="G37" s="45" t="n"/>
      <c r="H37" s="40" t="n"/>
      <c r="I37" s="39" t="n"/>
      <c r="J37" s="48">
        <f>IF(A37="","",SUMIFS('Work Orders'!$H$6:$H$305,'Work Orders'!$E$6:$E$305,A37,'Work Orders'!$A$6:$A$305,"&gt;="&amp;DATE(Settings!$B$5,1,1),'Work Orders'!$A$6:$A$305,"&lt;"&amp;DATE(Settings!$B$5+1,1,1)))</f>
        <v/>
      </c>
      <c r="K37" s="47" t="n"/>
      <c r="L37" s="40" t="n"/>
    </row>
    <row r="38">
      <c r="A38" s="40" t="n"/>
      <c r="B38" s="40" t="n"/>
      <c r="C38" s="40" t="n"/>
      <c r="D38" s="40" t="n"/>
      <c r="E38" s="40" t="n"/>
      <c r="F38" s="43" t="n"/>
      <c r="G38" s="45" t="n"/>
      <c r="H38" s="40" t="n"/>
      <c r="I38" s="39" t="n"/>
      <c r="J38" s="48">
        <f>IF(A38="","",SUMIFS('Work Orders'!$H$6:$H$305,'Work Orders'!$E$6:$E$305,A38,'Work Orders'!$A$6:$A$305,"&gt;="&amp;DATE(Settings!$B$5,1,1),'Work Orders'!$A$6:$A$305,"&lt;"&amp;DATE(Settings!$B$5+1,1,1)))</f>
        <v/>
      </c>
      <c r="K38" s="47" t="n"/>
      <c r="L38" s="40" t="n"/>
    </row>
    <row r="39">
      <c r="A39" s="40" t="n"/>
      <c r="B39" s="40" t="n"/>
      <c r="C39" s="40" t="n"/>
      <c r="D39" s="40" t="n"/>
      <c r="E39" s="40" t="n"/>
      <c r="F39" s="43" t="n"/>
      <c r="G39" s="45" t="n"/>
      <c r="H39" s="40" t="n"/>
      <c r="I39" s="39" t="n"/>
      <c r="J39" s="48">
        <f>IF(A39="","",SUMIFS('Work Orders'!$H$6:$H$305,'Work Orders'!$E$6:$E$305,A39,'Work Orders'!$A$6:$A$305,"&gt;="&amp;DATE(Settings!$B$5,1,1),'Work Orders'!$A$6:$A$305,"&lt;"&amp;DATE(Settings!$B$5+1,1,1)))</f>
        <v/>
      </c>
      <c r="K39" s="47" t="n"/>
      <c r="L39" s="40" t="n"/>
    </row>
    <row r="40">
      <c r="A40" s="40" t="n"/>
      <c r="B40" s="40" t="n"/>
      <c r="C40" s="40" t="n"/>
      <c r="D40" s="40" t="n"/>
      <c r="E40" s="40" t="n"/>
      <c r="F40" s="43" t="n"/>
      <c r="G40" s="45" t="n"/>
      <c r="H40" s="40" t="n"/>
      <c r="I40" s="39" t="n"/>
      <c r="J40" s="48">
        <f>IF(A40="","",SUMIFS('Work Orders'!$H$6:$H$305,'Work Orders'!$E$6:$E$305,A40,'Work Orders'!$A$6:$A$305,"&gt;="&amp;DATE(Settings!$B$5,1,1),'Work Orders'!$A$6:$A$305,"&lt;"&amp;DATE(Settings!$B$5+1,1,1)))</f>
        <v/>
      </c>
      <c r="K40" s="47" t="n"/>
      <c r="L40" s="40" t="n"/>
    </row>
    <row r="41">
      <c r="A41" s="40" t="n"/>
      <c r="B41" s="40" t="n"/>
      <c r="C41" s="40" t="n"/>
      <c r="D41" s="40" t="n"/>
      <c r="E41" s="40" t="n"/>
      <c r="F41" s="43" t="n"/>
      <c r="G41" s="45" t="n"/>
      <c r="H41" s="40" t="n"/>
      <c r="I41" s="39" t="n"/>
      <c r="J41" s="48">
        <f>IF(A41="","",SUMIFS('Work Orders'!$H$6:$H$305,'Work Orders'!$E$6:$E$305,A41,'Work Orders'!$A$6:$A$305,"&gt;="&amp;DATE(Settings!$B$5,1,1),'Work Orders'!$A$6:$A$305,"&lt;"&amp;DATE(Settings!$B$5+1,1,1)))</f>
        <v/>
      </c>
      <c r="K41" s="47" t="n"/>
      <c r="L41" s="40" t="n"/>
    </row>
    <row r="42">
      <c r="A42" s="40" t="n"/>
      <c r="B42" s="40" t="n"/>
      <c r="C42" s="40" t="n"/>
      <c r="D42" s="40" t="n"/>
      <c r="E42" s="40" t="n"/>
      <c r="F42" s="43" t="n"/>
      <c r="G42" s="45" t="n"/>
      <c r="H42" s="40" t="n"/>
      <c r="I42" s="39" t="n"/>
      <c r="J42" s="48">
        <f>IF(A42="","",SUMIFS('Work Orders'!$H$6:$H$305,'Work Orders'!$E$6:$E$305,A42,'Work Orders'!$A$6:$A$305,"&gt;="&amp;DATE(Settings!$B$5,1,1),'Work Orders'!$A$6:$A$305,"&lt;"&amp;DATE(Settings!$B$5+1,1,1)))</f>
        <v/>
      </c>
      <c r="K42" s="47" t="n"/>
      <c r="L42" s="40" t="n"/>
    </row>
    <row r="43">
      <c r="A43" s="40" t="n"/>
      <c r="B43" s="40" t="n"/>
      <c r="C43" s="40" t="n"/>
      <c r="D43" s="40" t="n"/>
      <c r="E43" s="40" t="n"/>
      <c r="F43" s="43" t="n"/>
      <c r="G43" s="45" t="n"/>
      <c r="H43" s="40" t="n"/>
      <c r="I43" s="39" t="n"/>
      <c r="J43" s="48">
        <f>IF(A43="","",SUMIFS('Work Orders'!$H$6:$H$305,'Work Orders'!$E$6:$E$305,A43,'Work Orders'!$A$6:$A$305,"&gt;="&amp;DATE(Settings!$B$5,1,1),'Work Orders'!$A$6:$A$305,"&lt;"&amp;DATE(Settings!$B$5+1,1,1)))</f>
        <v/>
      </c>
      <c r="K43" s="47" t="n"/>
      <c r="L43" s="40" t="n"/>
    </row>
    <row r="44">
      <c r="A44" s="40" t="n"/>
      <c r="B44" s="40" t="n"/>
      <c r="C44" s="40" t="n"/>
      <c r="D44" s="40" t="n"/>
      <c r="E44" s="40" t="n"/>
      <c r="F44" s="43" t="n"/>
      <c r="G44" s="45" t="n"/>
      <c r="H44" s="40" t="n"/>
      <c r="I44" s="39" t="n"/>
      <c r="J44" s="48">
        <f>IF(A44="","",SUMIFS('Work Orders'!$H$6:$H$305,'Work Orders'!$E$6:$E$305,A44,'Work Orders'!$A$6:$A$305,"&gt;="&amp;DATE(Settings!$B$5,1,1),'Work Orders'!$A$6:$A$305,"&lt;"&amp;DATE(Settings!$B$5+1,1,1)))</f>
        <v/>
      </c>
      <c r="K44" s="47" t="n"/>
      <c r="L44" s="40" t="n"/>
    </row>
    <row r="45">
      <c r="A45" s="40" t="n"/>
      <c r="B45" s="40" t="n"/>
      <c r="C45" s="40" t="n"/>
      <c r="D45" s="40" t="n"/>
      <c r="E45" s="40" t="n"/>
      <c r="F45" s="43" t="n"/>
      <c r="G45" s="45" t="n"/>
      <c r="H45" s="40" t="n"/>
      <c r="I45" s="39" t="n"/>
      <c r="J45" s="48">
        <f>IF(A45="","",SUMIFS('Work Orders'!$H$6:$H$305,'Work Orders'!$E$6:$E$305,A45,'Work Orders'!$A$6:$A$305,"&gt;="&amp;DATE(Settings!$B$5,1,1),'Work Orders'!$A$6:$A$305,"&lt;"&amp;DATE(Settings!$B$5+1,1,1)))</f>
        <v/>
      </c>
      <c r="K45" s="47" t="n"/>
      <c r="L45" s="40" t="n"/>
    </row>
    <row r="46">
      <c r="A46" s="40" t="n"/>
      <c r="B46" s="40" t="n"/>
      <c r="C46" s="40" t="n"/>
      <c r="D46" s="40" t="n"/>
      <c r="E46" s="40" t="n"/>
      <c r="F46" s="43" t="n"/>
      <c r="G46" s="45" t="n"/>
      <c r="H46" s="40" t="n"/>
      <c r="I46" s="39" t="n"/>
      <c r="J46" s="48">
        <f>IF(A46="","",SUMIFS('Work Orders'!$H$6:$H$305,'Work Orders'!$E$6:$E$305,A46,'Work Orders'!$A$6:$A$305,"&gt;="&amp;DATE(Settings!$B$5,1,1),'Work Orders'!$A$6:$A$305,"&lt;"&amp;DATE(Settings!$B$5+1,1,1)))</f>
        <v/>
      </c>
      <c r="K46" s="47" t="n"/>
      <c r="L46" s="40" t="n"/>
    </row>
    <row r="47">
      <c r="A47" s="40" t="n"/>
      <c r="B47" s="40" t="n"/>
      <c r="C47" s="40" t="n"/>
      <c r="D47" s="40" t="n"/>
      <c r="E47" s="40" t="n"/>
      <c r="F47" s="43" t="n"/>
      <c r="G47" s="45" t="n"/>
      <c r="H47" s="40" t="n"/>
      <c r="I47" s="39" t="n"/>
      <c r="J47" s="48">
        <f>IF(A47="","",SUMIFS('Work Orders'!$H$6:$H$305,'Work Orders'!$E$6:$E$305,A47,'Work Orders'!$A$6:$A$305,"&gt;="&amp;DATE(Settings!$B$5,1,1),'Work Orders'!$A$6:$A$305,"&lt;"&amp;DATE(Settings!$B$5+1,1,1)))</f>
        <v/>
      </c>
      <c r="K47" s="47" t="n"/>
      <c r="L47" s="40" t="n"/>
    </row>
    <row r="48">
      <c r="A48" s="40" t="n"/>
      <c r="B48" s="40" t="n"/>
      <c r="C48" s="40" t="n"/>
      <c r="D48" s="40" t="n"/>
      <c r="E48" s="40" t="n"/>
      <c r="F48" s="43" t="n"/>
      <c r="G48" s="45" t="n"/>
      <c r="H48" s="40" t="n"/>
      <c r="I48" s="39" t="n"/>
      <c r="J48" s="48">
        <f>IF(A48="","",SUMIFS('Work Orders'!$H$6:$H$305,'Work Orders'!$E$6:$E$305,A48,'Work Orders'!$A$6:$A$305,"&gt;="&amp;DATE(Settings!$B$5,1,1),'Work Orders'!$A$6:$A$305,"&lt;"&amp;DATE(Settings!$B$5+1,1,1)))</f>
        <v/>
      </c>
      <c r="K48" s="47" t="n"/>
      <c r="L48" s="40" t="n"/>
    </row>
    <row r="49">
      <c r="A49" s="40" t="n"/>
      <c r="B49" s="40" t="n"/>
      <c r="C49" s="40" t="n"/>
      <c r="D49" s="40" t="n"/>
      <c r="E49" s="40" t="n"/>
      <c r="F49" s="43" t="n"/>
      <c r="G49" s="45" t="n"/>
      <c r="H49" s="40" t="n"/>
      <c r="I49" s="39" t="n"/>
      <c r="J49" s="48">
        <f>IF(A49="","",SUMIFS('Work Orders'!$H$6:$H$305,'Work Orders'!$E$6:$E$305,A49,'Work Orders'!$A$6:$A$305,"&gt;="&amp;DATE(Settings!$B$5,1,1),'Work Orders'!$A$6:$A$305,"&lt;"&amp;DATE(Settings!$B$5+1,1,1)))</f>
        <v/>
      </c>
      <c r="K49" s="47" t="n"/>
      <c r="L49" s="40" t="n"/>
    </row>
    <row r="50">
      <c r="A50" s="40" t="n"/>
      <c r="B50" s="40" t="n"/>
      <c r="C50" s="40" t="n"/>
      <c r="D50" s="40" t="n"/>
      <c r="E50" s="40" t="n"/>
      <c r="F50" s="43" t="n"/>
      <c r="G50" s="45" t="n"/>
      <c r="H50" s="40" t="n"/>
      <c r="I50" s="39" t="n"/>
      <c r="J50" s="48">
        <f>IF(A50="","",SUMIFS('Work Orders'!$H$6:$H$305,'Work Orders'!$E$6:$E$305,A50,'Work Orders'!$A$6:$A$305,"&gt;="&amp;DATE(Settings!$B$5,1,1),'Work Orders'!$A$6:$A$305,"&lt;"&amp;DATE(Settings!$B$5+1,1,1)))</f>
        <v/>
      </c>
      <c r="K50" s="47" t="n"/>
      <c r="L50" s="40" t="n"/>
    </row>
    <row r="51">
      <c r="A51" s="40" t="n"/>
      <c r="B51" s="40" t="n"/>
      <c r="C51" s="40" t="n"/>
      <c r="D51" s="40" t="n"/>
      <c r="E51" s="40" t="n"/>
      <c r="F51" s="43" t="n"/>
      <c r="G51" s="45" t="n"/>
      <c r="H51" s="40" t="n"/>
      <c r="I51" s="39" t="n"/>
      <c r="J51" s="48">
        <f>IF(A51="","",SUMIFS('Work Orders'!$H$6:$H$305,'Work Orders'!$E$6:$E$305,A51,'Work Orders'!$A$6:$A$305,"&gt;="&amp;DATE(Settings!$B$5,1,1),'Work Orders'!$A$6:$A$305,"&lt;"&amp;DATE(Settings!$B$5+1,1,1)))</f>
        <v/>
      </c>
      <c r="K51" s="47" t="n"/>
      <c r="L51" s="40" t="n"/>
    </row>
    <row r="52">
      <c r="A52" s="40" t="n"/>
      <c r="B52" s="40" t="n"/>
      <c r="C52" s="40" t="n"/>
      <c r="D52" s="40" t="n"/>
      <c r="E52" s="40" t="n"/>
      <c r="F52" s="43" t="n"/>
      <c r="G52" s="45" t="n"/>
      <c r="H52" s="40" t="n"/>
      <c r="I52" s="39" t="n"/>
      <c r="J52" s="48">
        <f>IF(A52="","",SUMIFS('Work Orders'!$H$6:$H$305,'Work Orders'!$E$6:$E$305,A52,'Work Orders'!$A$6:$A$305,"&gt;="&amp;DATE(Settings!$B$5,1,1),'Work Orders'!$A$6:$A$305,"&lt;"&amp;DATE(Settings!$B$5+1,1,1)))</f>
        <v/>
      </c>
      <c r="K52" s="47" t="n"/>
      <c r="L52" s="40" t="n"/>
    </row>
    <row r="53">
      <c r="A53" s="40" t="n"/>
      <c r="B53" s="40" t="n"/>
      <c r="C53" s="40" t="n"/>
      <c r="D53" s="40" t="n"/>
      <c r="E53" s="40" t="n"/>
      <c r="F53" s="43" t="n"/>
      <c r="G53" s="45" t="n"/>
      <c r="H53" s="40" t="n"/>
      <c r="I53" s="39" t="n"/>
      <c r="J53" s="48">
        <f>IF(A53="","",SUMIFS('Work Orders'!$H$6:$H$305,'Work Orders'!$E$6:$E$305,A53,'Work Orders'!$A$6:$A$305,"&gt;="&amp;DATE(Settings!$B$5,1,1),'Work Orders'!$A$6:$A$305,"&lt;"&amp;DATE(Settings!$B$5+1,1,1)))</f>
        <v/>
      </c>
      <c r="K53" s="47" t="n"/>
      <c r="L53" s="40" t="n"/>
    </row>
    <row r="54">
      <c r="A54" s="40" t="n"/>
      <c r="B54" s="40" t="n"/>
      <c r="C54" s="40" t="n"/>
      <c r="D54" s="40" t="n"/>
      <c r="E54" s="40" t="n"/>
      <c r="F54" s="43" t="n"/>
      <c r="G54" s="45" t="n"/>
      <c r="H54" s="40" t="n"/>
      <c r="I54" s="39" t="n"/>
      <c r="J54" s="48">
        <f>IF(A54="","",SUMIFS('Work Orders'!$H$6:$H$305,'Work Orders'!$E$6:$E$305,A54,'Work Orders'!$A$6:$A$305,"&gt;="&amp;DATE(Settings!$B$5,1,1),'Work Orders'!$A$6:$A$305,"&lt;"&amp;DATE(Settings!$B$5+1,1,1)))</f>
        <v/>
      </c>
      <c r="K54" s="47" t="n"/>
      <c r="L54" s="40" t="n"/>
    </row>
    <row r="55">
      <c r="A55" s="40" t="n"/>
      <c r="B55" s="40" t="n"/>
      <c r="C55" s="40" t="n"/>
      <c r="D55" s="40" t="n"/>
      <c r="E55" s="40" t="n"/>
      <c r="F55" s="43" t="n"/>
      <c r="G55" s="45" t="n"/>
      <c r="H55" s="40" t="n"/>
      <c r="I55" s="39" t="n"/>
      <c r="J55" s="48">
        <f>IF(A55="","",SUMIFS('Work Orders'!$H$6:$H$305,'Work Orders'!$E$6:$E$305,A55,'Work Orders'!$A$6:$A$305,"&gt;="&amp;DATE(Settings!$B$5,1,1),'Work Orders'!$A$6:$A$305,"&lt;"&amp;DATE(Settings!$B$5+1,1,1)))</f>
        <v/>
      </c>
      <c r="K55" s="47" t="n"/>
      <c r="L55" s="40" t="n"/>
    </row>
  </sheetData>
  <mergeCells count="4">
    <mergeCell ref="J2:L2"/>
    <mergeCell ref="D2:I2"/>
    <mergeCell ref="A2:C2"/>
    <mergeCell ref="A4:L4"/>
  </mergeCells>
  <conditionalFormatting sqref="F6:F55">
    <cfRule type="expression" priority="1" dxfId="0">
      <formula>F6="N"</formula>
    </cfRule>
  </conditionalFormatting>
  <dataValidations count="3">
    <dataValidation sqref="B6:B55" showDropDown="0" showInputMessage="0" showErrorMessage="0" allowBlank="1" type="list">
      <formula1>"Plumber,HVAC,Electrician,Handyman,Cleaner,Pest control,Landscaper,Locksmith,Roofer,Other"</formula1>
    </dataValidation>
    <dataValidation sqref="F6:F55" showDropDown="0" showInputMessage="0" showErrorMessage="0" allowBlank="1" type="list">
      <formula1>"Y,N"</formula1>
    </dataValidation>
    <dataValidation sqref="K6:K55" showDropDown="0" showInputMessage="0" showErrorMessage="0" allowBlank="1" type="list">
      <formula1>"1,2,3,4,5"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3" customWidth="1" min="4" max="4"/>
    <col width="13" customWidth="1" min="5" max="5"/>
    <col width="12" customWidth="1" min="6" max="6"/>
    <col width="18" customWidth="1" min="7" max="7"/>
    <col width="1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HYPERLINK("#'Vendors'!A1", "← BACK")</f>
        <v/>
      </c>
      <c r="B2" s="12" t="n"/>
      <c r="C2" s="12" t="n"/>
      <c r="D2" s="36" t="inlineStr">
        <is>
          <t>RECURRING SERVICES</t>
        </is>
      </c>
      <c r="J2" s="29">
        <f>HYPERLINK("#'Annual Cost Report'!A1",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Annual rituals — Next Due auto-calculates from Last Done + Frequency</t>
        </is>
      </c>
    </row>
    <row r="5" ht="20" customHeight="1">
      <c r="A5" s="38" t="inlineStr">
        <is>
          <t>Service</t>
        </is>
      </c>
      <c r="B5" s="38" t="inlineStr">
        <is>
          <t>Property</t>
        </is>
      </c>
      <c r="C5" s="38" t="inlineStr">
        <is>
          <t>Frequency (days)</t>
        </is>
      </c>
      <c r="D5" s="38" t="inlineStr">
        <is>
          <t>Last Done</t>
        </is>
      </c>
      <c r="E5" s="38" t="inlineStr">
        <is>
          <t>Next Due</t>
        </is>
      </c>
      <c r="F5" s="38" t="inlineStr">
        <is>
          <t>Days Until</t>
        </is>
      </c>
      <c r="G5" s="38" t="inlineStr">
        <is>
          <t>Vendor</t>
        </is>
      </c>
      <c r="H5" s="38" t="inlineStr">
        <is>
          <t>Status</t>
        </is>
      </c>
    </row>
    <row r="6" ht="16" customHeight="1">
      <c r="A6" s="40" t="inlineStr">
        <is>
          <t>HVAC spring tune-up</t>
        </is>
      </c>
      <c r="B6" s="40" t="inlineStr">
        <is>
          <t>Smokies Ridge</t>
        </is>
      </c>
      <c r="C6" s="47" t="n">
        <v>365</v>
      </c>
      <c r="D6" s="39" t="n">
        <v>45762</v>
      </c>
      <c r="E6" s="49">
        <f>IF(AND(D6&lt;&gt;"",C6&lt;&gt;""),D6+C6,"")</f>
        <v/>
      </c>
      <c r="F6" s="41">
        <f>IF(E6="","",E6-TODAY())</f>
        <v/>
      </c>
      <c r="G6" s="40" t="inlineStr">
        <is>
          <t>Mountain HVAC</t>
        </is>
      </c>
      <c r="H6" s="40" t="inlineStr">
        <is>
          <t>Active</t>
        </is>
      </c>
    </row>
    <row r="7" ht="16" customHeight="1">
      <c r="A7" s="40" t="inlineStr">
        <is>
          <t>HVAC fall tune-up</t>
        </is>
      </c>
      <c r="B7" s="40" t="inlineStr">
        <is>
          <t>Smokies Ridge</t>
        </is>
      </c>
      <c r="C7" s="47" t="n">
        <v>365</v>
      </c>
      <c r="D7" s="39" t="n">
        <v>45938</v>
      </c>
      <c r="E7" s="49">
        <f>IF(AND(D7&lt;&gt;"",C7&lt;&gt;""),D7+C7,"")</f>
        <v/>
      </c>
      <c r="F7" s="41">
        <f>IF(E7="","",E7-TODAY())</f>
        <v/>
      </c>
      <c r="G7" s="40" t="inlineStr">
        <is>
          <t>Mountain HVAC</t>
        </is>
      </c>
      <c r="H7" s="40" t="inlineStr">
        <is>
          <t>Active</t>
        </is>
      </c>
    </row>
    <row r="8" ht="16" customHeight="1">
      <c r="A8" s="40" t="inlineStr">
        <is>
          <t>Gutter clean</t>
        </is>
      </c>
      <c r="B8" s="40" t="inlineStr">
        <is>
          <t>Creek Side</t>
        </is>
      </c>
      <c r="C8" s="47" t="n">
        <v>180</v>
      </c>
      <c r="D8" s="39" t="n">
        <v>45942</v>
      </c>
      <c r="E8" s="49">
        <f>IF(AND(D8&lt;&gt;"",C8&lt;&gt;""),D8+C8,"")</f>
        <v/>
      </c>
      <c r="F8" s="41">
        <f>IF(E8="","",E8-TODAY())</f>
        <v/>
      </c>
      <c r="G8" s="40" t="inlineStr">
        <is>
          <t>Joe Landscape</t>
        </is>
      </c>
      <c r="H8" s="40" t="inlineStr">
        <is>
          <t>Active</t>
        </is>
      </c>
    </row>
    <row r="9" ht="16" customHeight="1">
      <c r="A9" s="40" t="inlineStr">
        <is>
          <t>Pest spray (quarterly)</t>
        </is>
      </c>
      <c r="B9" s="40" t="inlineStr">
        <is>
          <t>All</t>
        </is>
      </c>
      <c r="C9" s="47" t="n">
        <v>90</v>
      </c>
      <c r="D9" s="39" t="n">
        <v>46037</v>
      </c>
      <c r="E9" s="49">
        <f>IF(AND(D9&lt;&gt;"",C9&lt;&gt;""),D9+C9,"")</f>
        <v/>
      </c>
      <c r="F9" s="41">
        <f>IF(E9="","",E9-TODAY())</f>
        <v/>
      </c>
      <c r="G9" s="40" t="inlineStr">
        <is>
          <t>BugOff Pest</t>
        </is>
      </c>
      <c r="H9" s="40" t="inlineStr">
        <is>
          <t>Active</t>
        </is>
      </c>
    </row>
    <row r="10" ht="16" customHeight="1">
      <c r="A10" s="40" t="inlineStr">
        <is>
          <t>Septic pump (3-yr)</t>
        </is>
      </c>
      <c r="B10" s="40" t="inlineStr">
        <is>
          <t>Lakehouse A</t>
        </is>
      </c>
      <c r="C10" s="47" t="n">
        <v>1095</v>
      </c>
      <c r="D10" s="39" t="n">
        <v>45444</v>
      </c>
      <c r="E10" s="49">
        <f>IF(AND(D10&lt;&gt;"",C10&lt;&gt;""),D10+C10,"")</f>
        <v/>
      </c>
      <c r="F10" s="41">
        <f>IF(E10="","",E10-TODAY())</f>
        <v/>
      </c>
      <c r="G10" s="40" t="inlineStr">
        <is>
          <t>Quick Plumbing</t>
        </is>
      </c>
      <c r="H10" s="40" t="inlineStr">
        <is>
          <t>Active</t>
        </is>
      </c>
    </row>
    <row r="11" ht="16" customHeight="1">
      <c r="A11" s="40" t="inlineStr">
        <is>
          <t>Dryer vent clean</t>
        </is>
      </c>
      <c r="B11" s="40" t="inlineStr">
        <is>
          <t>Smokies Ridge</t>
        </is>
      </c>
      <c r="C11" s="47" t="n">
        <v>365</v>
      </c>
      <c r="D11" s="39" t="n">
        <v>45797</v>
      </c>
      <c r="E11" s="49">
        <f>IF(AND(D11&lt;&gt;"",C11&lt;&gt;""),D11+C11,"")</f>
        <v/>
      </c>
      <c r="F11" s="41">
        <f>IF(E11="","",E11-TODAY())</f>
        <v/>
      </c>
      <c r="G11" s="40" t="inlineStr">
        <is>
          <t>Bob Handyman</t>
        </is>
      </c>
      <c r="H11" s="40" t="inlineStr">
        <is>
          <t>Active</t>
        </is>
      </c>
    </row>
    <row r="12" ht="16" customHeight="1">
      <c r="A12" s="40" t="inlineStr">
        <is>
          <t>Deck stain refresh</t>
        </is>
      </c>
      <c r="B12" s="40" t="inlineStr">
        <is>
          <t>Lakehouse A</t>
        </is>
      </c>
      <c r="C12" s="47" t="n">
        <v>730</v>
      </c>
      <c r="D12" s="39" t="n">
        <v>45392</v>
      </c>
      <c r="E12" s="49">
        <f>IF(AND(D12&lt;&gt;"",C12&lt;&gt;""),D12+C12,"")</f>
        <v/>
      </c>
      <c r="F12" s="41">
        <f>IF(E12="","",E12-TODAY())</f>
        <v/>
      </c>
      <c r="G12" s="40" t="inlineStr">
        <is>
          <t>Bob Handyman</t>
        </is>
      </c>
      <c r="H12" s="40" t="inlineStr">
        <is>
          <t>Active</t>
        </is>
      </c>
    </row>
    <row r="13" ht="16" customHeight="1">
      <c r="A13" s="40" t="inlineStr">
        <is>
          <t>Smoke detector test</t>
        </is>
      </c>
      <c r="B13" s="40" t="inlineStr">
        <is>
          <t>All</t>
        </is>
      </c>
      <c r="C13" s="47" t="n">
        <v>180</v>
      </c>
      <c r="D13" s="39" t="n">
        <v>45992</v>
      </c>
      <c r="E13" s="49">
        <f>IF(AND(D13&lt;&gt;"",C13&lt;&gt;""),D13+C13,"")</f>
        <v/>
      </c>
      <c r="F13" s="41">
        <f>IF(E13="","",E13-TODAY())</f>
        <v/>
      </c>
      <c r="G13" s="40" t="inlineStr">
        <is>
          <t>Self</t>
        </is>
      </c>
      <c r="H13" s="40" t="inlineStr">
        <is>
          <t>Active</t>
        </is>
      </c>
    </row>
    <row r="14">
      <c r="A14" s="40" t="n"/>
      <c r="B14" s="40" t="n"/>
      <c r="C14" s="47" t="n"/>
      <c r="D14" s="39" t="n"/>
      <c r="E14" s="49">
        <f>IF(AND(D14&lt;&gt;"",C14&lt;&gt;""),D14+C14,"")</f>
        <v/>
      </c>
      <c r="F14" s="41">
        <f>IF(E14="","",E14-TODAY())</f>
        <v/>
      </c>
      <c r="G14" s="40" t="n"/>
      <c r="H14" s="40" t="n"/>
    </row>
    <row r="15">
      <c r="A15" s="40" t="n"/>
      <c r="B15" s="40" t="n"/>
      <c r="C15" s="47" t="n"/>
      <c r="D15" s="39" t="n"/>
      <c r="E15" s="49">
        <f>IF(AND(D15&lt;&gt;"",C15&lt;&gt;""),D15+C15,"")</f>
        <v/>
      </c>
      <c r="F15" s="41">
        <f>IF(E15="","",E15-TODAY())</f>
        <v/>
      </c>
      <c r="G15" s="40" t="n"/>
      <c r="H15" s="40" t="n"/>
    </row>
    <row r="16">
      <c r="A16" s="40" t="n"/>
      <c r="B16" s="40" t="n"/>
      <c r="C16" s="47" t="n"/>
      <c r="D16" s="39" t="n"/>
      <c r="E16" s="49">
        <f>IF(AND(D16&lt;&gt;"",C16&lt;&gt;""),D16+C16,"")</f>
        <v/>
      </c>
      <c r="F16" s="41">
        <f>IF(E16="","",E16-TODAY())</f>
        <v/>
      </c>
      <c r="G16" s="40" t="n"/>
      <c r="H16" s="40" t="n"/>
    </row>
    <row r="17">
      <c r="A17" s="40" t="n"/>
      <c r="B17" s="40" t="n"/>
      <c r="C17" s="47" t="n"/>
      <c r="D17" s="39" t="n"/>
      <c r="E17" s="49">
        <f>IF(AND(D17&lt;&gt;"",C17&lt;&gt;""),D17+C17,"")</f>
        <v/>
      </c>
      <c r="F17" s="41">
        <f>IF(E17="","",E17-TODAY())</f>
        <v/>
      </c>
      <c r="G17" s="40" t="n"/>
      <c r="H17" s="40" t="n"/>
    </row>
    <row r="18">
      <c r="A18" s="40" t="n"/>
      <c r="B18" s="40" t="n"/>
      <c r="C18" s="47" t="n"/>
      <c r="D18" s="39" t="n"/>
      <c r="E18" s="49">
        <f>IF(AND(D18&lt;&gt;"",C18&lt;&gt;""),D18+C18,"")</f>
        <v/>
      </c>
      <c r="F18" s="41">
        <f>IF(E18="","",E18-TODAY())</f>
        <v/>
      </c>
      <c r="G18" s="40" t="n"/>
      <c r="H18" s="40" t="n"/>
    </row>
    <row r="19">
      <c r="A19" s="40" t="n"/>
      <c r="B19" s="40" t="n"/>
      <c r="C19" s="47" t="n"/>
      <c r="D19" s="39" t="n"/>
      <c r="E19" s="49">
        <f>IF(AND(D19&lt;&gt;"",C19&lt;&gt;""),D19+C19,"")</f>
        <v/>
      </c>
      <c r="F19" s="41">
        <f>IF(E19="","",E19-TODAY())</f>
        <v/>
      </c>
      <c r="G19" s="40" t="n"/>
      <c r="H19" s="40" t="n"/>
    </row>
    <row r="20">
      <c r="A20" s="40" t="n"/>
      <c r="B20" s="40" t="n"/>
      <c r="C20" s="47" t="n"/>
      <c r="D20" s="39" t="n"/>
      <c r="E20" s="49">
        <f>IF(AND(D20&lt;&gt;"",C20&lt;&gt;""),D20+C20,"")</f>
        <v/>
      </c>
      <c r="F20" s="41">
        <f>IF(E20="","",E20-TODAY())</f>
        <v/>
      </c>
      <c r="G20" s="40" t="n"/>
      <c r="H20" s="40" t="n"/>
    </row>
    <row r="21">
      <c r="A21" s="40" t="n"/>
      <c r="B21" s="40" t="n"/>
      <c r="C21" s="47" t="n"/>
      <c r="D21" s="39" t="n"/>
      <c r="E21" s="49">
        <f>IF(AND(D21&lt;&gt;"",C21&lt;&gt;""),D21+C21,"")</f>
        <v/>
      </c>
      <c r="F21" s="41">
        <f>IF(E21="","",E21-TODAY())</f>
        <v/>
      </c>
      <c r="G21" s="40" t="n"/>
      <c r="H21" s="40" t="n"/>
    </row>
    <row r="22">
      <c r="A22" s="40" t="n"/>
      <c r="B22" s="40" t="n"/>
      <c r="C22" s="47" t="n"/>
      <c r="D22" s="39" t="n"/>
      <c r="E22" s="49">
        <f>IF(AND(D22&lt;&gt;"",C22&lt;&gt;""),D22+C22,"")</f>
        <v/>
      </c>
      <c r="F22" s="41">
        <f>IF(E22="","",E22-TODAY())</f>
        <v/>
      </c>
      <c r="G22" s="40" t="n"/>
      <c r="H22" s="40" t="n"/>
    </row>
    <row r="23">
      <c r="A23" s="40" t="n"/>
      <c r="B23" s="40" t="n"/>
      <c r="C23" s="47" t="n"/>
      <c r="D23" s="39" t="n"/>
      <c r="E23" s="49">
        <f>IF(AND(D23&lt;&gt;"",C23&lt;&gt;""),D23+C23,"")</f>
        <v/>
      </c>
      <c r="F23" s="41">
        <f>IF(E23="","",E23-TODAY())</f>
        <v/>
      </c>
      <c r="G23" s="40" t="n"/>
      <c r="H23" s="40" t="n"/>
    </row>
    <row r="24">
      <c r="A24" s="40" t="n"/>
      <c r="B24" s="40" t="n"/>
      <c r="C24" s="47" t="n"/>
      <c r="D24" s="39" t="n"/>
      <c r="E24" s="49">
        <f>IF(AND(D24&lt;&gt;"",C24&lt;&gt;""),D24+C24,"")</f>
        <v/>
      </c>
      <c r="F24" s="41">
        <f>IF(E24="","",E24-TODAY())</f>
        <v/>
      </c>
      <c r="G24" s="40" t="n"/>
      <c r="H24" s="40" t="n"/>
    </row>
    <row r="25">
      <c r="A25" s="40" t="n"/>
      <c r="B25" s="40" t="n"/>
      <c r="C25" s="47" t="n"/>
      <c r="D25" s="39" t="n"/>
      <c r="E25" s="49">
        <f>IF(AND(D25&lt;&gt;"",C25&lt;&gt;""),D25+C25,"")</f>
        <v/>
      </c>
      <c r="F25" s="41">
        <f>IF(E25="","",E25-TODAY())</f>
        <v/>
      </c>
      <c r="G25" s="40" t="n"/>
      <c r="H25" s="40" t="n"/>
    </row>
    <row r="26">
      <c r="A26" s="40" t="n"/>
      <c r="B26" s="40" t="n"/>
      <c r="C26" s="47" t="n"/>
      <c r="D26" s="39" t="n"/>
      <c r="E26" s="49">
        <f>IF(AND(D26&lt;&gt;"",C26&lt;&gt;""),D26+C26,"")</f>
        <v/>
      </c>
      <c r="F26" s="41">
        <f>IF(E26="","",E26-TODAY())</f>
        <v/>
      </c>
      <c r="G26" s="40" t="n"/>
      <c r="H26" s="40" t="n"/>
    </row>
    <row r="27">
      <c r="A27" s="40" t="n"/>
      <c r="B27" s="40" t="n"/>
      <c r="C27" s="47" t="n"/>
      <c r="D27" s="39" t="n"/>
      <c r="E27" s="49">
        <f>IF(AND(D27&lt;&gt;"",C27&lt;&gt;""),D27+C27,"")</f>
        <v/>
      </c>
      <c r="F27" s="41">
        <f>IF(E27="","",E27-TODAY())</f>
        <v/>
      </c>
      <c r="G27" s="40" t="n"/>
      <c r="H27" s="40" t="n"/>
    </row>
    <row r="28">
      <c r="A28" s="40" t="n"/>
      <c r="B28" s="40" t="n"/>
      <c r="C28" s="47" t="n"/>
      <c r="D28" s="39" t="n"/>
      <c r="E28" s="49">
        <f>IF(AND(D28&lt;&gt;"",C28&lt;&gt;""),D28+C28,"")</f>
        <v/>
      </c>
      <c r="F28" s="41">
        <f>IF(E28="","",E28-TODAY())</f>
        <v/>
      </c>
      <c r="G28" s="40" t="n"/>
      <c r="H28" s="40" t="n"/>
    </row>
    <row r="29">
      <c r="A29" s="40" t="n"/>
      <c r="B29" s="40" t="n"/>
      <c r="C29" s="47" t="n"/>
      <c r="D29" s="39" t="n"/>
      <c r="E29" s="49">
        <f>IF(AND(D29&lt;&gt;"",C29&lt;&gt;""),D29+C29,"")</f>
        <v/>
      </c>
      <c r="F29" s="41">
        <f>IF(E29="","",E29-TODAY())</f>
        <v/>
      </c>
      <c r="G29" s="40" t="n"/>
      <c r="H29" s="40" t="n"/>
    </row>
    <row r="30">
      <c r="A30" s="40" t="n"/>
      <c r="B30" s="40" t="n"/>
      <c r="C30" s="47" t="n"/>
      <c r="D30" s="39" t="n"/>
      <c r="E30" s="49">
        <f>IF(AND(D30&lt;&gt;"",C30&lt;&gt;""),D30+C30,"")</f>
        <v/>
      </c>
      <c r="F30" s="41">
        <f>IF(E30="","",E30-TODAY())</f>
        <v/>
      </c>
      <c r="G30" s="40" t="n"/>
      <c r="H30" s="40" t="n"/>
    </row>
  </sheetData>
  <mergeCells count="4">
    <mergeCell ref="J2:L2"/>
    <mergeCell ref="D2:I2"/>
    <mergeCell ref="A2:C2"/>
    <mergeCell ref="A4:L4"/>
  </mergeCells>
  <conditionalFormatting sqref="F6:F30">
    <cfRule type="expression" priority="1" dxfId="0">
      <formula>AND(F6&lt;&gt;"",F6&lt;=0)</formula>
    </cfRule>
    <cfRule type="expression" priority="2" dxfId="1">
      <formula>AND(F6&gt;0,F6&lt;=14)</formula>
    </cfRule>
  </conditionalFormatting>
  <dataValidations count="2">
    <dataValidation sqref="B6:B30" showDropDown="0" showInputMessage="0" showErrorMessage="0" allowBlank="1" type="list">
      <formula1>"Smokies Ridge,Creek Side,Lakehouse A,All"</formula1>
    </dataValidation>
    <dataValidation sqref="H6:H30" showDropDown="0" showInputMessage="0" showErrorMessage="0" allowBlank="1" type="list">
      <formula1>"Active,Paused,Done"</formula1>
    </dataValidation>
  </dataValidations>
  <pageMargins left="0.4" right="0.4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HYPERLINK("#'Recurring Services'!A1", "← BACK")</f>
        <v/>
      </c>
      <c r="B2" s="12" t="n"/>
      <c r="C2" s="12" t="n"/>
      <c r="D2" s="36" t="inlineStr">
        <is>
          <t>ANNUAL COST REPORT · FOR YOUR CPA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📄 FOR YOUR CPA — print this tab. Filter by Settings → Active tax year.</t>
        </is>
      </c>
    </row>
    <row r="5" ht="16" customHeight="1">
      <c r="A5" s="50" t="inlineStr">
        <is>
          <t>YTD Total Spend ($):</t>
        </is>
      </c>
      <c r="B5" s="46">
        <f>SUMIFS('Work Orders'!$H$6:$H$305,'Work Orders'!$A$6:$A$305,"&gt;="&amp;DATE(Settings!$B$5,1,1),'Work Orders'!$A$6:$A$305,"&lt;"&amp;DATE(Settings!$B$5+1,1,1))</f>
        <v/>
      </c>
    </row>
    <row r="6" ht="16" customHeight="1">
      <c r="A6" s="50" t="inlineStr">
        <is>
          <t>Total Tickets:</t>
        </is>
      </c>
      <c r="B6" s="41">
        <f>COUNTIFS('Work Orders'!$A$6:$A$305,"&gt;="&amp;DATE(Settings!$B$5,1,1),'Work Orders'!$A$6:$A$305,"&lt;"&amp;DATE(Settings!$B$5+1,1,1))</f>
        <v/>
      </c>
    </row>
    <row r="7" ht="16" customHeight="1">
      <c r="A7" s="50" t="inlineStr">
        <is>
          <t>Capex Spend ($):</t>
        </is>
      </c>
      <c r="B7" s="46">
        <f>SUMIFS('Work Orders'!$H$6:$H$305,'Work Orders'!$A$6:$A$305,"&gt;="&amp;DATE(Settings!$B$5,1,1),'Work Orders'!$A$6:$A$305,"&lt;"&amp;DATE(Settings!$B$5+1,1,1),'Work Orders'!$K$6:$K$305,"Capex")</f>
        <v/>
      </c>
    </row>
    <row r="8" ht="16" customHeight="1">
      <c r="A8" s="50" t="inlineStr">
        <is>
          <t>Repair Spend ($):</t>
        </is>
      </c>
      <c r="B8" s="46">
        <f>SUMIFS('Work Orders'!$H$6:$H$305,'Work Orders'!$A$6:$A$305,"&gt;="&amp;DATE(Settings!$B$5,1,1),'Work Orders'!$A$6:$A$305,"&lt;"&amp;DATE(Settings!$B$5+1,1,1),'Work Orders'!$K$6:$K$305,"Repair")</f>
        <v/>
      </c>
    </row>
    <row r="9" ht="16" customHeight="1">
      <c r="A9" s="50" t="inlineStr">
        <is>
          <t>Open Tickets (any year):</t>
        </is>
      </c>
      <c r="B9" s="41">
        <f>COUNTIF('Work Orders'!$J$6:$J$305,"Open")</f>
        <v/>
      </c>
    </row>
    <row r="10" ht="10" customHeight="1"/>
    <row r="11" ht="20" customHeight="1">
      <c r="A11" s="51" t="inlineStr">
        <is>
          <t>$ Spend by Category</t>
        </is>
      </c>
    </row>
    <row r="12" ht="18" customHeight="1">
      <c r="A12" s="38" t="inlineStr">
        <is>
          <t>Category</t>
        </is>
      </c>
      <c r="B12" s="38" t="inlineStr">
        <is>
          <t>$ Spend</t>
        </is>
      </c>
      <c r="C12" s="38" t="inlineStr">
        <is>
          <t>Tickets</t>
        </is>
      </c>
    </row>
    <row r="13" ht="16" customHeight="1">
      <c r="A13" s="52" t="inlineStr">
        <is>
          <t>Plumbing</t>
        </is>
      </c>
      <c r="B13" s="46">
        <f>SUMIFS('Work Orders'!$H$6:$H$305,'Work Orders'!$A$6:$A$305,"&gt;="&amp;DATE(Settings!$B$5,1,1),'Work Orders'!$A$6:$A$305,"&lt;"&amp;DATE(Settings!$B$5+1,1,1),'Work Orders'!$C$6:$C$305,A13)</f>
        <v/>
      </c>
      <c r="C13" s="41">
        <f>COUNTIFS('Work Orders'!$A$6:$A$305,"&gt;="&amp;DATE(Settings!$B$5,1,1),'Work Orders'!$A$6:$A$305,"&lt;"&amp;DATE(Settings!$B$5+1,1,1),'Work Orders'!$C$6:$C$305,A13)</f>
        <v/>
      </c>
    </row>
    <row r="14" ht="16" customHeight="1">
      <c r="A14" s="52" t="inlineStr">
        <is>
          <t>HVAC</t>
        </is>
      </c>
      <c r="B14" s="46">
        <f>SUMIFS('Work Orders'!$H$6:$H$305,'Work Orders'!$A$6:$A$305,"&gt;="&amp;DATE(Settings!$B$5,1,1),'Work Orders'!$A$6:$A$305,"&lt;"&amp;DATE(Settings!$B$5+1,1,1),'Work Orders'!$C$6:$C$305,A14)</f>
        <v/>
      </c>
      <c r="C14" s="41">
        <f>COUNTIFS('Work Orders'!$A$6:$A$305,"&gt;="&amp;DATE(Settings!$B$5,1,1),'Work Orders'!$A$6:$A$305,"&lt;"&amp;DATE(Settings!$B$5+1,1,1),'Work Orders'!$C$6:$C$305,A14)</f>
        <v/>
      </c>
    </row>
    <row r="15" ht="16" customHeight="1">
      <c r="A15" s="52" t="inlineStr">
        <is>
          <t>Electrical</t>
        </is>
      </c>
      <c r="B15" s="46">
        <f>SUMIFS('Work Orders'!$H$6:$H$305,'Work Orders'!$A$6:$A$305,"&gt;="&amp;DATE(Settings!$B$5,1,1),'Work Orders'!$A$6:$A$305,"&lt;"&amp;DATE(Settings!$B$5+1,1,1),'Work Orders'!$C$6:$C$305,A15)</f>
        <v/>
      </c>
      <c r="C15" s="41">
        <f>COUNTIFS('Work Orders'!$A$6:$A$305,"&gt;="&amp;DATE(Settings!$B$5,1,1),'Work Orders'!$A$6:$A$305,"&lt;"&amp;DATE(Settings!$B$5+1,1,1),'Work Orders'!$C$6:$C$305,A15)</f>
        <v/>
      </c>
    </row>
    <row r="16" ht="16" customHeight="1">
      <c r="A16" s="52" t="inlineStr">
        <is>
          <t>Appliance</t>
        </is>
      </c>
      <c r="B16" s="46">
        <f>SUMIFS('Work Orders'!$H$6:$H$305,'Work Orders'!$A$6:$A$305,"&gt;="&amp;DATE(Settings!$B$5,1,1),'Work Orders'!$A$6:$A$305,"&lt;"&amp;DATE(Settings!$B$5+1,1,1),'Work Orders'!$C$6:$C$305,A16)</f>
        <v/>
      </c>
      <c r="C16" s="41">
        <f>COUNTIFS('Work Orders'!$A$6:$A$305,"&gt;="&amp;DATE(Settings!$B$5,1,1),'Work Orders'!$A$6:$A$305,"&lt;"&amp;DATE(Settings!$B$5+1,1,1),'Work Orders'!$C$6:$C$305,A16)</f>
        <v/>
      </c>
    </row>
    <row r="17" ht="16" customHeight="1">
      <c r="A17" s="52" t="inlineStr">
        <is>
          <t>Cosmetic</t>
        </is>
      </c>
      <c r="B17" s="46">
        <f>SUMIFS('Work Orders'!$H$6:$H$305,'Work Orders'!$A$6:$A$305,"&gt;="&amp;DATE(Settings!$B$5,1,1),'Work Orders'!$A$6:$A$305,"&lt;"&amp;DATE(Settings!$B$5+1,1,1),'Work Orders'!$C$6:$C$305,A17)</f>
        <v/>
      </c>
      <c r="C17" s="41">
        <f>COUNTIFS('Work Orders'!$A$6:$A$305,"&gt;="&amp;DATE(Settings!$B$5,1,1),'Work Orders'!$A$6:$A$305,"&lt;"&amp;DATE(Settings!$B$5+1,1,1),'Work Orders'!$C$6:$C$305,A17)</f>
        <v/>
      </c>
    </row>
    <row r="18" ht="16" customHeight="1">
      <c r="A18" s="52" t="inlineStr">
        <is>
          <t>Pest</t>
        </is>
      </c>
      <c r="B18" s="46">
        <f>SUMIFS('Work Orders'!$H$6:$H$305,'Work Orders'!$A$6:$A$305,"&gt;="&amp;DATE(Settings!$B$5,1,1),'Work Orders'!$A$6:$A$305,"&lt;"&amp;DATE(Settings!$B$5+1,1,1),'Work Orders'!$C$6:$C$305,A18)</f>
        <v/>
      </c>
      <c r="C18" s="41">
        <f>COUNTIFS('Work Orders'!$A$6:$A$305,"&gt;="&amp;DATE(Settings!$B$5,1,1),'Work Orders'!$A$6:$A$305,"&lt;"&amp;DATE(Settings!$B$5+1,1,1),'Work Orders'!$C$6:$C$305,A18)</f>
        <v/>
      </c>
    </row>
    <row r="19" ht="16" customHeight="1">
      <c r="A19" s="52" t="inlineStr">
        <is>
          <t>Landscape</t>
        </is>
      </c>
      <c r="B19" s="46">
        <f>SUMIFS('Work Orders'!$H$6:$H$305,'Work Orders'!$A$6:$A$305,"&gt;="&amp;DATE(Settings!$B$5,1,1),'Work Orders'!$A$6:$A$305,"&lt;"&amp;DATE(Settings!$B$5+1,1,1),'Work Orders'!$C$6:$C$305,A19)</f>
        <v/>
      </c>
      <c r="C19" s="41">
        <f>COUNTIFS('Work Orders'!$A$6:$A$305,"&gt;="&amp;DATE(Settings!$B$5,1,1),'Work Orders'!$A$6:$A$305,"&lt;"&amp;DATE(Settings!$B$5+1,1,1),'Work Orders'!$C$6:$C$305,A19)</f>
        <v/>
      </c>
    </row>
    <row r="20" ht="16" customHeight="1">
      <c r="A20" s="52" t="inlineStr">
        <is>
          <t>Other</t>
        </is>
      </c>
      <c r="B20" s="46">
        <f>SUMIFS('Work Orders'!$H$6:$H$305,'Work Orders'!$A$6:$A$305,"&gt;="&amp;DATE(Settings!$B$5,1,1),'Work Orders'!$A$6:$A$305,"&lt;"&amp;DATE(Settings!$B$5+1,1,1),'Work Orders'!$C$6:$C$305,A20)</f>
        <v/>
      </c>
      <c r="C20" s="41">
        <f>COUNTIFS('Work Orders'!$A$6:$A$305,"&gt;="&amp;DATE(Settings!$B$5,1,1),'Work Orders'!$A$6:$A$305,"&lt;"&amp;DATE(Settings!$B$5+1,1,1),'Work Orders'!$C$6:$C$305,A20)</f>
        <v/>
      </c>
    </row>
    <row r="21" ht="10" customHeight="1"/>
    <row r="22" ht="20" customHeight="1">
      <c r="A22" s="51" t="inlineStr">
        <is>
          <t>$ Spend by Property</t>
        </is>
      </c>
    </row>
    <row r="23" ht="18" customHeight="1">
      <c r="A23" s="38" t="inlineStr">
        <is>
          <t>Property</t>
        </is>
      </c>
      <c r="B23" s="38" t="inlineStr">
        <is>
          <t>$ Spend</t>
        </is>
      </c>
      <c r="C23" s="38" t="inlineStr">
        <is>
          <t>Tickets</t>
        </is>
      </c>
    </row>
    <row r="24" ht="16" customHeight="1">
      <c r="A24" s="52" t="inlineStr">
        <is>
          <t>Smokies Ridge</t>
        </is>
      </c>
      <c r="B24" s="46">
        <f>SUMIFS('Work Orders'!$H$6:$H$305,'Work Orders'!$A$6:$A$305,"&gt;="&amp;DATE(Settings!$B$5,1,1),'Work Orders'!$A$6:$A$305,"&lt;"&amp;DATE(Settings!$B$5+1,1,1),'Work Orders'!$B$6:$B$305,A24)</f>
        <v/>
      </c>
      <c r="C24" s="41">
        <f>COUNTIFS('Work Orders'!$A$6:$A$305,"&gt;="&amp;DATE(Settings!$B$5,1,1),'Work Orders'!$A$6:$A$305,"&lt;"&amp;DATE(Settings!$B$5+1,1,1),'Work Orders'!$B$6:$B$305,A24)</f>
        <v/>
      </c>
    </row>
    <row r="25" ht="16" customHeight="1">
      <c r="A25" s="52" t="inlineStr">
        <is>
          <t>Creek Side</t>
        </is>
      </c>
      <c r="B25" s="46">
        <f>SUMIFS('Work Orders'!$H$6:$H$305,'Work Orders'!$A$6:$A$305,"&gt;="&amp;DATE(Settings!$B$5,1,1),'Work Orders'!$A$6:$A$305,"&lt;"&amp;DATE(Settings!$B$5+1,1,1),'Work Orders'!$B$6:$B$305,A25)</f>
        <v/>
      </c>
      <c r="C25" s="41">
        <f>COUNTIFS('Work Orders'!$A$6:$A$305,"&gt;="&amp;DATE(Settings!$B$5,1,1),'Work Orders'!$A$6:$A$305,"&lt;"&amp;DATE(Settings!$B$5+1,1,1),'Work Orders'!$B$6:$B$305,A25)</f>
        <v/>
      </c>
    </row>
    <row r="26" ht="16" customHeight="1">
      <c r="A26" s="52" t="inlineStr">
        <is>
          <t>Lakehouse A</t>
        </is>
      </c>
      <c r="B26" s="46">
        <f>SUMIFS('Work Orders'!$H$6:$H$305,'Work Orders'!$A$6:$A$305,"&gt;="&amp;DATE(Settings!$B$5,1,1),'Work Orders'!$A$6:$A$305,"&lt;"&amp;DATE(Settings!$B$5+1,1,1),'Work Orders'!$B$6:$B$305,A26)</f>
        <v/>
      </c>
      <c r="C26" s="41">
        <f>COUNTIFS('Work Orders'!$A$6:$A$305,"&gt;="&amp;DATE(Settings!$B$5,1,1),'Work Orders'!$A$6:$A$305,"&lt;"&amp;DATE(Settings!$B$5+1,1,1),'Work Orders'!$B$6:$B$305,A26)</f>
        <v/>
      </c>
    </row>
  </sheetData>
  <mergeCells count="4">
    <mergeCell ref="J2:L2"/>
    <mergeCell ref="D2:I2"/>
    <mergeCell ref="A2:C2"/>
    <mergeCell ref="A4:L4"/>
  </mergeCells>
  <pageMargins left="0.5" right="0.5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6" customWidth="1" min="3" max="3"/>
    <col width="22" customWidth="1" min="4" max="4"/>
    <col width="22" customWidth="1" min="5" max="5"/>
    <col width="22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HYPERLINK("#'Annual Cost Report'!A1",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tax year · property + status + category lists · year-end archive</t>
        </is>
      </c>
    </row>
    <row r="5" ht="20" customHeight="1">
      <c r="A5" s="53" t="inlineStr">
        <is>
          <t>Active tax year:</t>
        </is>
      </c>
      <c r="B5" s="47" t="n">
        <v>2026</v>
      </c>
      <c r="D5" s="51" t="inlineStr">
        <is>
          <t>Year-end Archive</t>
        </is>
      </c>
    </row>
    <row r="6" ht="30" customHeight="1">
      <c r="B6" s="54" t="inlineStr">
        <is>
          <t>Property list (10 max):</t>
        </is>
      </c>
      <c r="D6" s="55" t="inlineStr">
        <is>
          <t>Each January, copy YTD totals into the row for the closing year, then optionally clear closed Work Orders for the new year.</t>
        </is>
      </c>
    </row>
    <row r="7" ht="18" customHeight="1">
      <c r="B7" s="40" t="inlineStr">
        <is>
          <t>Smokies Ridge</t>
        </is>
      </c>
      <c r="D7" s="38" t="inlineStr">
        <is>
          <t>Year</t>
        </is>
      </c>
      <c r="E7" s="38" t="inlineStr">
        <is>
          <t>Total $ Spent</t>
        </is>
      </c>
      <c r="F7" s="38" t="inlineStr">
        <is>
          <t># Tickets</t>
        </is>
      </c>
    </row>
    <row r="8" ht="16" customHeight="1">
      <c r="B8" s="40" t="inlineStr">
        <is>
          <t>Creek Side</t>
        </is>
      </c>
      <c r="D8" s="52" t="n">
        <v>2024</v>
      </c>
      <c r="E8" s="42" t="n"/>
      <c r="F8" s="40" t="n"/>
    </row>
    <row r="9" ht="16" customHeight="1">
      <c r="B9" s="40" t="inlineStr">
        <is>
          <t>Lakehouse A</t>
        </is>
      </c>
      <c r="D9" s="52" t="n">
        <v>2025</v>
      </c>
      <c r="E9" s="42" t="n"/>
      <c r="F9" s="40" t="n"/>
    </row>
    <row r="10" ht="16" customHeight="1">
      <c r="B10" s="40" t="n"/>
      <c r="D10" s="52" t="n">
        <v>2026</v>
      </c>
      <c r="E10" s="42" t="n"/>
      <c r="F10" s="40" t="n"/>
    </row>
    <row r="11" ht="16" customHeight="1">
      <c r="B11" s="40" t="n"/>
      <c r="D11" s="52" t="n">
        <v>2027</v>
      </c>
      <c r="E11" s="42" t="n"/>
      <c r="F11" s="40" t="n"/>
    </row>
    <row r="12" ht="16" customHeight="1">
      <c r="B12" s="40" t="n"/>
      <c r="D12" s="52" t="n">
        <v>2028</v>
      </c>
      <c r="E12" s="42" t="n"/>
      <c r="F12" s="40" t="n"/>
    </row>
    <row r="13" ht="16" customHeight="1">
      <c r="B13" s="40" t="n"/>
      <c r="D13" s="52" t="n">
        <v>2029</v>
      </c>
      <c r="E13" s="42" t="n"/>
      <c r="F13" s="40" t="n"/>
    </row>
    <row r="14" ht="16" customHeight="1">
      <c r="B14" s="40" t="n"/>
      <c r="D14" s="52" t="n">
        <v>2030</v>
      </c>
      <c r="E14" s="42" t="n"/>
      <c r="F14" s="40" t="n"/>
    </row>
    <row r="15" ht="16" customHeight="1">
      <c r="B15" s="40" t="n"/>
    </row>
    <row r="16" ht="16" customHeight="1">
      <c r="B16" s="40" t="n"/>
    </row>
    <row r="17" ht="18" customHeight="1">
      <c r="B17" s="54" t="inlineStr">
        <is>
          <t>Status list:</t>
        </is>
      </c>
    </row>
    <row r="18" ht="16" customHeight="1">
      <c r="B18" s="40" t="inlineStr">
        <is>
          <t>Open</t>
        </is>
      </c>
    </row>
    <row r="19" ht="16" customHeight="1">
      <c r="B19" s="40" t="inlineStr">
        <is>
          <t>Scheduled</t>
        </is>
      </c>
    </row>
    <row r="20" ht="16" customHeight="1">
      <c r="B20" s="40" t="inlineStr">
        <is>
          <t>Done</t>
        </is>
      </c>
    </row>
    <row r="21" ht="16" customHeight="1">
      <c r="B21" s="40" t="inlineStr">
        <is>
          <t>Deferred</t>
        </is>
      </c>
    </row>
    <row r="22" ht="16" customHeight="1">
      <c r="B22" s="40" t="n"/>
    </row>
    <row r="23" ht="16" customHeight="1">
      <c r="B23" s="40" t="n"/>
    </row>
    <row r="24" ht="16" customHeight="1">
      <c r="B24" s="40" t="n"/>
    </row>
    <row r="25" ht="16" customHeight="1">
      <c r="B25" s="40" t="n"/>
    </row>
    <row r="26" ht="18" customHeight="1">
      <c r="B26" s="54" t="inlineStr">
        <is>
          <t>Category list:</t>
        </is>
      </c>
    </row>
    <row r="27" ht="16" customHeight="1">
      <c r="B27" s="40" t="inlineStr">
        <is>
          <t>Plumbing</t>
        </is>
      </c>
    </row>
    <row r="28" ht="16" customHeight="1">
      <c r="B28" s="40" t="inlineStr">
        <is>
          <t>HVAC</t>
        </is>
      </c>
    </row>
    <row r="29" ht="16" customHeight="1">
      <c r="B29" s="40" t="inlineStr">
        <is>
          <t>Electrical</t>
        </is>
      </c>
    </row>
    <row r="30" ht="16" customHeight="1">
      <c r="B30" s="40" t="inlineStr">
        <is>
          <t>Appliance</t>
        </is>
      </c>
    </row>
    <row r="31" ht="16" customHeight="1">
      <c r="B31" s="40" t="inlineStr">
        <is>
          <t>Cosmetic</t>
        </is>
      </c>
    </row>
    <row r="32" ht="16" customHeight="1">
      <c r="B32" s="40" t="inlineStr">
        <is>
          <t>Pest</t>
        </is>
      </c>
    </row>
    <row r="33" ht="16" customHeight="1">
      <c r="B33" s="40" t="inlineStr">
        <is>
          <t>Landscape</t>
        </is>
      </c>
    </row>
    <row r="34" ht="16" customHeight="1">
      <c r="B34" s="40" t="inlineStr">
        <is>
          <t>Other</t>
        </is>
      </c>
    </row>
    <row r="35" ht="16" customHeight="1">
      <c r="B35" s="40" t="n"/>
    </row>
    <row r="36" ht="16" customHeight="1">
      <c r="B36" s="40" t="n"/>
    </row>
  </sheetData>
  <mergeCells count="4">
    <mergeCell ref="D2:L2"/>
    <mergeCell ref="D6:F6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Maintenance Log + Vendor CRM (DEMO) — The STR Ledger</dc:title>
  <dc:description xmlns:dc="http://purl.org/dc/elements/1.1/">Maintenance work-order log + preferred-vendor CRM for STR portfolios.</dc:description>
  <dcterms:created xmlns:dcterms="http://purl.org/dc/terms/" xmlns:xsi="http://www.w3.org/2001/XMLSchema-instance" xsi:type="dcterms:W3CDTF">2026-05-03T19:04:55Z</dcterms:created>
  <dcterms:modified xmlns:dcterms="http://purl.org/dc/terms/" xmlns:xsi="http://www.w3.org/2001/XMLSchema-instance" xsi:type="dcterms:W3CDTF">2026-05-03T19:04:55Z</dcterms:modified>
</cp:coreProperties>
</file>