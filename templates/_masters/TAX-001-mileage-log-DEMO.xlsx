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Mileage Log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YTD Dashboard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'Start'!$A$1:$L$50</definedName>
    <definedName name="_xlnm.Print_Titles" localSheetId="1">'Mileage Log'!$1:$5</definedName>
    <definedName name="_xlnm.Print_Titles" localSheetId="2">'Monthly Summary'!$1:$5</definedName>
    <definedName name="_xlnm.Print_Area" localSheetId="2">'Monthly Summary'!$A$1:$N$22</definedName>
    <definedName name="_xlnm.Print_Titles" localSheetId="3">'YTD Dashboard'!$1:$4</definedName>
    <definedName name="_xlnm.Print_Area" localSheetId="3">'YTD Dashboard'!$A$1:$N$34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yyyy-mm-dd"/>
    <numFmt numFmtId="166" formatCode="&quot;$&quot;#,##0.00"/>
    <numFmt numFmtId="167" formatCode="&quot;$&quot;0.000"/>
    <numFmt numFmtId="168" formatCode="0.0%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Georgia"/>
      <b val="1"/>
      <color rgb="0012304E"/>
      <sz val="2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color rgb="002B2B2B"/>
      <sz val="11"/>
    </font>
    <font>
      <name val="Georgia"/>
      <b val="1"/>
      <color rgb="0012304E"/>
      <sz val="12"/>
    </font>
    <font>
      <name val="Calibri"/>
      <i val="1"/>
      <color rgb="006B7280"/>
      <sz val="10"/>
    </font>
    <font>
      <name val="Calibri"/>
      <color rgb="006B7280"/>
      <sz val="11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FFF3BF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17" fillId="2" borderId="14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1" fontId="22" fillId="8" borderId="0" applyAlignment="1" pivotButton="0" quotePrefix="0" xfId="0">
      <alignment horizontal="right" vertical="center"/>
    </xf>
    <xf numFmtId="166" fontId="22" fillId="8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right" vertical="center"/>
    </xf>
    <xf numFmtId="2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left" vertical="center"/>
    </xf>
    <xf numFmtId="1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0" fontId="23" fillId="9" borderId="0" pivotButton="0" quotePrefix="0" xfId="0"/>
    <xf numFmtId="1" fontId="24" fillId="9" borderId="0" pivotButton="0" quotePrefix="0" xfId="0"/>
    <xf numFmtId="166" fontId="24" fillId="9" borderId="0" pivotButton="0" quotePrefix="0" xfId="0"/>
    <xf numFmtId="0" fontId="24" fillId="9" borderId="0" pivotButton="0" quotePrefix="0" xfId="0"/>
    <xf numFmtId="0" fontId="24" fillId="0" borderId="0" pivotButton="0" quotePrefix="0" xfId="0"/>
    <xf numFmtId="2" fontId="22" fillId="8" borderId="0" applyAlignment="1" pivotButton="0" quotePrefix="0" xfId="0">
      <alignment horizontal="right" vertical="center"/>
    </xf>
    <xf numFmtId="0" fontId="14" fillId="0" borderId="0" pivotButton="0" quotePrefix="0" xfId="0"/>
    <xf numFmtId="0" fontId="25" fillId="4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right" vertical="center"/>
    </xf>
    <xf numFmtId="167" fontId="6" fillId="7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 indent="1"/>
    </xf>
    <xf numFmtId="1" fontId="6" fillId="7" borderId="0" applyAlignment="1" pivotButton="0" quotePrefix="0" xfId="0">
      <alignment horizontal="left" vertical="center"/>
    </xf>
    <xf numFmtId="0" fontId="26" fillId="0" borderId="0" pivotButton="0" quotePrefix="0" xfId="0"/>
    <xf numFmtId="167" fontId="27" fillId="0" borderId="0" pivotButton="0" quotePrefix="0" xfId="0"/>
    <xf numFmtId="0" fontId="23" fillId="0" borderId="0" pivotButton="0" quotePrefix="0" xfId="0"/>
    <xf numFmtId="0" fontId="26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 indent="1"/>
    </xf>
    <xf numFmtId="168" fontId="22" fillId="8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  <dxf>
      <font>
        <b val="1"/>
        <color rgb="00B91C1C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Summary'!$A$6:$A$17</f>
            </numRef>
          </cat>
          <val>
            <numRef>
              <f>'Monthly Summary'!$B$6:$B$17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Deduction by Purpose</a:t>
            </a:r>
          </a:p>
        </rich>
      </tx>
    </title>
    <plotArea>
      <doughnutChart>
        <varyColors val="1"/>
        <ser>
          <idx val="0"/>
          <order val="0"/>
          <tx>
            <strRef>
              <f>'YTD Dashboard'!C12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'YTD Dashboard'!$A$13:$A$24</f>
            </numRef>
          </cat>
          <val>
            <numRef>
              <f>'YTD Dashboard'!$C$13:$C$24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Miles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'YTD Dashboard'!B27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'YTD Dashboard'!$A$28:$A$30</f>
            </numRef>
          </cat>
          <val>
            <numRef>
              <f>'YTD Dashboard'!$B$28:$B$30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Property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25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STR Mileage Log</t>
        </is>
      </c>
    </row>
    <row r="5" ht="22" customHeight="1">
      <c r="A5" s="4" t="inlineStr">
        <is>
          <t>Close your year before April does.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TAX-001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The IRS requires 4 things on every business-mileage entry: date, destination, business purpose, and miles driven (Pub 463). This log captures all 4 plus odometer readings, property allocation, and calculated $ deduction at the current rate. Print the Monthly Summary and YTD Dashboard tabs for your CPA at year-end.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Click the navy button below to open the Mileage Log — log one row per trip.</t>
        </is>
      </c>
    </row>
    <row r="20" ht="22" customHeight="1">
      <c r="A20" s="9" t="inlineStr">
        <is>
          <t>② Use odometer columns (Start + End) OR type miles directly. Formula prefers odometer.</t>
        </is>
      </c>
    </row>
    <row r="21" ht="22" customHeight="1">
      <c r="A21" s="9" t="inlineStr">
        <is>
          <t>③ Fill 'Duration (hr)' too — it counts toward 100/500-hour material-participation tests.</t>
        </is>
      </c>
    </row>
    <row r="22" ht="22" customHeight="1">
      <c r="A22" s="9" t="inlineStr">
        <is>
          <t>④ Column K shows ✓ when an entry meets the IRS 4-element rule; ⚠ flags missing fields.</t>
        </is>
      </c>
    </row>
    <row r="23" ht="22" customHeight="1">
      <c r="A23" s="9" t="inlineStr">
        <is>
          <t>⑤ Log within 7 days of each trip — auditors disallow records reconstructed at year-end.</t>
        </is>
      </c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22" customHeight="1">
      <c r="A26" s="11">
        <f>HYPERLINK("#'Mileage Log'!A6", "→  ADD A NEW TRIP  (OPEN MILEAGE LOG)")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13" t="inlineStr">
        <is>
          <t>TRIPS LOGGED</t>
        </is>
      </c>
      <c r="B32" s="14" t="n"/>
      <c r="C32" s="14" t="n"/>
      <c r="D32" s="15" t="n"/>
      <c r="E32" s="16" t="inlineStr">
        <is>
          <t>YTD DEDUCTION</t>
        </is>
      </c>
      <c r="F32" s="14" t="n"/>
      <c r="G32" s="14" t="n"/>
      <c r="H32" s="15" t="n"/>
      <c r="I32" s="13" t="inlineStr">
        <is>
          <t>LAST ENTRY</t>
        </is>
      </c>
      <c r="J32" s="14" t="n"/>
      <c r="K32" s="14" t="n"/>
      <c r="L32" s="15" t="n"/>
    </row>
    <row r="33">
      <c r="A33" s="17">
        <f>COUNTA('Mileage Log'!A6:A2005)</f>
        <v/>
      </c>
      <c r="B33" s="18" t="n"/>
      <c r="C33" s="18" t="n"/>
      <c r="D33" s="19" t="n"/>
      <c r="E33" s="20">
        <f>'Monthly Summary'!C19</f>
        <v/>
      </c>
      <c r="F33" s="18" t="n"/>
      <c r="G33" s="18" t="n"/>
      <c r="H33" s="19" t="n"/>
      <c r="I33" s="21">
        <f>IFERROR(TEXT(MAX('Mileage Log'!A6:A2005),"yyyy-mm-dd"),"—")</f>
        <v/>
      </c>
      <c r="J33" s="18" t="n"/>
      <c r="K33" s="18" t="n"/>
      <c r="L33" s="19" t="n"/>
    </row>
    <row r="34">
      <c r="A34" s="22" t="n"/>
      <c r="B34" s="18" t="n"/>
      <c r="C34" s="18" t="n"/>
      <c r="D34" s="19" t="n"/>
      <c r="E34" s="22" t="n"/>
      <c r="F34" s="18" t="n"/>
      <c r="G34" s="18" t="n"/>
      <c r="H34" s="19" t="n"/>
      <c r="I34" s="22" t="n"/>
      <c r="J34" s="18" t="n"/>
      <c r="K34" s="18" t="n"/>
      <c r="L34" s="19" t="n"/>
    </row>
    <row r="35">
      <c r="A35" s="23" t="inlineStr">
        <is>
          <t>trips this year</t>
        </is>
      </c>
      <c r="B35" s="24" t="n"/>
      <c r="C35" s="24" t="n"/>
      <c r="D35" s="25" t="n"/>
      <c r="E35" s="23" t="inlineStr">
        <is>
          <t>at current IRS rate</t>
        </is>
      </c>
      <c r="F35" s="24" t="n"/>
      <c r="G35" s="24" t="n"/>
      <c r="H35" s="25" t="n"/>
      <c r="I35" s="23" t="inlineStr">
        <is>
          <t>most recent trip date</t>
        </is>
      </c>
      <c r="J35" s="24" t="n"/>
      <c r="K35" s="24" t="n"/>
      <c r="L35" s="25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6">
        <f>HYPERLINK("#'Monthly Summary'!A1", "Monthly Summary")</f>
        <v/>
      </c>
      <c r="B39" s="27" t="n"/>
      <c r="C39" s="27" t="n"/>
      <c r="D39" s="26">
        <f>HYPERLINK("#'YTD Dashboard'!A1", "YTD Dashboard")</f>
        <v/>
      </c>
      <c r="E39" s="27" t="n"/>
      <c r="F39" s="27" t="n"/>
      <c r="G39" s="28">
        <f>HYPERLINK("#'Monthly Summary'!A1", "📄 Print Packet")</f>
        <v/>
      </c>
      <c r="H39" s="29" t="n"/>
      <c r="I39" s="29" t="n"/>
      <c r="J39" s="26">
        <f>HYPERLINK("#'Settings'!A1", "Settings")</f>
        <v/>
      </c>
      <c r="K39" s="27" t="n"/>
      <c r="L39" s="27" t="n"/>
    </row>
    <row r="40" ht="22" customHeight="1">
      <c r="A40" s="27" t="n"/>
      <c r="B40" s="27" t="n"/>
      <c r="C40" s="27" t="n"/>
      <c r="D40" s="27" t="n"/>
      <c r="E40" s="27" t="n"/>
      <c r="F40" s="27" t="n"/>
      <c r="G40" s="29" t="n"/>
      <c r="H40" s="29" t="n"/>
      <c r="I40" s="29" t="n"/>
      <c r="J40" s="27" t="n"/>
      <c r="K40" s="27" t="n"/>
      <c r="L40" s="27" t="n"/>
    </row>
    <row r="42" ht="36" customHeight="1">
      <c r="A42" s="30" t="inlineStr">
        <is>
          <t>📄 TAX TIME: print Monthly Summary + YTD Dashboard (File → Print → 'Print Active Sheets'). 📅 YEAR END: copy YTD totals into Settings → Year-end Archive before Jan 1.</t>
        </is>
      </c>
    </row>
    <row r="44" ht="28" customHeight="1">
      <c r="A44" s="31" t="inlineStr">
        <is>
          <t>⚠ IRS rate updates January 1 each year. Current 2026: $0.725/mi (Notice 2026-10). Update Settings → B5 each January (irs.gov Publication 463).</t>
        </is>
      </c>
    </row>
    <row r="46" ht="30" customHeight="1">
      <c r="A46" s="32" t="inlineStr">
        <is>
          <t>💡 Upgrade to the Full version at thestrledger.com/upgrade — multi-property, depreciation, multi-LLC support.</t>
        </is>
      </c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 ht="18" customHeight="1">
      <c r="A49" s="34" t="inlineStr">
        <is>
          <t>Questions? hello@thestrledger.com</t>
        </is>
      </c>
    </row>
    <row r="50" ht="18" customHeight="1">
      <c r="A50" s="35" t="inlineStr">
        <is>
          <t>TAX-001 · v2.2 · Free updates forever</t>
        </is>
      </c>
    </row>
  </sheetData>
  <mergeCells count="30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49:L49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18" customWidth="1" min="10" max="10"/>
    <col width="10" customWidth="1" min="11" max="11"/>
    <col width="9" customWidth="1" min="12" max="12"/>
    <col width="8" customWidth="1" min="13" max="13"/>
    <col width="11" customWidth="1" min="14" max="14"/>
    <col width="10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MILEAGE LOG</t>
        </is>
      </c>
      <c r="J2" s="28">
        <f>HYPERLINK("#'Monthly Summary'!A1",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One row per trip — odometer or typed miles</t>
        </is>
      </c>
    </row>
    <row r="5" ht="20" customHeight="1">
      <c r="A5" s="38" t="inlineStr">
        <is>
          <t>Trip Date</t>
        </is>
      </c>
      <c r="B5" s="38" t="inlineStr">
        <is>
          <t>Property</t>
        </is>
      </c>
      <c r="C5" s="38" t="inlineStr">
        <is>
          <t>Destination</t>
        </is>
      </c>
      <c r="D5" s="38" t="inlineStr">
        <is>
          <t>Business Purpose</t>
        </is>
      </c>
      <c r="E5" s="38" t="inlineStr">
        <is>
          <t>Start Odo</t>
        </is>
      </c>
      <c r="F5" s="38" t="inlineStr">
        <is>
          <t>End Odo</t>
        </is>
      </c>
      <c r="G5" s="38" t="inlineStr">
        <is>
          <t>Miles (typed alt)</t>
        </is>
      </c>
      <c r="H5" s="38" t="inlineStr">
        <is>
          <t>Calculated Miles</t>
        </is>
      </c>
      <c r="I5" s="38" t="inlineStr">
        <is>
          <t>$ Deduction</t>
        </is>
      </c>
      <c r="J5" s="38" t="inlineStr">
        <is>
          <t>Notes</t>
        </is>
      </c>
      <c r="K5" s="38" t="inlineStr">
        <is>
          <t>✔ IRS</t>
        </is>
      </c>
      <c r="L5" s="38" t="inlineStr">
        <is>
          <t>Duration (hr)</t>
        </is>
      </c>
      <c r="M5" s="38" t="inlineStr">
        <is>
          <t>📎 Receipt</t>
        </is>
      </c>
      <c r="N5" s="38" t="inlineStr">
        <is>
          <t>Logged On</t>
        </is>
      </c>
      <c r="O5" s="38" t="inlineStr">
        <is>
          <t>Parking + Tolls $</t>
        </is>
      </c>
    </row>
    <row r="6" ht="16" customHeight="1">
      <c r="A6" s="39" t="n">
        <v>46027</v>
      </c>
      <c r="B6" s="40" t="inlineStr">
        <is>
          <t>Smokies Ridge</t>
        </is>
      </c>
      <c r="C6" s="40" t="inlineStr">
        <is>
          <t>Home Depot run</t>
        </is>
      </c>
      <c r="D6" s="40" t="inlineStr">
        <is>
          <t>Supplies run</t>
        </is>
      </c>
      <c r="E6" s="40" t="n">
        <v>45120</v>
      </c>
      <c r="F6" s="40" t="n">
        <v>45144</v>
      </c>
      <c r="G6" s="40" t="n"/>
      <c r="H6" s="41">
        <f>IF(AND(E6&lt;&gt;"",F6&lt;&gt;""), F6-E6, IF(G6&lt;&gt;"", G6, 0))</f>
        <v/>
      </c>
      <c r="I6" s="42">
        <f>H6*Settings!$B$5</f>
        <v/>
      </c>
      <c r="J6" s="40" t="inlineStr">
        <is>
          <t>Hot tub chemicals</t>
        </is>
      </c>
      <c r="K6" s="43">
        <f>IF(AND(A6&lt;&gt;"",C6&lt;&gt;"",D6&lt;&gt;"",H6&gt;0),"✓","⚠ missing")</f>
        <v/>
      </c>
      <c r="L6" s="44" t="n">
        <v>1.5</v>
      </c>
      <c r="M6" s="45" t="inlineStr">
        <is>
          <t>Y</t>
        </is>
      </c>
      <c r="N6" s="39" t="n">
        <v>46027</v>
      </c>
      <c r="O6" s="46" t="n"/>
    </row>
    <row r="7" ht="16" customHeight="1">
      <c r="A7" s="39" t="n">
        <v>46030</v>
      </c>
      <c r="B7" s="40" t="inlineStr">
        <is>
          <t>Smokies Ridge</t>
        </is>
      </c>
      <c r="C7" s="40" t="inlineStr">
        <is>
          <t>Property inspection visit</t>
        </is>
      </c>
      <c r="D7" s="40" t="inlineStr">
        <is>
          <t>Property inspection</t>
        </is>
      </c>
      <c r="E7" s="40" t="n">
        <v>45150</v>
      </c>
      <c r="F7" s="40" t="n">
        <v>45195</v>
      </c>
      <c r="G7" s="40" t="n"/>
      <c r="H7" s="41">
        <f>IF(AND(E7&lt;&gt;"",F7&lt;&gt;""), F7-E7, IF(G7&lt;&gt;"", G7, 0))</f>
        <v/>
      </c>
      <c r="I7" s="42">
        <f>H7*Settings!$B$5</f>
        <v/>
      </c>
      <c r="J7" s="40" t="inlineStr">
        <is>
          <t>Quarterly inspection</t>
        </is>
      </c>
      <c r="K7" s="43">
        <f>IF(AND(A7&lt;&gt;"",C7&lt;&gt;"",D7&lt;&gt;"",H7&gt;0),"✓","⚠ missing")</f>
        <v/>
      </c>
      <c r="L7" s="44" t="n">
        <v>2.5</v>
      </c>
      <c r="M7" s="45" t="n"/>
      <c r="N7" s="39" t="n">
        <v>46031</v>
      </c>
      <c r="O7" s="46" t="n"/>
    </row>
    <row r="8" ht="16" customHeight="1">
      <c r="A8" s="39" t="n">
        <v>46037</v>
      </c>
      <c r="B8" s="40" t="inlineStr">
        <is>
          <t>Creek Side</t>
        </is>
      </c>
      <c r="C8" s="40" t="inlineStr">
        <is>
          <t>Knoxville airport guest pickup</t>
        </is>
      </c>
      <c r="D8" s="40" t="inlineStr">
        <is>
          <t>Guest transport</t>
        </is>
      </c>
      <c r="E8" s="40" t="n">
        <v>45200</v>
      </c>
      <c r="F8" s="40" t="n">
        <v>45292</v>
      </c>
      <c r="G8" s="40" t="n"/>
      <c r="H8" s="41">
        <f>IF(AND(E8&lt;&gt;"",F8&lt;&gt;""), F8-E8, IF(G8&lt;&gt;"", G8, 0))</f>
        <v/>
      </c>
      <c r="I8" s="42">
        <f>H8*Settings!$B$5</f>
        <v/>
      </c>
      <c r="J8" s="40" t="inlineStr">
        <is>
          <t>Airbnb Plus comped ride</t>
        </is>
      </c>
      <c r="K8" s="43">
        <f>IF(AND(A8&lt;&gt;"",C8&lt;&gt;"",D8&lt;&gt;"",H8&gt;0),"✓","⚠ missing")</f>
        <v/>
      </c>
      <c r="L8" s="44" t="n">
        <v>3</v>
      </c>
      <c r="M8" s="45" t="n"/>
      <c r="N8" s="39" t="n">
        <v>46037</v>
      </c>
      <c r="O8" s="46" t="n">
        <v>14</v>
      </c>
    </row>
    <row r="9" ht="16" customHeight="1">
      <c r="A9" s="39" t="n">
        <v>46042</v>
      </c>
      <c r="B9" s="40" t="inlineStr">
        <is>
          <t>Smokies Ridge</t>
        </is>
      </c>
      <c r="C9" s="40" t="inlineStr">
        <is>
          <t>Meet new cleaner onsite</t>
        </is>
      </c>
      <c r="D9" s="40" t="inlineStr">
        <is>
          <t>Meeting cleaner / staff</t>
        </is>
      </c>
      <c r="E9" s="40" t="n">
        <v>45300</v>
      </c>
      <c r="F9" s="40" t="n">
        <v>45345</v>
      </c>
      <c r="G9" s="40" t="n"/>
      <c r="H9" s="41">
        <f>IF(AND(E9&lt;&gt;"",F9&lt;&gt;""), F9-E9, IF(G9&lt;&gt;"", G9, 0))</f>
        <v/>
      </c>
      <c r="I9" s="42">
        <f>H9*Settings!$B$5</f>
        <v/>
      </c>
      <c r="J9" s="40" t="inlineStr">
        <is>
          <t>Onboard Jamie</t>
        </is>
      </c>
      <c r="K9" s="43">
        <f>IF(AND(A9&lt;&gt;"",C9&lt;&gt;"",D9&lt;&gt;"",H9&gt;0),"✓","⚠ missing")</f>
        <v/>
      </c>
      <c r="L9" s="44" t="n">
        <v>2</v>
      </c>
      <c r="M9" s="45" t="n"/>
      <c r="N9" s="39" t="n">
        <v>46043</v>
      </c>
      <c r="O9" s="46" t="n"/>
    </row>
    <row r="10" ht="16" customHeight="1">
      <c r="A10" s="39" t="n">
        <v>46055</v>
      </c>
      <c r="B10" s="40" t="inlineStr">
        <is>
          <t>Creek Side</t>
        </is>
      </c>
      <c r="C10" s="40" t="inlineStr">
        <is>
          <t>Turnover walkthrough</t>
        </is>
      </c>
      <c r="D10" s="40" t="inlineStr">
        <is>
          <t>Turnover (laundry/clean)</t>
        </is>
      </c>
      <c r="E10" s="40" t="n">
        <v>45400</v>
      </c>
      <c r="F10" s="40" t="n">
        <v>45490</v>
      </c>
      <c r="G10" s="40" t="n"/>
      <c r="H10" s="41">
        <f>IF(AND(E10&lt;&gt;"",F10&lt;&gt;""), F10-E10, IF(G10&lt;&gt;"", G10, 0))</f>
        <v/>
      </c>
      <c r="I10" s="42">
        <f>H10*Settings!$B$5</f>
        <v/>
      </c>
      <c r="J10" s="40" t="n"/>
      <c r="K10" s="43">
        <f>IF(AND(A10&lt;&gt;"",C10&lt;&gt;"",D10&lt;&gt;"",H10&gt;0),"✓","⚠ missing")</f>
        <v/>
      </c>
      <c r="L10" s="44" t="n">
        <v>4</v>
      </c>
      <c r="M10" s="45" t="inlineStr">
        <is>
          <t>Y</t>
        </is>
      </c>
      <c r="N10" s="39" t="n">
        <v>46055</v>
      </c>
      <c r="O10" s="46" t="n"/>
    </row>
    <row r="11" ht="16" customHeight="1">
      <c r="A11" s="39" t="n">
        <v>46060</v>
      </c>
      <c r="B11" s="40" t="inlineStr">
        <is>
          <t>Lakehouse A</t>
        </is>
      </c>
      <c r="C11" s="40" t="inlineStr">
        <is>
          <t>Supplies + inspection</t>
        </is>
      </c>
      <c r="D11" s="40" t="inlineStr">
        <is>
          <t>Supplies run</t>
        </is>
      </c>
      <c r="E11" s="40" t="n">
        <v>45500</v>
      </c>
      <c r="F11" s="40" t="n">
        <v>45565</v>
      </c>
      <c r="G11" s="40" t="n"/>
      <c r="H11" s="41">
        <f>IF(AND(E11&lt;&gt;"",F11&lt;&gt;""), F11-E11, IF(G11&lt;&gt;"", G11, 0))</f>
        <v/>
      </c>
      <c r="I11" s="42">
        <f>H11*Settings!$B$5</f>
        <v/>
      </c>
      <c r="J11" s="40" t="n"/>
      <c r="K11" s="43">
        <f>IF(AND(A11&lt;&gt;"",C11&lt;&gt;"",D11&lt;&gt;"",H11&gt;0),"✓","⚠ missing")</f>
        <v/>
      </c>
      <c r="L11" s="44" t="n">
        <v>2.5</v>
      </c>
      <c r="M11" s="45" t="inlineStr">
        <is>
          <t>Y</t>
        </is>
      </c>
      <c r="N11" s="39" t="n">
        <v>46061</v>
      </c>
      <c r="O11" s="46" t="n"/>
    </row>
    <row r="12" ht="16" customHeight="1">
      <c r="A12" s="39" t="n">
        <v>46063</v>
      </c>
      <c r="B12" s="40" t="inlineStr">
        <is>
          <t>Smokies Ridge</t>
        </is>
      </c>
      <c r="C12" s="40" t="inlineStr">
        <is>
          <t>Burst pipe emergency</t>
        </is>
      </c>
      <c r="D12" s="40" t="inlineStr">
        <is>
          <t>Emergency response</t>
        </is>
      </c>
      <c r="E12" s="40" t="n">
        <v>45600</v>
      </c>
      <c r="F12" s="40" t="n">
        <v>45648</v>
      </c>
      <c r="G12" s="40" t="n"/>
      <c r="H12" s="41">
        <f>IF(AND(E12&lt;&gt;"",F12&lt;&gt;""), F12-E12, IF(G12&lt;&gt;"", G12, 0))</f>
        <v/>
      </c>
      <c r="I12" s="42">
        <f>H12*Settings!$B$5</f>
        <v/>
      </c>
      <c r="J12" s="40" t="inlineStr">
        <is>
          <t>Plumber met me</t>
        </is>
      </c>
      <c r="K12" s="43">
        <f>IF(AND(A12&lt;&gt;"",C12&lt;&gt;"",D12&lt;&gt;"",H12&gt;0),"✓","⚠ missing")</f>
        <v/>
      </c>
      <c r="L12" s="44" t="n">
        <v>3.5</v>
      </c>
      <c r="M12" s="45" t="inlineStr">
        <is>
          <t>Y</t>
        </is>
      </c>
      <c r="N12" s="39" t="n">
        <v>46063</v>
      </c>
      <c r="O12" s="46" t="n"/>
    </row>
    <row r="13" ht="16" customHeight="1">
      <c r="A13" s="39" t="n">
        <v>46067</v>
      </c>
      <c r="B13" s="40" t="inlineStr">
        <is>
          <t>Creek Side</t>
        </is>
      </c>
      <c r="C13" s="40" t="inlineStr">
        <is>
          <t>Hot tub service</t>
        </is>
      </c>
      <c r="D13" s="40" t="inlineStr">
        <is>
          <t>Contractor walkthrough</t>
        </is>
      </c>
      <c r="E13" s="40" t="n">
        <v>45700</v>
      </c>
      <c r="F13" s="40" t="n">
        <v>45790</v>
      </c>
      <c r="G13" s="40" t="n"/>
      <c r="H13" s="41">
        <f>IF(AND(E13&lt;&gt;"",F13&lt;&gt;""), F13-E13, IF(G13&lt;&gt;"", G13, 0))</f>
        <v/>
      </c>
      <c r="I13" s="42">
        <f>H13*Settings!$B$5</f>
        <v/>
      </c>
      <c r="J13" s="40" t="n"/>
      <c r="K13" s="43">
        <f>IF(AND(A13&lt;&gt;"",C13&lt;&gt;"",D13&lt;&gt;"",H13&gt;0),"✓","⚠ missing")</f>
        <v/>
      </c>
      <c r="L13" s="44" t="n">
        <v>2</v>
      </c>
      <c r="M13" s="45" t="n"/>
      <c r="N13" s="39" t="n">
        <v>46068</v>
      </c>
      <c r="O13" s="46" t="n"/>
    </row>
    <row r="14" ht="16" customHeight="1">
      <c r="A14" s="39" t="n">
        <v>46071</v>
      </c>
      <c r="B14" s="40" t="inlineStr">
        <is>
          <t>Lakehouse A</t>
        </is>
      </c>
      <c r="C14" s="40" t="inlineStr">
        <is>
          <t>Quarterly inspection</t>
        </is>
      </c>
      <c r="D14" s="40" t="inlineStr">
        <is>
          <t>Property inspection</t>
        </is>
      </c>
      <c r="E14" s="40" t="n">
        <v>45800</v>
      </c>
      <c r="F14" s="40" t="n">
        <v>45867</v>
      </c>
      <c r="G14" s="40" t="n"/>
      <c r="H14" s="41">
        <f>IF(AND(E14&lt;&gt;"",F14&lt;&gt;""), F14-E14, IF(G14&lt;&gt;"", G14, 0))</f>
        <v/>
      </c>
      <c r="I14" s="42">
        <f>H14*Settings!$B$5</f>
        <v/>
      </c>
      <c r="J14" s="40" t="n"/>
      <c r="K14" s="43">
        <f>IF(AND(A14&lt;&gt;"",C14&lt;&gt;"",D14&lt;&gt;"",H14&gt;0),"✓","⚠ missing")</f>
        <v/>
      </c>
      <c r="L14" s="44" t="n">
        <v>2.5</v>
      </c>
      <c r="M14" s="45" t="n"/>
      <c r="N14" s="39" t="n">
        <v>46072</v>
      </c>
      <c r="O14" s="46" t="n"/>
    </row>
    <row r="15" ht="16" customHeight="1">
      <c r="A15" s="39" t="n">
        <v>46075</v>
      </c>
      <c r="B15" s="40" t="inlineStr">
        <is>
          <t>Smokies Ridge</t>
        </is>
      </c>
      <c r="C15" s="40" t="inlineStr">
        <is>
          <t>Guest pickup airport</t>
        </is>
      </c>
      <c r="D15" s="40" t="inlineStr">
        <is>
          <t>Guest transport</t>
        </is>
      </c>
      <c r="E15" s="40" t="n">
        <v>45900</v>
      </c>
      <c r="F15" s="40" t="n">
        <v>45992</v>
      </c>
      <c r="G15" s="40" t="n"/>
      <c r="H15" s="41">
        <f>IF(AND(E15&lt;&gt;"",F15&lt;&gt;""), F15-E15, IF(G15&lt;&gt;"", G15, 0))</f>
        <v/>
      </c>
      <c r="I15" s="42">
        <f>H15*Settings!$B$5</f>
        <v/>
      </c>
      <c r="J15" s="40" t="n"/>
      <c r="K15" s="43">
        <f>IF(AND(A15&lt;&gt;"",C15&lt;&gt;"",D15&lt;&gt;"",H15&gt;0),"✓","⚠ missing")</f>
        <v/>
      </c>
      <c r="L15" s="44" t="n">
        <v>3</v>
      </c>
      <c r="M15" s="45" t="n"/>
      <c r="N15" s="39" t="n">
        <v>46075</v>
      </c>
      <c r="O15" s="46" t="n">
        <v>18</v>
      </c>
    </row>
    <row r="16" ht="16" customHeight="1">
      <c r="A16" s="39" t="n">
        <v>46081</v>
      </c>
      <c r="B16" s="40" t="inlineStr">
        <is>
          <t>Creek Side</t>
        </is>
      </c>
      <c r="C16" s="40" t="inlineStr">
        <is>
          <t>Cleaner check-in</t>
        </is>
      </c>
      <c r="D16" s="40" t="inlineStr">
        <is>
          <t>Meeting cleaner / staff</t>
        </is>
      </c>
      <c r="E16" s="40" t="n">
        <v>46050</v>
      </c>
      <c r="F16" s="40" t="n">
        <v>46095</v>
      </c>
      <c r="G16" s="40" t="n"/>
      <c r="H16" s="41">
        <f>IF(AND(E16&lt;&gt;"",F16&lt;&gt;""), F16-E16, IF(G16&lt;&gt;"", G16, 0))</f>
        <v/>
      </c>
      <c r="I16" s="42">
        <f>H16*Settings!$B$5</f>
        <v/>
      </c>
      <c r="J16" s="40" t="n"/>
      <c r="K16" s="43">
        <f>IF(AND(A16&lt;&gt;"",C16&lt;&gt;"",D16&lt;&gt;"",H16&gt;0),"✓","⚠ missing")</f>
        <v/>
      </c>
      <c r="L16" s="44" t="n">
        <v>1.5</v>
      </c>
      <c r="M16" s="45" t="n"/>
      <c r="N16" s="39" t="n">
        <v>46082</v>
      </c>
      <c r="O16" s="46" t="n"/>
    </row>
    <row r="17" ht="16" customHeight="1">
      <c r="A17" s="39" t="n">
        <v>46086</v>
      </c>
      <c r="B17" s="40" t="inlineStr">
        <is>
          <t>Lakehouse A</t>
        </is>
      </c>
      <c r="C17" s="40" t="inlineStr">
        <is>
          <t>Lowe's run</t>
        </is>
      </c>
      <c r="D17" s="40" t="inlineStr">
        <is>
          <t>Supplies run</t>
        </is>
      </c>
      <c r="E17" s="40" t="n">
        <v>46150</v>
      </c>
      <c r="F17" s="40" t="n">
        <v>46178</v>
      </c>
      <c r="G17" s="40" t="n"/>
      <c r="H17" s="41">
        <f>IF(AND(E17&lt;&gt;"",F17&lt;&gt;""), F17-E17, IF(G17&lt;&gt;"", G17, 0))</f>
        <v/>
      </c>
      <c r="I17" s="42">
        <f>H17*Settings!$B$5</f>
        <v/>
      </c>
      <c r="J17" s="40" t="inlineStr">
        <is>
          <t>Bought new kettle</t>
        </is>
      </c>
      <c r="K17" s="43">
        <f>IF(AND(A17&lt;&gt;"",C17&lt;&gt;"",D17&lt;&gt;"",H17&gt;0),"✓","⚠ missing")</f>
        <v/>
      </c>
      <c r="L17" s="44" t="n">
        <v>1</v>
      </c>
      <c r="M17" s="45" t="inlineStr">
        <is>
          <t>Y</t>
        </is>
      </c>
      <c r="N17" s="39" t="n">
        <v>46086</v>
      </c>
      <c r="O17" s="46" t="n"/>
    </row>
    <row r="18" ht="16" customHeight="1">
      <c r="A18" s="39" t="n">
        <v>46091</v>
      </c>
      <c r="B18" s="40" t="inlineStr">
        <is>
          <t>Smokies Ridge</t>
        </is>
      </c>
      <c r="C18" s="40" t="inlineStr">
        <is>
          <t>Turnover issue callback</t>
        </is>
      </c>
      <c r="D18" s="40" t="inlineStr">
        <is>
          <t>Turnover (laundry/clean)</t>
        </is>
      </c>
      <c r="E18" s="40" t="n">
        <v>46200</v>
      </c>
      <c r="F18" s="40" t="n">
        <v>46245</v>
      </c>
      <c r="G18" s="40" t="n"/>
      <c r="H18" s="41">
        <f>IF(AND(E18&lt;&gt;"",F18&lt;&gt;""), F18-E18, IF(G18&lt;&gt;"", G18, 0))</f>
        <v/>
      </c>
      <c r="I18" s="42">
        <f>H18*Settings!$B$5</f>
        <v/>
      </c>
      <c r="J18" s="40" t="inlineStr">
        <is>
          <t>Guest complaint follow-up</t>
        </is>
      </c>
      <c r="K18" s="43">
        <f>IF(AND(A18&lt;&gt;"",C18&lt;&gt;"",D18&lt;&gt;"",H18&gt;0),"✓","⚠ missing")</f>
        <v/>
      </c>
      <c r="L18" s="44" t="n">
        <v>2</v>
      </c>
      <c r="M18" s="45" t="n"/>
      <c r="N18" s="39" t="n">
        <v>46092</v>
      </c>
      <c r="O18" s="46" t="n"/>
    </row>
    <row r="19" ht="16" customHeight="1">
      <c r="A19" s="39" t="n">
        <v>46095</v>
      </c>
      <c r="B19" s="40" t="inlineStr">
        <is>
          <t>Creek Side</t>
        </is>
      </c>
      <c r="C19" s="40" t="inlineStr">
        <is>
          <t>Handyman meeting</t>
        </is>
      </c>
      <c r="D19" s="40" t="inlineStr">
        <is>
          <t>Contractor walkthrough</t>
        </is>
      </c>
      <c r="E19" s="40" t="n">
        <v>46300</v>
      </c>
      <c r="F19" s="40" t="n">
        <v>46349</v>
      </c>
      <c r="G19" s="40" t="n"/>
      <c r="H19" s="41">
        <f>IF(AND(E19&lt;&gt;"",F19&lt;&gt;""), F19-E19, IF(G19&lt;&gt;"", G19, 0))</f>
        <v/>
      </c>
      <c r="I19" s="42">
        <f>H19*Settings!$B$5</f>
        <v/>
      </c>
      <c r="J19" s="40" t="n"/>
      <c r="K19" s="43">
        <f>IF(AND(A19&lt;&gt;"",C19&lt;&gt;"",D19&lt;&gt;"",H19&gt;0),"✓","⚠ missing")</f>
        <v/>
      </c>
      <c r="L19" s="44" t="n">
        <v>1.5</v>
      </c>
      <c r="M19" s="45" t="n"/>
      <c r="N19" s="39" t="n">
        <v>46096</v>
      </c>
      <c r="O19" s="46" t="n"/>
    </row>
    <row r="20" ht="16" customHeight="1">
      <c r="A20" s="39" t="n">
        <v>46099</v>
      </c>
      <c r="B20" s="40" t="inlineStr">
        <is>
          <t>Smokies Ridge</t>
        </is>
      </c>
      <c r="C20" s="40" t="inlineStr">
        <is>
          <t>Bank deposit run</t>
        </is>
      </c>
      <c r="D20" s="40" t="inlineStr">
        <is>
          <t>Bank / deposit</t>
        </is>
      </c>
      <c r="E20" s="40" t="n">
        <v>46400</v>
      </c>
      <c r="F20" s="40" t="n">
        <v>46420</v>
      </c>
      <c r="G20" s="40" t="n"/>
      <c r="H20" s="41">
        <f>IF(AND(E20&lt;&gt;"",F20&lt;&gt;""), F20-E20, IF(G20&lt;&gt;"", G20, 0))</f>
        <v/>
      </c>
      <c r="I20" s="42">
        <f>H20*Settings!$B$5</f>
        <v/>
      </c>
      <c r="J20" s="40" t="inlineStr">
        <is>
          <t>Q1 guest deposits</t>
        </is>
      </c>
      <c r="K20" s="43">
        <f>IF(AND(A20&lt;&gt;"",C20&lt;&gt;"",D20&lt;&gt;"",H20&gt;0),"✓","⚠ missing")</f>
        <v/>
      </c>
      <c r="L20" s="44" t="n">
        <v>0.75</v>
      </c>
      <c r="M20" s="45" t="inlineStr">
        <is>
          <t>Y</t>
        </is>
      </c>
      <c r="N20" s="39" t="n">
        <v>46099</v>
      </c>
      <c r="O20" s="46" t="n"/>
    </row>
    <row r="21" ht="16" customHeight="1">
      <c r="A21" s="39" t="n">
        <v>46103</v>
      </c>
      <c r="B21" s="40" t="inlineStr">
        <is>
          <t>Lakehouse A</t>
        </is>
      </c>
      <c r="C21" s="40" t="inlineStr">
        <is>
          <t>Guest transport — late flight</t>
        </is>
      </c>
      <c r="D21" s="40" t="inlineStr">
        <is>
          <t>Guest transport</t>
        </is>
      </c>
      <c r="E21" s="40" t="n">
        <v>46500</v>
      </c>
      <c r="F21" s="40" t="n">
        <v>46587</v>
      </c>
      <c r="G21" s="40" t="n"/>
      <c r="H21" s="41">
        <f>IF(AND(E21&lt;&gt;"",F21&lt;&gt;""), F21-E21, IF(G21&lt;&gt;"", G21, 0))</f>
        <v/>
      </c>
      <c r="I21" s="42">
        <f>H21*Settings!$B$5</f>
        <v/>
      </c>
      <c r="J21" s="40" t="n"/>
      <c r="K21" s="43">
        <f>IF(AND(A21&lt;&gt;"",C21&lt;&gt;"",D21&lt;&gt;"",H21&gt;0),"✓","⚠ missing")</f>
        <v/>
      </c>
      <c r="L21" s="44" t="n">
        <v>3.5</v>
      </c>
      <c r="M21" s="45" t="n"/>
      <c r="N21" s="39" t="n">
        <v>46103</v>
      </c>
      <c r="O21" s="46" t="n">
        <v>22</v>
      </c>
    </row>
    <row r="22" ht="16" customHeight="1">
      <c r="A22" s="39" t="n">
        <v>46106</v>
      </c>
      <c r="B22" s="40" t="inlineStr">
        <is>
          <t>Creek Side</t>
        </is>
      </c>
      <c r="C22" s="40" t="inlineStr">
        <is>
          <t>Supplies — Costco</t>
        </is>
      </c>
      <c r="D22" s="40" t="inlineStr">
        <is>
          <t>Supplies run</t>
        </is>
      </c>
      <c r="E22" s="40" t="n">
        <v>46650</v>
      </c>
      <c r="F22" s="40" t="n">
        <v>46695</v>
      </c>
      <c r="G22" s="40" t="n"/>
      <c r="H22" s="41">
        <f>IF(AND(E22&lt;&gt;"",F22&lt;&gt;""), F22-E22, IF(G22&lt;&gt;"", G22, 0))</f>
        <v/>
      </c>
      <c r="I22" s="42">
        <f>H22*Settings!$B$5</f>
        <v/>
      </c>
      <c r="J22" s="40" t="n"/>
      <c r="K22" s="43">
        <f>IF(AND(A22&lt;&gt;"",C22&lt;&gt;"",D22&lt;&gt;"",H22&gt;0),"✓","⚠ missing")</f>
        <v/>
      </c>
      <c r="L22" s="44" t="n">
        <v>1.5</v>
      </c>
      <c r="M22" s="45" t="inlineStr">
        <is>
          <t>Y</t>
        </is>
      </c>
      <c r="N22" s="39" t="n">
        <v>46107</v>
      </c>
      <c r="O22" s="46" t="n"/>
    </row>
    <row r="23" ht="16" customHeight="1">
      <c r="A23" s="39" t="n">
        <v>46109</v>
      </c>
      <c r="B23" s="40" t="inlineStr">
        <is>
          <t>Smokies Ridge</t>
        </is>
      </c>
      <c r="C23" s="40" t="inlineStr">
        <is>
          <t>Mailing key set to next guest</t>
        </is>
      </c>
      <c r="D23" s="40" t="inlineStr">
        <is>
          <t>Mailing / post office</t>
        </is>
      </c>
      <c r="E23" s="40" t="n">
        <v>46800</v>
      </c>
      <c r="F23" s="40" t="n">
        <v>46815</v>
      </c>
      <c r="G23" s="40" t="n"/>
      <c r="H23" s="41">
        <f>IF(AND(E23&lt;&gt;"",F23&lt;&gt;""), F23-E23, IF(G23&lt;&gt;"", G23, 0))</f>
        <v/>
      </c>
      <c r="I23" s="42">
        <f>H23*Settings!$B$5</f>
        <v/>
      </c>
      <c r="J23" s="40" t="inlineStr">
        <is>
          <t>Lockbox malfunction backup</t>
        </is>
      </c>
      <c r="K23" s="43">
        <f>IF(AND(A23&lt;&gt;"",C23&lt;&gt;"",D23&lt;&gt;"",H23&gt;0),"✓","⚠ missing")</f>
        <v/>
      </c>
      <c r="L23" s="44" t="n">
        <v>0.5</v>
      </c>
      <c r="M23" s="45" t="inlineStr">
        <is>
          <t>Y</t>
        </is>
      </c>
      <c r="N23" s="39" t="n">
        <v>46109</v>
      </c>
      <c r="O23" s="46" t="n"/>
    </row>
    <row r="24" ht="16" customHeight="1">
      <c r="A24" s="39" t="n">
        <v>46111</v>
      </c>
      <c r="B24" s="40" t="inlineStr">
        <is>
          <t>Lakehouse A</t>
        </is>
      </c>
      <c r="C24" s="40" t="inlineStr">
        <is>
          <t>CPA tax-prep meeting</t>
        </is>
      </c>
      <c r="D24" s="40" t="inlineStr">
        <is>
          <t>CPA / attorney meeting</t>
        </is>
      </c>
      <c r="E24" s="40" t="n">
        <v>46900</v>
      </c>
      <c r="F24" s="40" t="n">
        <v>46928</v>
      </c>
      <c r="G24" s="40" t="n"/>
      <c r="H24" s="41">
        <f>IF(AND(E24&lt;&gt;"",F24&lt;&gt;""), F24-E24, IF(G24&lt;&gt;"", G24, 0))</f>
        <v/>
      </c>
      <c r="I24" s="42">
        <f>H24*Settings!$B$5</f>
        <v/>
      </c>
      <c r="J24" s="40" t="inlineStr">
        <is>
          <t>Q1 review (Re: Smith CPA)</t>
        </is>
      </c>
      <c r="K24" s="43">
        <f>IF(AND(A24&lt;&gt;"",C24&lt;&gt;"",D24&lt;&gt;"",H24&gt;0),"✓","⚠ missing")</f>
        <v/>
      </c>
      <c r="L24" s="44" t="n">
        <v>1.5</v>
      </c>
      <c r="M24" s="45" t="inlineStr">
        <is>
          <t>Y</t>
        </is>
      </c>
      <c r="N24" s="39" t="n">
        <v>46112</v>
      </c>
      <c r="O24" s="46" t="n"/>
    </row>
    <row r="25" ht="16" customHeight="1">
      <c r="A25" s="39" t="n">
        <v>46112</v>
      </c>
      <c r="B25" s="40" t="inlineStr">
        <is>
          <t>Smokies Ridge</t>
        </is>
      </c>
      <c r="C25" s="40" t="inlineStr">
        <is>
          <t>Month-end inspection</t>
        </is>
      </c>
      <c r="D25" s="40" t="inlineStr">
        <is>
          <t>Property inspection</t>
        </is>
      </c>
      <c r="E25" s="40" t="n">
        <v>46950</v>
      </c>
      <c r="F25" s="40" t="n">
        <v>46995</v>
      </c>
      <c r="G25" s="40" t="n"/>
      <c r="H25" s="41">
        <f>IF(AND(E25&lt;&gt;"",F25&lt;&gt;""), F25-E25, IF(G25&lt;&gt;"", G25, 0))</f>
        <v/>
      </c>
      <c r="I25" s="42">
        <f>H25*Settings!$B$5</f>
        <v/>
      </c>
      <c r="J25" s="40" t="n"/>
      <c r="K25" s="43">
        <f>IF(AND(A25&lt;&gt;"",C25&lt;&gt;"",D25&lt;&gt;"",H25&gt;0),"✓","⚠ missing")</f>
        <v/>
      </c>
      <c r="L25" s="44" t="n">
        <v>2</v>
      </c>
      <c r="M25" s="45" t="n"/>
      <c r="N25" s="39" t="n">
        <v>46113</v>
      </c>
      <c r="O25" s="46" t="n"/>
    </row>
    <row r="26">
      <c r="H26" s="47">
        <f>IF(AND(E26&lt;&gt;"",F26&lt;&gt;""), F26-E26, IF(G26&lt;&gt;"", G26, 0))</f>
        <v/>
      </c>
      <c r="I26" s="48">
        <f>H26*Settings!$B$5</f>
        <v/>
      </c>
      <c r="K26">
        <f>IF(AND(A26&lt;&gt;"",C26&lt;&gt;"",D26&lt;&gt;"",H26&gt;0),"✓","⚠ missing")</f>
        <v/>
      </c>
      <c r="L26" s="44" t="n"/>
      <c r="M26" s="45" t="n"/>
      <c r="N26" s="39" t="n"/>
      <c r="O26" s="46" t="n"/>
    </row>
    <row r="27">
      <c r="H27" s="47">
        <f>IF(AND(E27&lt;&gt;"",F27&lt;&gt;""), F27-E27, IF(G27&lt;&gt;"", G27, 0))</f>
        <v/>
      </c>
      <c r="I27" s="48">
        <f>H27*Settings!$B$5</f>
        <v/>
      </c>
      <c r="K27">
        <f>IF(AND(A27&lt;&gt;"",C27&lt;&gt;"",D27&lt;&gt;"",H27&gt;0),"✓","⚠ missing")</f>
        <v/>
      </c>
      <c r="L27" s="44" t="n"/>
      <c r="M27" s="45" t="n"/>
      <c r="N27" s="39" t="n"/>
      <c r="O27" s="46" t="n"/>
    </row>
    <row r="28">
      <c r="H28" s="47">
        <f>IF(AND(E28&lt;&gt;"",F28&lt;&gt;""), F28-E28, IF(G28&lt;&gt;"", G28, 0))</f>
        <v/>
      </c>
      <c r="I28" s="48">
        <f>H28*Settings!$B$5</f>
        <v/>
      </c>
      <c r="K28">
        <f>IF(AND(A28&lt;&gt;"",C28&lt;&gt;"",D28&lt;&gt;"",H28&gt;0),"✓","⚠ missing")</f>
        <v/>
      </c>
      <c r="L28" s="44" t="n"/>
      <c r="M28" s="45" t="n"/>
      <c r="N28" s="39" t="n"/>
      <c r="O28" s="46" t="n"/>
    </row>
    <row r="29">
      <c r="H29" s="47">
        <f>IF(AND(E29&lt;&gt;"",F29&lt;&gt;""), F29-E29, IF(G29&lt;&gt;"", G29, 0))</f>
        <v/>
      </c>
      <c r="I29" s="48">
        <f>H29*Settings!$B$5</f>
        <v/>
      </c>
      <c r="K29">
        <f>IF(AND(A29&lt;&gt;"",C29&lt;&gt;"",D29&lt;&gt;"",H29&gt;0),"✓","⚠ missing")</f>
        <v/>
      </c>
      <c r="L29" s="44" t="n"/>
      <c r="M29" s="45" t="n"/>
      <c r="N29" s="39" t="n"/>
      <c r="O29" s="46" t="n"/>
    </row>
    <row r="30">
      <c r="H30" s="47">
        <f>IF(AND(E30&lt;&gt;"",F30&lt;&gt;""), F30-E30, IF(G30&lt;&gt;"", G30, 0))</f>
        <v/>
      </c>
      <c r="I30" s="48">
        <f>H30*Settings!$B$5</f>
        <v/>
      </c>
      <c r="K30">
        <f>IF(AND(A30&lt;&gt;"",C30&lt;&gt;"",D30&lt;&gt;"",H30&gt;0),"✓","⚠ missing")</f>
        <v/>
      </c>
      <c r="L30" s="44" t="n"/>
      <c r="M30" s="45" t="n"/>
      <c r="N30" s="39" t="n"/>
      <c r="O30" s="46" t="n"/>
    </row>
    <row r="31">
      <c r="H31" s="47">
        <f>IF(AND(E31&lt;&gt;"",F31&lt;&gt;""), F31-E31, IF(G31&lt;&gt;"", G31, 0))</f>
        <v/>
      </c>
      <c r="I31" s="48">
        <f>H31*Settings!$B$5</f>
        <v/>
      </c>
      <c r="K31">
        <f>IF(AND(A31&lt;&gt;"",C31&lt;&gt;"",D31&lt;&gt;"",H31&gt;0),"✓","⚠ missing")</f>
        <v/>
      </c>
      <c r="L31" s="44" t="n"/>
      <c r="M31" s="45" t="n"/>
      <c r="N31" s="39" t="n"/>
      <c r="O31" s="46" t="n"/>
    </row>
    <row r="32">
      <c r="H32" s="47">
        <f>IF(AND(E32&lt;&gt;"",F32&lt;&gt;""), F32-E32, IF(G32&lt;&gt;"", G32, 0))</f>
        <v/>
      </c>
      <c r="I32" s="48">
        <f>H32*Settings!$B$5</f>
        <v/>
      </c>
      <c r="K32">
        <f>IF(AND(A32&lt;&gt;"",C32&lt;&gt;"",D32&lt;&gt;"",H32&gt;0),"✓","⚠ missing")</f>
        <v/>
      </c>
      <c r="L32" s="44" t="n"/>
      <c r="M32" s="45" t="n"/>
      <c r="N32" s="39" t="n"/>
      <c r="O32" s="46" t="n"/>
    </row>
    <row r="33">
      <c r="H33" s="47">
        <f>IF(AND(E33&lt;&gt;"",F33&lt;&gt;""), F33-E33, IF(G33&lt;&gt;"", G33, 0))</f>
        <v/>
      </c>
      <c r="I33" s="48">
        <f>H33*Settings!$B$5</f>
        <v/>
      </c>
      <c r="K33">
        <f>IF(AND(A33&lt;&gt;"",C33&lt;&gt;"",D33&lt;&gt;"",H33&gt;0),"✓","⚠ missing")</f>
        <v/>
      </c>
      <c r="L33" s="44" t="n"/>
      <c r="M33" s="45" t="n"/>
      <c r="N33" s="39" t="n"/>
      <c r="O33" s="46" t="n"/>
    </row>
    <row r="34">
      <c r="H34" s="47">
        <f>IF(AND(E34&lt;&gt;"",F34&lt;&gt;""), F34-E34, IF(G34&lt;&gt;"", G34, 0))</f>
        <v/>
      </c>
      <c r="I34" s="48">
        <f>H34*Settings!$B$5</f>
        <v/>
      </c>
      <c r="K34">
        <f>IF(AND(A34&lt;&gt;"",C34&lt;&gt;"",D34&lt;&gt;"",H34&gt;0),"✓","⚠ missing")</f>
        <v/>
      </c>
      <c r="L34" s="44" t="n"/>
      <c r="M34" s="45" t="n"/>
      <c r="N34" s="39" t="n"/>
      <c r="O34" s="46" t="n"/>
    </row>
    <row r="35">
      <c r="H35" s="47">
        <f>IF(AND(E35&lt;&gt;"",F35&lt;&gt;""), F35-E35, IF(G35&lt;&gt;"", G35, 0))</f>
        <v/>
      </c>
      <c r="I35" s="48">
        <f>H35*Settings!$B$5</f>
        <v/>
      </c>
      <c r="K35">
        <f>IF(AND(A35&lt;&gt;"",C35&lt;&gt;"",D35&lt;&gt;"",H35&gt;0),"✓","⚠ missing")</f>
        <v/>
      </c>
      <c r="L35" s="44" t="n"/>
      <c r="M35" s="45" t="n"/>
      <c r="N35" s="39" t="n"/>
      <c r="O35" s="46" t="n"/>
    </row>
    <row r="36">
      <c r="H36" s="47">
        <f>IF(AND(E36&lt;&gt;"",F36&lt;&gt;""), F36-E36, IF(G36&lt;&gt;"", G36, 0))</f>
        <v/>
      </c>
      <c r="I36" s="48">
        <f>H36*Settings!$B$5</f>
        <v/>
      </c>
      <c r="K36">
        <f>IF(AND(A36&lt;&gt;"",C36&lt;&gt;"",D36&lt;&gt;"",H36&gt;0),"✓","⚠ missing")</f>
        <v/>
      </c>
      <c r="L36" s="44" t="n"/>
      <c r="M36" s="45" t="n"/>
      <c r="N36" s="39" t="n"/>
      <c r="O36" s="46" t="n"/>
    </row>
    <row r="37">
      <c r="H37" s="47">
        <f>IF(AND(E37&lt;&gt;"",F37&lt;&gt;""), F37-E37, IF(G37&lt;&gt;"", G37, 0))</f>
        <v/>
      </c>
      <c r="I37" s="48">
        <f>H37*Settings!$B$5</f>
        <v/>
      </c>
      <c r="K37">
        <f>IF(AND(A37&lt;&gt;"",C37&lt;&gt;"",D37&lt;&gt;"",H37&gt;0),"✓","⚠ missing")</f>
        <v/>
      </c>
      <c r="L37" s="44" t="n"/>
      <c r="M37" s="45" t="n"/>
      <c r="N37" s="39" t="n"/>
      <c r="O37" s="46" t="n"/>
    </row>
    <row r="38">
      <c r="H38" s="47">
        <f>IF(AND(E38&lt;&gt;"",F38&lt;&gt;""), F38-E38, IF(G38&lt;&gt;"", G38, 0))</f>
        <v/>
      </c>
      <c r="I38" s="48">
        <f>H38*Settings!$B$5</f>
        <v/>
      </c>
      <c r="K38">
        <f>IF(AND(A38&lt;&gt;"",C38&lt;&gt;"",D38&lt;&gt;"",H38&gt;0),"✓","⚠ missing")</f>
        <v/>
      </c>
      <c r="L38" s="44" t="n"/>
      <c r="M38" s="45" t="n"/>
      <c r="N38" s="39" t="n"/>
      <c r="O38" s="46" t="n"/>
    </row>
    <row r="39">
      <c r="H39" s="47">
        <f>IF(AND(E39&lt;&gt;"",F39&lt;&gt;""), F39-E39, IF(G39&lt;&gt;"", G39, 0))</f>
        <v/>
      </c>
      <c r="I39" s="48">
        <f>H39*Settings!$B$5</f>
        <v/>
      </c>
      <c r="K39">
        <f>IF(AND(A39&lt;&gt;"",C39&lt;&gt;"",D39&lt;&gt;"",H39&gt;0),"✓","⚠ missing")</f>
        <v/>
      </c>
      <c r="L39" s="44" t="n"/>
      <c r="M39" s="45" t="n"/>
      <c r="N39" s="39" t="n"/>
      <c r="O39" s="46" t="n"/>
    </row>
    <row r="40">
      <c r="H40" s="47">
        <f>IF(AND(E40&lt;&gt;"",F40&lt;&gt;""), F40-E40, IF(G40&lt;&gt;"", G40, 0))</f>
        <v/>
      </c>
      <c r="I40" s="48">
        <f>H40*Settings!$B$5</f>
        <v/>
      </c>
      <c r="K40">
        <f>IF(AND(A40&lt;&gt;"",C40&lt;&gt;"",D40&lt;&gt;"",H40&gt;0),"✓","⚠ missing")</f>
        <v/>
      </c>
      <c r="L40" s="44" t="n"/>
      <c r="M40" s="45" t="n"/>
      <c r="N40" s="39" t="n"/>
      <c r="O40" s="46" t="n"/>
    </row>
    <row r="41">
      <c r="H41" s="47">
        <f>IF(AND(E41&lt;&gt;"",F41&lt;&gt;""), F41-E41, IF(G41&lt;&gt;"", G41, 0))</f>
        <v/>
      </c>
      <c r="I41" s="48">
        <f>H41*Settings!$B$5</f>
        <v/>
      </c>
      <c r="K41">
        <f>IF(AND(A41&lt;&gt;"",C41&lt;&gt;"",D41&lt;&gt;"",H41&gt;0),"✓","⚠ missing")</f>
        <v/>
      </c>
      <c r="L41" s="44" t="n"/>
      <c r="M41" s="45" t="n"/>
      <c r="N41" s="39" t="n"/>
      <c r="O41" s="46" t="n"/>
    </row>
    <row r="42">
      <c r="H42" s="47">
        <f>IF(AND(E42&lt;&gt;"",F42&lt;&gt;""), F42-E42, IF(G42&lt;&gt;"", G42, 0))</f>
        <v/>
      </c>
      <c r="I42" s="48">
        <f>H42*Settings!$B$5</f>
        <v/>
      </c>
      <c r="K42">
        <f>IF(AND(A42&lt;&gt;"",C42&lt;&gt;"",D42&lt;&gt;"",H42&gt;0),"✓","⚠ missing")</f>
        <v/>
      </c>
      <c r="L42" s="44" t="n"/>
      <c r="M42" s="45" t="n"/>
      <c r="N42" s="39" t="n"/>
      <c r="O42" s="46" t="n"/>
    </row>
    <row r="43">
      <c r="H43" s="47">
        <f>IF(AND(E43&lt;&gt;"",F43&lt;&gt;""), F43-E43, IF(G43&lt;&gt;"", G43, 0))</f>
        <v/>
      </c>
      <c r="I43" s="48">
        <f>H43*Settings!$B$5</f>
        <v/>
      </c>
      <c r="K43">
        <f>IF(AND(A43&lt;&gt;"",C43&lt;&gt;"",D43&lt;&gt;"",H43&gt;0),"✓","⚠ missing")</f>
        <v/>
      </c>
      <c r="L43" s="44" t="n"/>
      <c r="M43" s="45" t="n"/>
      <c r="N43" s="39" t="n"/>
      <c r="O43" s="46" t="n"/>
    </row>
    <row r="44">
      <c r="H44" s="47">
        <f>IF(AND(E44&lt;&gt;"",F44&lt;&gt;""), F44-E44, IF(G44&lt;&gt;"", G44, 0))</f>
        <v/>
      </c>
      <c r="I44" s="48">
        <f>H44*Settings!$B$5</f>
        <v/>
      </c>
      <c r="K44">
        <f>IF(AND(A44&lt;&gt;"",C44&lt;&gt;"",D44&lt;&gt;"",H44&gt;0),"✓","⚠ missing")</f>
        <v/>
      </c>
      <c r="L44" s="44" t="n"/>
      <c r="M44" s="45" t="n"/>
      <c r="N44" s="39" t="n"/>
      <c r="O44" s="46" t="n"/>
    </row>
    <row r="45">
      <c r="H45" s="47">
        <f>IF(AND(E45&lt;&gt;"",F45&lt;&gt;""), F45-E45, IF(G45&lt;&gt;"", G45, 0))</f>
        <v/>
      </c>
      <c r="I45" s="48">
        <f>H45*Settings!$B$5</f>
        <v/>
      </c>
      <c r="K45">
        <f>IF(AND(A45&lt;&gt;"",C45&lt;&gt;"",D45&lt;&gt;"",H45&gt;0),"✓","⚠ missing")</f>
        <v/>
      </c>
      <c r="L45" s="44" t="n"/>
      <c r="M45" s="45" t="n"/>
      <c r="N45" s="39" t="n"/>
      <c r="O45" s="46" t="n"/>
    </row>
    <row r="46">
      <c r="H46" s="47">
        <f>IF(AND(E46&lt;&gt;"",F46&lt;&gt;""), F46-E46, IF(G46&lt;&gt;"", G46, 0))</f>
        <v/>
      </c>
      <c r="I46" s="48">
        <f>H46*Settings!$B$5</f>
        <v/>
      </c>
      <c r="K46">
        <f>IF(AND(A46&lt;&gt;"",C46&lt;&gt;"",D46&lt;&gt;"",H46&gt;0),"✓","⚠ missing")</f>
        <v/>
      </c>
      <c r="L46" s="44" t="n"/>
      <c r="M46" s="45" t="n"/>
      <c r="N46" s="39" t="n"/>
      <c r="O46" s="46" t="n"/>
    </row>
    <row r="47">
      <c r="H47" s="47">
        <f>IF(AND(E47&lt;&gt;"",F47&lt;&gt;""), F47-E47, IF(G47&lt;&gt;"", G47, 0))</f>
        <v/>
      </c>
      <c r="I47" s="48">
        <f>H47*Settings!$B$5</f>
        <v/>
      </c>
      <c r="K47">
        <f>IF(AND(A47&lt;&gt;"",C47&lt;&gt;"",D47&lt;&gt;"",H47&gt;0),"✓","⚠ missing")</f>
        <v/>
      </c>
      <c r="L47" s="44" t="n"/>
      <c r="M47" s="45" t="n"/>
      <c r="N47" s="39" t="n"/>
      <c r="O47" s="46" t="n"/>
    </row>
    <row r="48">
      <c r="H48" s="47">
        <f>IF(AND(E48&lt;&gt;"",F48&lt;&gt;""), F48-E48, IF(G48&lt;&gt;"", G48, 0))</f>
        <v/>
      </c>
      <c r="I48" s="48">
        <f>H48*Settings!$B$5</f>
        <v/>
      </c>
      <c r="K48">
        <f>IF(AND(A48&lt;&gt;"",C48&lt;&gt;"",D48&lt;&gt;"",H48&gt;0),"✓","⚠ missing")</f>
        <v/>
      </c>
      <c r="L48" s="44" t="n"/>
      <c r="M48" s="45" t="n"/>
      <c r="N48" s="39" t="n"/>
      <c r="O48" s="46" t="n"/>
    </row>
    <row r="49">
      <c r="H49" s="47">
        <f>IF(AND(E49&lt;&gt;"",F49&lt;&gt;""), F49-E49, IF(G49&lt;&gt;"", G49, 0))</f>
        <v/>
      </c>
      <c r="I49" s="48">
        <f>H49*Settings!$B$5</f>
        <v/>
      </c>
      <c r="K49">
        <f>IF(AND(A49&lt;&gt;"",C49&lt;&gt;"",D49&lt;&gt;"",H49&gt;0),"✓","⚠ missing")</f>
        <v/>
      </c>
      <c r="L49" s="44" t="n"/>
      <c r="M49" s="45" t="n"/>
      <c r="N49" s="39" t="n"/>
      <c r="O49" s="46" t="n"/>
    </row>
    <row r="50">
      <c r="H50" s="47">
        <f>IF(AND(E50&lt;&gt;"",F50&lt;&gt;""), F50-E50, IF(G50&lt;&gt;"", G50, 0))</f>
        <v/>
      </c>
      <c r="I50" s="48">
        <f>H50*Settings!$B$5</f>
        <v/>
      </c>
      <c r="K50">
        <f>IF(AND(A50&lt;&gt;"",C50&lt;&gt;"",D50&lt;&gt;"",H50&gt;0),"✓","⚠ missing")</f>
        <v/>
      </c>
      <c r="L50" s="44" t="n"/>
      <c r="M50" s="45" t="n"/>
      <c r="N50" s="39" t="n"/>
      <c r="O50" s="46" t="n"/>
    </row>
    <row r="51">
      <c r="H51" s="47">
        <f>IF(AND(E51&lt;&gt;"",F51&lt;&gt;""), F51-E51, IF(G51&lt;&gt;"", G51, 0))</f>
        <v/>
      </c>
      <c r="I51" s="48">
        <f>H51*Settings!$B$5</f>
        <v/>
      </c>
      <c r="K51">
        <f>IF(AND(A51&lt;&gt;"",C51&lt;&gt;"",D51&lt;&gt;"",H51&gt;0),"✓","⚠ missing")</f>
        <v/>
      </c>
      <c r="L51" s="44" t="n"/>
      <c r="M51" s="45" t="n"/>
      <c r="N51" s="39" t="n"/>
      <c r="O51" s="46" t="n"/>
    </row>
    <row r="52">
      <c r="H52" s="47">
        <f>IF(AND(E52&lt;&gt;"",F52&lt;&gt;""), F52-E52, IF(G52&lt;&gt;"", G52, 0))</f>
        <v/>
      </c>
      <c r="I52" s="48">
        <f>H52*Settings!$B$5</f>
        <v/>
      </c>
      <c r="K52">
        <f>IF(AND(A52&lt;&gt;"",C52&lt;&gt;"",D52&lt;&gt;"",H52&gt;0),"✓","⚠ missing")</f>
        <v/>
      </c>
      <c r="L52" s="44" t="n"/>
      <c r="M52" s="45" t="n"/>
      <c r="N52" s="39" t="n"/>
      <c r="O52" s="46" t="n"/>
    </row>
    <row r="53">
      <c r="H53" s="47">
        <f>IF(AND(E53&lt;&gt;"",F53&lt;&gt;""), F53-E53, IF(G53&lt;&gt;"", G53, 0))</f>
        <v/>
      </c>
      <c r="I53" s="48">
        <f>H53*Settings!$B$5</f>
        <v/>
      </c>
      <c r="K53">
        <f>IF(AND(A53&lt;&gt;"",C53&lt;&gt;"",D53&lt;&gt;"",H53&gt;0),"✓","⚠ missing")</f>
        <v/>
      </c>
      <c r="L53" s="44" t="n"/>
      <c r="M53" s="45" t="n"/>
      <c r="N53" s="39" t="n"/>
      <c r="O53" s="46" t="n"/>
    </row>
    <row r="54">
      <c r="H54" s="47">
        <f>IF(AND(E54&lt;&gt;"",F54&lt;&gt;""), F54-E54, IF(G54&lt;&gt;"", G54, 0))</f>
        <v/>
      </c>
      <c r="I54" s="48">
        <f>H54*Settings!$B$5</f>
        <v/>
      </c>
      <c r="K54">
        <f>IF(AND(A54&lt;&gt;"",C54&lt;&gt;"",D54&lt;&gt;"",H54&gt;0),"✓","⚠ missing")</f>
        <v/>
      </c>
      <c r="L54" s="44" t="n"/>
      <c r="M54" s="45" t="n"/>
      <c r="N54" s="39" t="n"/>
      <c r="O54" s="46" t="n"/>
    </row>
    <row r="55">
      <c r="H55" s="47">
        <f>IF(AND(E55&lt;&gt;"",F55&lt;&gt;""), F55-E55, IF(G55&lt;&gt;"", G55, 0))</f>
        <v/>
      </c>
      <c r="I55" s="48">
        <f>H55*Settings!$B$5</f>
        <v/>
      </c>
      <c r="K55">
        <f>IF(AND(A55&lt;&gt;"",C55&lt;&gt;"",D55&lt;&gt;"",H55&gt;0),"✓","⚠ missing")</f>
        <v/>
      </c>
      <c r="L55" s="44" t="n"/>
      <c r="M55" s="45" t="n"/>
      <c r="N55" s="39" t="n"/>
      <c r="O55" s="46" t="n"/>
    </row>
    <row r="56">
      <c r="H56" s="47">
        <f>IF(AND(E56&lt;&gt;"",F56&lt;&gt;""), F56-E56, IF(G56&lt;&gt;"", G56, 0))</f>
        <v/>
      </c>
      <c r="I56" s="48">
        <f>H56*Settings!$B$5</f>
        <v/>
      </c>
      <c r="K56">
        <f>IF(AND(A56&lt;&gt;"",C56&lt;&gt;"",D56&lt;&gt;"",H56&gt;0),"✓","⚠ missing")</f>
        <v/>
      </c>
      <c r="L56" s="44" t="n"/>
      <c r="M56" s="45" t="n"/>
      <c r="N56" s="39" t="n"/>
      <c r="O56" s="46" t="n"/>
    </row>
    <row r="57">
      <c r="H57" s="47">
        <f>IF(AND(E57&lt;&gt;"",F57&lt;&gt;""), F57-E57, IF(G57&lt;&gt;"", G57, 0))</f>
        <v/>
      </c>
      <c r="I57" s="48">
        <f>H57*Settings!$B$5</f>
        <v/>
      </c>
      <c r="K57">
        <f>IF(AND(A57&lt;&gt;"",C57&lt;&gt;"",D57&lt;&gt;"",H57&gt;0),"✓","⚠ missing")</f>
        <v/>
      </c>
      <c r="L57" s="44" t="n"/>
      <c r="M57" s="45" t="n"/>
      <c r="N57" s="39" t="n"/>
      <c r="O57" s="46" t="n"/>
    </row>
    <row r="58">
      <c r="H58" s="47">
        <f>IF(AND(E58&lt;&gt;"",F58&lt;&gt;""), F58-E58, IF(G58&lt;&gt;"", G58, 0))</f>
        <v/>
      </c>
      <c r="I58" s="48">
        <f>H58*Settings!$B$5</f>
        <v/>
      </c>
      <c r="K58">
        <f>IF(AND(A58&lt;&gt;"",C58&lt;&gt;"",D58&lt;&gt;"",H58&gt;0),"✓","⚠ missing")</f>
        <v/>
      </c>
      <c r="L58" s="44" t="n"/>
      <c r="M58" s="45" t="n"/>
      <c r="N58" s="39" t="n"/>
      <c r="O58" s="46" t="n"/>
    </row>
    <row r="59">
      <c r="H59" s="47">
        <f>IF(AND(E59&lt;&gt;"",F59&lt;&gt;""), F59-E59, IF(G59&lt;&gt;"", G59, 0))</f>
        <v/>
      </c>
      <c r="I59" s="48">
        <f>H59*Settings!$B$5</f>
        <v/>
      </c>
      <c r="K59">
        <f>IF(AND(A59&lt;&gt;"",C59&lt;&gt;"",D59&lt;&gt;"",H59&gt;0),"✓","⚠ missing")</f>
        <v/>
      </c>
      <c r="L59" s="44" t="n"/>
      <c r="M59" s="45" t="n"/>
      <c r="N59" s="39" t="n"/>
      <c r="O59" s="46" t="n"/>
    </row>
    <row r="60">
      <c r="H60" s="47">
        <f>IF(AND(E60&lt;&gt;"",F60&lt;&gt;""), F60-E60, IF(G60&lt;&gt;"", G60, 0))</f>
        <v/>
      </c>
      <c r="I60" s="48">
        <f>H60*Settings!$B$5</f>
        <v/>
      </c>
      <c r="K60">
        <f>IF(AND(A60&lt;&gt;"",C60&lt;&gt;"",D60&lt;&gt;"",H60&gt;0),"✓","⚠ missing")</f>
        <v/>
      </c>
      <c r="L60" s="44" t="n"/>
      <c r="M60" s="45" t="n"/>
      <c r="N60" s="39" t="n"/>
      <c r="O60" s="46" t="n"/>
    </row>
    <row r="61">
      <c r="H61" s="47">
        <f>IF(AND(E61&lt;&gt;"",F61&lt;&gt;""), F61-E61, IF(G61&lt;&gt;"", G61, 0))</f>
        <v/>
      </c>
      <c r="I61" s="48">
        <f>H61*Settings!$B$5</f>
        <v/>
      </c>
      <c r="K61">
        <f>IF(AND(A61&lt;&gt;"",C61&lt;&gt;"",D61&lt;&gt;"",H61&gt;0),"✓","⚠ missing")</f>
        <v/>
      </c>
      <c r="L61" s="44" t="n"/>
      <c r="M61" s="45" t="n"/>
      <c r="N61" s="39" t="n"/>
      <c r="O61" s="46" t="n"/>
    </row>
    <row r="62">
      <c r="H62" s="47">
        <f>IF(AND(E62&lt;&gt;"",F62&lt;&gt;""), F62-E62, IF(G62&lt;&gt;"", G62, 0))</f>
        <v/>
      </c>
      <c r="I62" s="48">
        <f>H62*Settings!$B$5</f>
        <v/>
      </c>
      <c r="K62">
        <f>IF(AND(A62&lt;&gt;"",C62&lt;&gt;"",D62&lt;&gt;"",H62&gt;0),"✓","⚠ missing")</f>
        <v/>
      </c>
      <c r="L62" s="44" t="n"/>
      <c r="M62" s="45" t="n"/>
      <c r="N62" s="39" t="n"/>
      <c r="O62" s="46" t="n"/>
    </row>
    <row r="63">
      <c r="H63" s="47">
        <f>IF(AND(E63&lt;&gt;"",F63&lt;&gt;""), F63-E63, IF(G63&lt;&gt;"", G63, 0))</f>
        <v/>
      </c>
      <c r="I63" s="48">
        <f>H63*Settings!$B$5</f>
        <v/>
      </c>
      <c r="K63">
        <f>IF(AND(A63&lt;&gt;"",C63&lt;&gt;"",D63&lt;&gt;"",H63&gt;0),"✓","⚠ missing")</f>
        <v/>
      </c>
      <c r="L63" s="44" t="n"/>
      <c r="M63" s="45" t="n"/>
      <c r="N63" s="39" t="n"/>
      <c r="O63" s="46" t="n"/>
    </row>
    <row r="64">
      <c r="H64" s="47">
        <f>IF(AND(E64&lt;&gt;"",F64&lt;&gt;""), F64-E64, IF(G64&lt;&gt;"", G64, 0))</f>
        <v/>
      </c>
      <c r="I64" s="48">
        <f>H64*Settings!$B$5</f>
        <v/>
      </c>
      <c r="K64">
        <f>IF(AND(A64&lt;&gt;"",C64&lt;&gt;"",D64&lt;&gt;"",H64&gt;0),"✓","⚠ missing")</f>
        <v/>
      </c>
      <c r="L64" s="44" t="n"/>
      <c r="M64" s="45" t="n"/>
      <c r="N64" s="39" t="n"/>
      <c r="O64" s="46" t="n"/>
    </row>
    <row r="65">
      <c r="H65" s="47">
        <f>IF(AND(E65&lt;&gt;"",F65&lt;&gt;""), F65-E65, IF(G65&lt;&gt;"", G65, 0))</f>
        <v/>
      </c>
      <c r="I65" s="48">
        <f>H65*Settings!$B$5</f>
        <v/>
      </c>
      <c r="K65">
        <f>IF(AND(A65&lt;&gt;"",C65&lt;&gt;"",D65&lt;&gt;"",H65&gt;0),"✓","⚠ missing")</f>
        <v/>
      </c>
      <c r="L65" s="44" t="n"/>
      <c r="M65" s="45" t="n"/>
      <c r="N65" s="39" t="n"/>
      <c r="O65" s="46" t="n"/>
    </row>
    <row r="66">
      <c r="H66" s="47">
        <f>IF(AND(E66&lt;&gt;"",F66&lt;&gt;""), F66-E66, IF(G66&lt;&gt;"", G66, 0))</f>
        <v/>
      </c>
      <c r="I66" s="48">
        <f>H66*Settings!$B$5</f>
        <v/>
      </c>
      <c r="K66">
        <f>IF(AND(A66&lt;&gt;"",C66&lt;&gt;"",D66&lt;&gt;"",H66&gt;0),"✓","⚠ missing")</f>
        <v/>
      </c>
      <c r="L66" s="44" t="n"/>
      <c r="M66" s="45" t="n"/>
      <c r="N66" s="39" t="n"/>
      <c r="O66" s="46" t="n"/>
    </row>
    <row r="67">
      <c r="H67" s="47">
        <f>IF(AND(E67&lt;&gt;"",F67&lt;&gt;""), F67-E67, IF(G67&lt;&gt;"", G67, 0))</f>
        <v/>
      </c>
      <c r="I67" s="48">
        <f>H67*Settings!$B$5</f>
        <v/>
      </c>
      <c r="K67">
        <f>IF(AND(A67&lt;&gt;"",C67&lt;&gt;"",D67&lt;&gt;"",H67&gt;0),"✓","⚠ missing")</f>
        <v/>
      </c>
      <c r="L67" s="44" t="n"/>
      <c r="M67" s="45" t="n"/>
      <c r="N67" s="39" t="n"/>
      <c r="O67" s="46" t="n"/>
    </row>
    <row r="68">
      <c r="H68" s="47">
        <f>IF(AND(E68&lt;&gt;"",F68&lt;&gt;""), F68-E68, IF(G68&lt;&gt;"", G68, 0))</f>
        <v/>
      </c>
      <c r="I68" s="48">
        <f>H68*Settings!$B$5</f>
        <v/>
      </c>
      <c r="K68">
        <f>IF(AND(A68&lt;&gt;"",C68&lt;&gt;"",D68&lt;&gt;"",H68&gt;0),"✓","⚠ missing")</f>
        <v/>
      </c>
      <c r="L68" s="44" t="n"/>
      <c r="M68" s="45" t="n"/>
      <c r="N68" s="39" t="n"/>
      <c r="O68" s="46" t="n"/>
    </row>
    <row r="69">
      <c r="H69" s="47">
        <f>IF(AND(E69&lt;&gt;"",F69&lt;&gt;""), F69-E69, IF(G69&lt;&gt;"", G69, 0))</f>
        <v/>
      </c>
      <c r="I69" s="48">
        <f>H69*Settings!$B$5</f>
        <v/>
      </c>
      <c r="K69">
        <f>IF(AND(A69&lt;&gt;"",C69&lt;&gt;"",D69&lt;&gt;"",H69&gt;0),"✓","⚠ missing")</f>
        <v/>
      </c>
      <c r="L69" s="44" t="n"/>
      <c r="M69" s="45" t="n"/>
      <c r="N69" s="39" t="n"/>
      <c r="O69" s="46" t="n"/>
    </row>
    <row r="70">
      <c r="H70" s="47">
        <f>IF(AND(E70&lt;&gt;"",F70&lt;&gt;""), F70-E70, IF(G70&lt;&gt;"", G70, 0))</f>
        <v/>
      </c>
      <c r="I70" s="48">
        <f>H70*Settings!$B$5</f>
        <v/>
      </c>
      <c r="K70">
        <f>IF(AND(A70&lt;&gt;"",C70&lt;&gt;"",D70&lt;&gt;"",H70&gt;0),"✓","⚠ missing")</f>
        <v/>
      </c>
      <c r="L70" s="44" t="n"/>
      <c r="M70" s="45" t="n"/>
      <c r="N70" s="39" t="n"/>
      <c r="O70" s="46" t="n"/>
    </row>
    <row r="71">
      <c r="H71" s="47">
        <f>IF(AND(E71&lt;&gt;"",F71&lt;&gt;""), F71-E71, IF(G71&lt;&gt;"", G71, 0))</f>
        <v/>
      </c>
      <c r="I71" s="48">
        <f>H71*Settings!$B$5</f>
        <v/>
      </c>
      <c r="K71">
        <f>IF(AND(A71&lt;&gt;"",C71&lt;&gt;"",D71&lt;&gt;"",H71&gt;0),"✓","⚠ missing")</f>
        <v/>
      </c>
      <c r="L71" s="44" t="n"/>
      <c r="M71" s="45" t="n"/>
      <c r="N71" s="39" t="n"/>
      <c r="O71" s="46" t="n"/>
    </row>
    <row r="72">
      <c r="H72" s="47">
        <f>IF(AND(E72&lt;&gt;"",F72&lt;&gt;""), F72-E72, IF(G72&lt;&gt;"", G72, 0))</f>
        <v/>
      </c>
      <c r="I72" s="48">
        <f>H72*Settings!$B$5</f>
        <v/>
      </c>
      <c r="K72">
        <f>IF(AND(A72&lt;&gt;"",C72&lt;&gt;"",D72&lt;&gt;"",H72&gt;0),"✓","⚠ missing")</f>
        <v/>
      </c>
      <c r="L72" s="44" t="n"/>
      <c r="M72" s="45" t="n"/>
      <c r="N72" s="39" t="n"/>
      <c r="O72" s="46" t="n"/>
    </row>
    <row r="73">
      <c r="H73" s="47">
        <f>IF(AND(E73&lt;&gt;"",F73&lt;&gt;""), F73-E73, IF(G73&lt;&gt;"", G73, 0))</f>
        <v/>
      </c>
      <c r="I73" s="48">
        <f>H73*Settings!$B$5</f>
        <v/>
      </c>
      <c r="K73">
        <f>IF(AND(A73&lt;&gt;"",C73&lt;&gt;"",D73&lt;&gt;"",H73&gt;0),"✓","⚠ missing")</f>
        <v/>
      </c>
      <c r="L73" s="44" t="n"/>
      <c r="M73" s="45" t="n"/>
      <c r="N73" s="39" t="n"/>
      <c r="O73" s="46" t="n"/>
    </row>
    <row r="74">
      <c r="H74" s="47">
        <f>IF(AND(E74&lt;&gt;"",F74&lt;&gt;""), F74-E74, IF(G74&lt;&gt;"", G74, 0))</f>
        <v/>
      </c>
      <c r="I74" s="48">
        <f>H74*Settings!$B$5</f>
        <v/>
      </c>
      <c r="K74">
        <f>IF(AND(A74&lt;&gt;"",C74&lt;&gt;"",D74&lt;&gt;"",H74&gt;0),"✓","⚠ missing")</f>
        <v/>
      </c>
      <c r="L74" s="44" t="n"/>
      <c r="M74" s="45" t="n"/>
      <c r="N74" s="39" t="n"/>
      <c r="O74" s="46" t="n"/>
    </row>
    <row r="75">
      <c r="H75" s="47">
        <f>IF(AND(E75&lt;&gt;"",F75&lt;&gt;""), F75-E75, IF(G75&lt;&gt;"", G75, 0))</f>
        <v/>
      </c>
      <c r="I75" s="48">
        <f>H75*Settings!$B$5</f>
        <v/>
      </c>
      <c r="K75">
        <f>IF(AND(A75&lt;&gt;"",C75&lt;&gt;"",D75&lt;&gt;"",H75&gt;0),"✓","⚠ missing")</f>
        <v/>
      </c>
      <c r="L75" s="44" t="n"/>
      <c r="M75" s="45" t="n"/>
      <c r="N75" s="39" t="n"/>
      <c r="O75" s="46" t="n"/>
    </row>
    <row r="76">
      <c r="H76" s="47">
        <f>IF(AND(E76&lt;&gt;"",F76&lt;&gt;""), F76-E76, IF(G76&lt;&gt;"", G76, 0))</f>
        <v/>
      </c>
      <c r="I76" s="48">
        <f>H76*Settings!$B$5</f>
        <v/>
      </c>
      <c r="K76">
        <f>IF(AND(A76&lt;&gt;"",C76&lt;&gt;"",D76&lt;&gt;"",H76&gt;0),"✓","⚠ missing")</f>
        <v/>
      </c>
      <c r="L76" s="44" t="n"/>
      <c r="M76" s="45" t="n"/>
      <c r="N76" s="39" t="n"/>
      <c r="O76" s="46" t="n"/>
    </row>
    <row r="77">
      <c r="H77" s="47">
        <f>IF(AND(E77&lt;&gt;"",F77&lt;&gt;""), F77-E77, IF(G77&lt;&gt;"", G77, 0))</f>
        <v/>
      </c>
      <c r="I77" s="48">
        <f>H77*Settings!$B$5</f>
        <v/>
      </c>
      <c r="K77">
        <f>IF(AND(A77&lt;&gt;"",C77&lt;&gt;"",D77&lt;&gt;"",H77&gt;0),"✓","⚠ missing")</f>
        <v/>
      </c>
      <c r="L77" s="44" t="n"/>
      <c r="M77" s="45" t="n"/>
      <c r="N77" s="39" t="n"/>
      <c r="O77" s="46" t="n"/>
    </row>
    <row r="78">
      <c r="H78" s="47">
        <f>IF(AND(E78&lt;&gt;"",F78&lt;&gt;""), F78-E78, IF(G78&lt;&gt;"", G78, 0))</f>
        <v/>
      </c>
      <c r="I78" s="48">
        <f>H78*Settings!$B$5</f>
        <v/>
      </c>
      <c r="K78">
        <f>IF(AND(A78&lt;&gt;"",C78&lt;&gt;"",D78&lt;&gt;"",H78&gt;0),"✓","⚠ missing")</f>
        <v/>
      </c>
      <c r="L78" s="44" t="n"/>
      <c r="M78" s="45" t="n"/>
      <c r="N78" s="39" t="n"/>
      <c r="O78" s="46" t="n"/>
    </row>
    <row r="79">
      <c r="H79" s="47">
        <f>IF(AND(E79&lt;&gt;"",F79&lt;&gt;""), F79-E79, IF(G79&lt;&gt;"", G79, 0))</f>
        <v/>
      </c>
      <c r="I79" s="48">
        <f>H79*Settings!$B$5</f>
        <v/>
      </c>
      <c r="K79">
        <f>IF(AND(A79&lt;&gt;"",C79&lt;&gt;"",D79&lt;&gt;"",H79&gt;0),"✓","⚠ missing")</f>
        <v/>
      </c>
      <c r="L79" s="44" t="n"/>
      <c r="M79" s="45" t="n"/>
      <c r="N79" s="39" t="n"/>
      <c r="O79" s="46" t="n"/>
    </row>
    <row r="80">
      <c r="H80" s="47">
        <f>IF(AND(E80&lt;&gt;"",F80&lt;&gt;""), F80-E80, IF(G80&lt;&gt;"", G80, 0))</f>
        <v/>
      </c>
      <c r="I80" s="48">
        <f>H80*Settings!$B$5</f>
        <v/>
      </c>
      <c r="K80">
        <f>IF(AND(A80&lt;&gt;"",C80&lt;&gt;"",D80&lt;&gt;"",H80&gt;0),"✓","⚠ missing")</f>
        <v/>
      </c>
      <c r="L80" s="44" t="n"/>
      <c r="M80" s="45" t="n"/>
      <c r="N80" s="39" t="n"/>
      <c r="O80" s="46" t="n"/>
    </row>
    <row r="81">
      <c r="H81" s="47">
        <f>IF(AND(E81&lt;&gt;"",F81&lt;&gt;""), F81-E81, IF(G81&lt;&gt;"", G81, 0))</f>
        <v/>
      </c>
      <c r="I81" s="48">
        <f>H81*Settings!$B$5</f>
        <v/>
      </c>
      <c r="K81">
        <f>IF(AND(A81&lt;&gt;"",C81&lt;&gt;"",D81&lt;&gt;"",H81&gt;0),"✓","⚠ missing")</f>
        <v/>
      </c>
      <c r="L81" s="44" t="n"/>
      <c r="M81" s="45" t="n"/>
      <c r="N81" s="39" t="n"/>
      <c r="O81" s="46" t="n"/>
    </row>
    <row r="82">
      <c r="H82" s="47">
        <f>IF(AND(E82&lt;&gt;"",F82&lt;&gt;""), F82-E82, IF(G82&lt;&gt;"", G82, 0))</f>
        <v/>
      </c>
      <c r="I82" s="48">
        <f>H82*Settings!$B$5</f>
        <v/>
      </c>
      <c r="K82">
        <f>IF(AND(A82&lt;&gt;"",C82&lt;&gt;"",D82&lt;&gt;"",H82&gt;0),"✓","⚠ missing")</f>
        <v/>
      </c>
      <c r="L82" s="44" t="n"/>
      <c r="M82" s="45" t="n"/>
      <c r="N82" s="39" t="n"/>
      <c r="O82" s="46" t="n"/>
    </row>
    <row r="83">
      <c r="H83" s="47">
        <f>IF(AND(E83&lt;&gt;"",F83&lt;&gt;""), F83-E83, IF(G83&lt;&gt;"", G83, 0))</f>
        <v/>
      </c>
      <c r="I83" s="48">
        <f>H83*Settings!$B$5</f>
        <v/>
      </c>
      <c r="K83">
        <f>IF(AND(A83&lt;&gt;"",C83&lt;&gt;"",D83&lt;&gt;"",H83&gt;0),"✓","⚠ missing")</f>
        <v/>
      </c>
      <c r="L83" s="44" t="n"/>
      <c r="M83" s="45" t="n"/>
      <c r="N83" s="39" t="n"/>
      <c r="O83" s="46" t="n"/>
    </row>
    <row r="84">
      <c r="H84" s="47">
        <f>IF(AND(E84&lt;&gt;"",F84&lt;&gt;""), F84-E84, IF(G84&lt;&gt;"", G84, 0))</f>
        <v/>
      </c>
      <c r="I84" s="48">
        <f>H84*Settings!$B$5</f>
        <v/>
      </c>
      <c r="K84">
        <f>IF(AND(A84&lt;&gt;"",C84&lt;&gt;"",D84&lt;&gt;"",H84&gt;0),"✓","⚠ missing")</f>
        <v/>
      </c>
      <c r="L84" s="44" t="n"/>
      <c r="M84" s="45" t="n"/>
      <c r="N84" s="39" t="n"/>
      <c r="O84" s="46" t="n"/>
    </row>
    <row r="85">
      <c r="H85" s="47">
        <f>IF(AND(E85&lt;&gt;"",F85&lt;&gt;""), F85-E85, IF(G85&lt;&gt;"", G85, 0))</f>
        <v/>
      </c>
      <c r="I85" s="48">
        <f>H85*Settings!$B$5</f>
        <v/>
      </c>
      <c r="K85">
        <f>IF(AND(A85&lt;&gt;"",C85&lt;&gt;"",D85&lt;&gt;"",H85&gt;0),"✓","⚠ missing")</f>
        <v/>
      </c>
      <c r="L85" s="44" t="n"/>
      <c r="M85" s="45" t="n"/>
      <c r="N85" s="39" t="n"/>
      <c r="O85" s="46" t="n"/>
    </row>
    <row r="86">
      <c r="H86" s="47">
        <f>IF(AND(E86&lt;&gt;"",F86&lt;&gt;""), F86-E86, IF(G86&lt;&gt;"", G86, 0))</f>
        <v/>
      </c>
      <c r="I86" s="48">
        <f>H86*Settings!$B$5</f>
        <v/>
      </c>
      <c r="K86">
        <f>IF(AND(A86&lt;&gt;"",C86&lt;&gt;"",D86&lt;&gt;"",H86&gt;0),"✓","⚠ missing")</f>
        <v/>
      </c>
      <c r="L86" s="44" t="n"/>
      <c r="M86" s="45" t="n"/>
      <c r="N86" s="39" t="n"/>
      <c r="O86" s="46" t="n"/>
    </row>
    <row r="87">
      <c r="H87" s="47">
        <f>IF(AND(E87&lt;&gt;"",F87&lt;&gt;""), F87-E87, IF(G87&lt;&gt;"", G87, 0))</f>
        <v/>
      </c>
      <c r="I87" s="48">
        <f>H87*Settings!$B$5</f>
        <v/>
      </c>
      <c r="K87">
        <f>IF(AND(A87&lt;&gt;"",C87&lt;&gt;"",D87&lt;&gt;"",H87&gt;0),"✓","⚠ missing")</f>
        <v/>
      </c>
      <c r="L87" s="44" t="n"/>
      <c r="M87" s="45" t="n"/>
      <c r="N87" s="39" t="n"/>
      <c r="O87" s="46" t="n"/>
    </row>
    <row r="88">
      <c r="H88" s="47">
        <f>IF(AND(E88&lt;&gt;"",F88&lt;&gt;""), F88-E88, IF(G88&lt;&gt;"", G88, 0))</f>
        <v/>
      </c>
      <c r="I88" s="48">
        <f>H88*Settings!$B$5</f>
        <v/>
      </c>
      <c r="K88">
        <f>IF(AND(A88&lt;&gt;"",C88&lt;&gt;"",D88&lt;&gt;"",H88&gt;0),"✓","⚠ missing")</f>
        <v/>
      </c>
      <c r="L88" s="44" t="n"/>
      <c r="M88" s="45" t="n"/>
      <c r="N88" s="39" t="n"/>
      <c r="O88" s="46" t="n"/>
    </row>
    <row r="89">
      <c r="H89" s="47">
        <f>IF(AND(E89&lt;&gt;"",F89&lt;&gt;""), F89-E89, IF(G89&lt;&gt;"", G89, 0))</f>
        <v/>
      </c>
      <c r="I89" s="48">
        <f>H89*Settings!$B$5</f>
        <v/>
      </c>
      <c r="K89">
        <f>IF(AND(A89&lt;&gt;"",C89&lt;&gt;"",D89&lt;&gt;"",H89&gt;0),"✓","⚠ missing")</f>
        <v/>
      </c>
      <c r="L89" s="44" t="n"/>
      <c r="M89" s="45" t="n"/>
      <c r="N89" s="39" t="n"/>
      <c r="O89" s="46" t="n"/>
    </row>
    <row r="90">
      <c r="H90" s="47">
        <f>IF(AND(E90&lt;&gt;"",F90&lt;&gt;""), F90-E90, IF(G90&lt;&gt;"", G90, 0))</f>
        <v/>
      </c>
      <c r="I90" s="48">
        <f>H90*Settings!$B$5</f>
        <v/>
      </c>
      <c r="K90">
        <f>IF(AND(A90&lt;&gt;"",C90&lt;&gt;"",D90&lt;&gt;"",H90&gt;0),"✓","⚠ missing")</f>
        <v/>
      </c>
      <c r="L90" s="44" t="n"/>
      <c r="M90" s="45" t="n"/>
      <c r="N90" s="39" t="n"/>
      <c r="O90" s="46" t="n"/>
    </row>
    <row r="91">
      <c r="H91" s="47">
        <f>IF(AND(E91&lt;&gt;"",F91&lt;&gt;""), F91-E91, IF(G91&lt;&gt;"", G91, 0))</f>
        <v/>
      </c>
      <c r="I91" s="48">
        <f>H91*Settings!$B$5</f>
        <v/>
      </c>
      <c r="K91">
        <f>IF(AND(A91&lt;&gt;"",C91&lt;&gt;"",D91&lt;&gt;"",H91&gt;0),"✓","⚠ missing")</f>
        <v/>
      </c>
      <c r="L91" s="44" t="n"/>
      <c r="M91" s="45" t="n"/>
      <c r="N91" s="39" t="n"/>
      <c r="O91" s="46" t="n"/>
    </row>
    <row r="92">
      <c r="H92" s="47">
        <f>IF(AND(E92&lt;&gt;"",F92&lt;&gt;""), F92-E92, IF(G92&lt;&gt;"", G92, 0))</f>
        <v/>
      </c>
      <c r="I92" s="48">
        <f>H92*Settings!$B$5</f>
        <v/>
      </c>
      <c r="K92">
        <f>IF(AND(A92&lt;&gt;"",C92&lt;&gt;"",D92&lt;&gt;"",H92&gt;0),"✓","⚠ missing")</f>
        <v/>
      </c>
      <c r="L92" s="44" t="n"/>
      <c r="M92" s="45" t="n"/>
      <c r="N92" s="39" t="n"/>
      <c r="O92" s="46" t="n"/>
    </row>
    <row r="93">
      <c r="H93" s="47">
        <f>IF(AND(E93&lt;&gt;"",F93&lt;&gt;""), F93-E93, IF(G93&lt;&gt;"", G93, 0))</f>
        <v/>
      </c>
      <c r="I93" s="48">
        <f>H93*Settings!$B$5</f>
        <v/>
      </c>
      <c r="K93">
        <f>IF(AND(A93&lt;&gt;"",C93&lt;&gt;"",D93&lt;&gt;"",H93&gt;0),"✓","⚠ missing")</f>
        <v/>
      </c>
      <c r="L93" s="44" t="n"/>
      <c r="M93" s="45" t="n"/>
      <c r="N93" s="39" t="n"/>
      <c r="O93" s="46" t="n"/>
    </row>
    <row r="94">
      <c r="H94" s="47">
        <f>IF(AND(E94&lt;&gt;"",F94&lt;&gt;""), F94-E94, IF(G94&lt;&gt;"", G94, 0))</f>
        <v/>
      </c>
      <c r="I94" s="48">
        <f>H94*Settings!$B$5</f>
        <v/>
      </c>
      <c r="K94">
        <f>IF(AND(A94&lt;&gt;"",C94&lt;&gt;"",D94&lt;&gt;"",H94&gt;0),"✓","⚠ missing")</f>
        <v/>
      </c>
      <c r="L94" s="44" t="n"/>
      <c r="M94" s="45" t="n"/>
      <c r="N94" s="39" t="n"/>
      <c r="O94" s="46" t="n"/>
    </row>
    <row r="95">
      <c r="H95" s="47">
        <f>IF(AND(E95&lt;&gt;"",F95&lt;&gt;""), F95-E95, IF(G95&lt;&gt;"", G95, 0))</f>
        <v/>
      </c>
      <c r="I95" s="48">
        <f>H95*Settings!$B$5</f>
        <v/>
      </c>
      <c r="K95">
        <f>IF(AND(A95&lt;&gt;"",C95&lt;&gt;"",D95&lt;&gt;"",H95&gt;0),"✓","⚠ missing")</f>
        <v/>
      </c>
      <c r="L95" s="44" t="n"/>
      <c r="M95" s="45" t="n"/>
      <c r="N95" s="39" t="n"/>
      <c r="O95" s="46" t="n"/>
    </row>
    <row r="96">
      <c r="H96" s="47">
        <f>IF(AND(E96&lt;&gt;"",F96&lt;&gt;""), F96-E96, IF(G96&lt;&gt;"", G96, 0))</f>
        <v/>
      </c>
      <c r="I96" s="48">
        <f>H96*Settings!$B$5</f>
        <v/>
      </c>
      <c r="K96">
        <f>IF(AND(A96&lt;&gt;"",C96&lt;&gt;"",D96&lt;&gt;"",H96&gt;0),"✓","⚠ missing")</f>
        <v/>
      </c>
      <c r="L96" s="44" t="n"/>
      <c r="M96" s="45" t="n"/>
      <c r="N96" s="39" t="n"/>
      <c r="O96" s="46" t="n"/>
    </row>
    <row r="97">
      <c r="H97" s="47">
        <f>IF(AND(E97&lt;&gt;"",F97&lt;&gt;""), F97-E97, IF(G97&lt;&gt;"", G97, 0))</f>
        <v/>
      </c>
      <c r="I97" s="48">
        <f>H97*Settings!$B$5</f>
        <v/>
      </c>
      <c r="K97">
        <f>IF(AND(A97&lt;&gt;"",C97&lt;&gt;"",D97&lt;&gt;"",H97&gt;0),"✓","⚠ missing")</f>
        <v/>
      </c>
      <c r="L97" s="44" t="n"/>
      <c r="M97" s="45" t="n"/>
      <c r="N97" s="39" t="n"/>
      <c r="O97" s="46" t="n"/>
    </row>
    <row r="98">
      <c r="H98" s="47">
        <f>IF(AND(E98&lt;&gt;"",F98&lt;&gt;""), F98-E98, IF(G98&lt;&gt;"", G98, 0))</f>
        <v/>
      </c>
      <c r="I98" s="48">
        <f>H98*Settings!$B$5</f>
        <v/>
      </c>
      <c r="K98">
        <f>IF(AND(A98&lt;&gt;"",C98&lt;&gt;"",D98&lt;&gt;"",H98&gt;0),"✓","⚠ missing")</f>
        <v/>
      </c>
      <c r="L98" s="44" t="n"/>
      <c r="M98" s="45" t="n"/>
      <c r="N98" s="39" t="n"/>
      <c r="O98" s="46" t="n"/>
    </row>
    <row r="99">
      <c r="H99" s="47">
        <f>IF(AND(E99&lt;&gt;"",F99&lt;&gt;""), F99-E99, IF(G99&lt;&gt;"", G99, 0))</f>
        <v/>
      </c>
      <c r="I99" s="48">
        <f>H99*Settings!$B$5</f>
        <v/>
      </c>
      <c r="K99">
        <f>IF(AND(A99&lt;&gt;"",C99&lt;&gt;"",D99&lt;&gt;"",H99&gt;0),"✓","⚠ missing")</f>
        <v/>
      </c>
      <c r="L99" s="44" t="n"/>
      <c r="M99" s="45" t="n"/>
      <c r="N99" s="39" t="n"/>
      <c r="O99" s="46" t="n"/>
    </row>
    <row r="100">
      <c r="H100" s="47">
        <f>IF(AND(E100&lt;&gt;"",F100&lt;&gt;""), F100-E100, IF(G100&lt;&gt;"", G100, 0))</f>
        <v/>
      </c>
      <c r="I100" s="48">
        <f>H100*Settings!$B$5</f>
        <v/>
      </c>
      <c r="K100">
        <f>IF(AND(A100&lt;&gt;"",C100&lt;&gt;"",D100&lt;&gt;"",H100&gt;0),"✓","⚠ missing")</f>
        <v/>
      </c>
      <c r="L100" s="44" t="n"/>
      <c r="M100" s="45" t="n"/>
      <c r="N100" s="39" t="n"/>
      <c r="O100" s="46" t="n"/>
    </row>
    <row r="101">
      <c r="H101" s="47">
        <f>IF(AND(E101&lt;&gt;"",F101&lt;&gt;""), F101-E101, IF(G101&lt;&gt;"", G101, 0))</f>
        <v/>
      </c>
      <c r="I101" s="48">
        <f>H101*Settings!$B$5</f>
        <v/>
      </c>
      <c r="K101">
        <f>IF(AND(A101&lt;&gt;"",C101&lt;&gt;"",D101&lt;&gt;"",H101&gt;0),"✓","⚠ missing")</f>
        <v/>
      </c>
      <c r="L101" s="44" t="n"/>
      <c r="M101" s="45" t="n"/>
      <c r="N101" s="39" t="n"/>
      <c r="O101" s="46" t="n"/>
    </row>
    <row r="102">
      <c r="H102" s="47">
        <f>IF(AND(E102&lt;&gt;"",F102&lt;&gt;""), F102-E102, IF(G102&lt;&gt;"", G102, 0))</f>
        <v/>
      </c>
      <c r="I102" s="48">
        <f>H102*Settings!$B$5</f>
        <v/>
      </c>
      <c r="K102">
        <f>IF(AND(A102&lt;&gt;"",C102&lt;&gt;"",D102&lt;&gt;"",H102&gt;0),"✓","⚠ missing")</f>
        <v/>
      </c>
      <c r="L102" s="44" t="n"/>
      <c r="M102" s="45" t="n"/>
      <c r="N102" s="39" t="n"/>
      <c r="O102" s="46" t="n"/>
    </row>
    <row r="103">
      <c r="H103" s="47">
        <f>IF(AND(E103&lt;&gt;"",F103&lt;&gt;""), F103-E103, IF(G103&lt;&gt;"", G103, 0))</f>
        <v/>
      </c>
      <c r="I103" s="48">
        <f>H103*Settings!$B$5</f>
        <v/>
      </c>
      <c r="K103">
        <f>IF(AND(A103&lt;&gt;"",C103&lt;&gt;"",D103&lt;&gt;"",H103&gt;0),"✓","⚠ missing")</f>
        <v/>
      </c>
      <c r="L103" s="44" t="n"/>
      <c r="M103" s="45" t="n"/>
      <c r="N103" s="39" t="n"/>
      <c r="O103" s="46" t="n"/>
    </row>
    <row r="104">
      <c r="H104" s="47">
        <f>IF(AND(E104&lt;&gt;"",F104&lt;&gt;""), F104-E104, IF(G104&lt;&gt;"", G104, 0))</f>
        <v/>
      </c>
      <c r="I104" s="48">
        <f>H104*Settings!$B$5</f>
        <v/>
      </c>
      <c r="K104">
        <f>IF(AND(A104&lt;&gt;"",C104&lt;&gt;"",D104&lt;&gt;"",H104&gt;0),"✓","⚠ missing")</f>
        <v/>
      </c>
      <c r="L104" s="44" t="n"/>
      <c r="M104" s="45" t="n"/>
      <c r="N104" s="39" t="n"/>
      <c r="O104" s="46" t="n"/>
    </row>
    <row r="105">
      <c r="H105" s="47">
        <f>IF(AND(E105&lt;&gt;"",F105&lt;&gt;""), F105-E105, IF(G105&lt;&gt;"", G105, 0))</f>
        <v/>
      </c>
      <c r="I105" s="48">
        <f>H105*Settings!$B$5</f>
        <v/>
      </c>
      <c r="K105">
        <f>IF(AND(A105&lt;&gt;"",C105&lt;&gt;"",D105&lt;&gt;"",H105&gt;0),"✓","⚠ missing")</f>
        <v/>
      </c>
      <c r="L105" s="44" t="n"/>
      <c r="M105" s="45" t="n"/>
      <c r="N105" s="39" t="n"/>
      <c r="O105" s="46" t="n"/>
    </row>
    <row r="106">
      <c r="H106" s="47">
        <f>IF(AND(E106&lt;&gt;"",F106&lt;&gt;""), F106-E106, IF(G106&lt;&gt;"", G106, 0))</f>
        <v/>
      </c>
      <c r="I106" s="48">
        <f>H106*Settings!$B$5</f>
        <v/>
      </c>
      <c r="K106">
        <f>IF(AND(A106&lt;&gt;"",C106&lt;&gt;"",D106&lt;&gt;"",H106&gt;0),"✓","⚠ missing")</f>
        <v/>
      </c>
      <c r="L106" s="44" t="n"/>
      <c r="M106" s="45" t="n"/>
      <c r="N106" s="39" t="n"/>
      <c r="O106" s="46" t="n"/>
    </row>
    <row r="107">
      <c r="H107" s="47">
        <f>IF(AND(E107&lt;&gt;"",F107&lt;&gt;""), F107-E107, IF(G107&lt;&gt;"", G107, 0))</f>
        <v/>
      </c>
      <c r="I107" s="48">
        <f>H107*Settings!$B$5</f>
        <v/>
      </c>
      <c r="K107">
        <f>IF(AND(A107&lt;&gt;"",C107&lt;&gt;"",D107&lt;&gt;"",H107&gt;0),"✓","⚠ missing")</f>
        <v/>
      </c>
      <c r="L107" s="44" t="n"/>
      <c r="M107" s="45" t="n"/>
      <c r="N107" s="39" t="n"/>
      <c r="O107" s="46" t="n"/>
    </row>
    <row r="108">
      <c r="H108" s="47">
        <f>IF(AND(E108&lt;&gt;"",F108&lt;&gt;""), F108-E108, IF(G108&lt;&gt;"", G108, 0))</f>
        <v/>
      </c>
      <c r="I108" s="48">
        <f>H108*Settings!$B$5</f>
        <v/>
      </c>
      <c r="K108">
        <f>IF(AND(A108&lt;&gt;"",C108&lt;&gt;"",D108&lt;&gt;"",H108&gt;0),"✓","⚠ missing")</f>
        <v/>
      </c>
      <c r="L108" s="44" t="n"/>
      <c r="M108" s="45" t="n"/>
      <c r="N108" s="39" t="n"/>
      <c r="O108" s="46" t="n"/>
    </row>
    <row r="109">
      <c r="H109" s="47">
        <f>IF(AND(E109&lt;&gt;"",F109&lt;&gt;""), F109-E109, IF(G109&lt;&gt;"", G109, 0))</f>
        <v/>
      </c>
      <c r="I109" s="48">
        <f>H109*Settings!$B$5</f>
        <v/>
      </c>
      <c r="K109">
        <f>IF(AND(A109&lt;&gt;"",C109&lt;&gt;"",D109&lt;&gt;"",H109&gt;0),"✓","⚠ missing")</f>
        <v/>
      </c>
      <c r="L109" s="44" t="n"/>
      <c r="M109" s="45" t="n"/>
      <c r="N109" s="39" t="n"/>
      <c r="O109" s="46" t="n"/>
    </row>
    <row r="110">
      <c r="H110" s="47">
        <f>IF(AND(E110&lt;&gt;"",F110&lt;&gt;""), F110-E110, IF(G110&lt;&gt;"", G110, 0))</f>
        <v/>
      </c>
      <c r="I110" s="48">
        <f>H110*Settings!$B$5</f>
        <v/>
      </c>
      <c r="K110">
        <f>IF(AND(A110&lt;&gt;"",C110&lt;&gt;"",D110&lt;&gt;"",H110&gt;0),"✓","⚠ missing")</f>
        <v/>
      </c>
      <c r="L110" s="44" t="n"/>
      <c r="M110" s="45" t="n"/>
      <c r="N110" s="39" t="n"/>
      <c r="O110" s="46" t="n"/>
    </row>
    <row r="111">
      <c r="H111" s="47">
        <f>IF(AND(E111&lt;&gt;"",F111&lt;&gt;""), F111-E111, IF(G111&lt;&gt;"", G111, 0))</f>
        <v/>
      </c>
      <c r="I111" s="48">
        <f>H111*Settings!$B$5</f>
        <v/>
      </c>
      <c r="K111">
        <f>IF(AND(A111&lt;&gt;"",C111&lt;&gt;"",D111&lt;&gt;"",H111&gt;0),"✓","⚠ missing")</f>
        <v/>
      </c>
      <c r="L111" s="44" t="n"/>
      <c r="M111" s="45" t="n"/>
      <c r="N111" s="39" t="n"/>
      <c r="O111" s="46" t="n"/>
    </row>
    <row r="112">
      <c r="H112" s="47">
        <f>IF(AND(E112&lt;&gt;"",F112&lt;&gt;""), F112-E112, IF(G112&lt;&gt;"", G112, 0))</f>
        <v/>
      </c>
      <c r="I112" s="48">
        <f>H112*Settings!$B$5</f>
        <v/>
      </c>
      <c r="K112">
        <f>IF(AND(A112&lt;&gt;"",C112&lt;&gt;"",D112&lt;&gt;"",H112&gt;0),"✓","⚠ missing")</f>
        <v/>
      </c>
      <c r="L112" s="44" t="n"/>
      <c r="M112" s="45" t="n"/>
      <c r="N112" s="39" t="n"/>
      <c r="O112" s="46" t="n"/>
    </row>
    <row r="113">
      <c r="H113" s="47">
        <f>IF(AND(E113&lt;&gt;"",F113&lt;&gt;""), F113-E113, IF(G113&lt;&gt;"", G113, 0))</f>
        <v/>
      </c>
      <c r="I113" s="48">
        <f>H113*Settings!$B$5</f>
        <v/>
      </c>
      <c r="K113">
        <f>IF(AND(A113&lt;&gt;"",C113&lt;&gt;"",D113&lt;&gt;"",H113&gt;0),"✓","⚠ missing")</f>
        <v/>
      </c>
      <c r="L113" s="44" t="n"/>
      <c r="M113" s="45" t="n"/>
      <c r="N113" s="39" t="n"/>
      <c r="O113" s="46" t="n"/>
    </row>
    <row r="114">
      <c r="H114" s="47">
        <f>IF(AND(E114&lt;&gt;"",F114&lt;&gt;""), F114-E114, IF(G114&lt;&gt;"", G114, 0))</f>
        <v/>
      </c>
      <c r="I114" s="48">
        <f>H114*Settings!$B$5</f>
        <v/>
      </c>
      <c r="K114">
        <f>IF(AND(A114&lt;&gt;"",C114&lt;&gt;"",D114&lt;&gt;"",H114&gt;0),"✓","⚠ missing")</f>
        <v/>
      </c>
      <c r="L114" s="44" t="n"/>
      <c r="M114" s="45" t="n"/>
      <c r="N114" s="39" t="n"/>
      <c r="O114" s="46" t="n"/>
    </row>
    <row r="115">
      <c r="H115" s="47">
        <f>IF(AND(E115&lt;&gt;"",F115&lt;&gt;""), F115-E115, IF(G115&lt;&gt;"", G115, 0))</f>
        <v/>
      </c>
      <c r="I115" s="48">
        <f>H115*Settings!$B$5</f>
        <v/>
      </c>
      <c r="K115">
        <f>IF(AND(A115&lt;&gt;"",C115&lt;&gt;"",D115&lt;&gt;"",H115&gt;0),"✓","⚠ missing")</f>
        <v/>
      </c>
      <c r="L115" s="44" t="n"/>
      <c r="M115" s="45" t="n"/>
      <c r="N115" s="39" t="n"/>
      <c r="O115" s="46" t="n"/>
    </row>
    <row r="116">
      <c r="H116" s="47">
        <f>IF(AND(E116&lt;&gt;"",F116&lt;&gt;""), F116-E116, IF(G116&lt;&gt;"", G116, 0))</f>
        <v/>
      </c>
      <c r="I116" s="48">
        <f>H116*Settings!$B$5</f>
        <v/>
      </c>
      <c r="K116">
        <f>IF(AND(A116&lt;&gt;"",C116&lt;&gt;"",D116&lt;&gt;"",H116&gt;0),"✓","⚠ missing")</f>
        <v/>
      </c>
      <c r="L116" s="44" t="n"/>
      <c r="M116" s="45" t="n"/>
      <c r="N116" s="39" t="n"/>
      <c r="O116" s="46" t="n"/>
    </row>
    <row r="117">
      <c r="H117" s="47">
        <f>IF(AND(E117&lt;&gt;"",F117&lt;&gt;""), F117-E117, IF(G117&lt;&gt;"", G117, 0))</f>
        <v/>
      </c>
      <c r="I117" s="48">
        <f>H117*Settings!$B$5</f>
        <v/>
      </c>
      <c r="K117">
        <f>IF(AND(A117&lt;&gt;"",C117&lt;&gt;"",D117&lt;&gt;"",H117&gt;0),"✓","⚠ missing")</f>
        <v/>
      </c>
      <c r="L117" s="44" t="n"/>
      <c r="M117" s="45" t="n"/>
      <c r="N117" s="39" t="n"/>
      <c r="O117" s="46" t="n"/>
    </row>
    <row r="118">
      <c r="H118" s="47">
        <f>IF(AND(E118&lt;&gt;"",F118&lt;&gt;""), F118-E118, IF(G118&lt;&gt;"", G118, 0))</f>
        <v/>
      </c>
      <c r="I118" s="48">
        <f>H118*Settings!$B$5</f>
        <v/>
      </c>
      <c r="K118">
        <f>IF(AND(A118&lt;&gt;"",C118&lt;&gt;"",D118&lt;&gt;"",H118&gt;0),"✓","⚠ missing")</f>
        <v/>
      </c>
      <c r="L118" s="44" t="n"/>
      <c r="M118" s="45" t="n"/>
      <c r="N118" s="39" t="n"/>
      <c r="O118" s="46" t="n"/>
    </row>
    <row r="119">
      <c r="H119" s="47">
        <f>IF(AND(E119&lt;&gt;"",F119&lt;&gt;""), F119-E119, IF(G119&lt;&gt;"", G119, 0))</f>
        <v/>
      </c>
      <c r="I119" s="48">
        <f>H119*Settings!$B$5</f>
        <v/>
      </c>
      <c r="K119">
        <f>IF(AND(A119&lt;&gt;"",C119&lt;&gt;"",D119&lt;&gt;"",H119&gt;0),"✓","⚠ missing")</f>
        <v/>
      </c>
      <c r="L119" s="44" t="n"/>
      <c r="M119" s="45" t="n"/>
      <c r="N119" s="39" t="n"/>
      <c r="O119" s="46" t="n"/>
    </row>
    <row r="120">
      <c r="H120" s="47">
        <f>IF(AND(E120&lt;&gt;"",F120&lt;&gt;""), F120-E120, IF(G120&lt;&gt;"", G120, 0))</f>
        <v/>
      </c>
      <c r="I120" s="48">
        <f>H120*Settings!$B$5</f>
        <v/>
      </c>
      <c r="K120">
        <f>IF(AND(A120&lt;&gt;"",C120&lt;&gt;"",D120&lt;&gt;"",H120&gt;0),"✓","⚠ missing")</f>
        <v/>
      </c>
      <c r="L120" s="44" t="n"/>
      <c r="M120" s="45" t="n"/>
      <c r="N120" s="39" t="n"/>
      <c r="O120" s="46" t="n"/>
    </row>
    <row r="121">
      <c r="H121" s="47">
        <f>IF(AND(E121&lt;&gt;"",F121&lt;&gt;""), F121-E121, IF(G121&lt;&gt;"", G121, 0))</f>
        <v/>
      </c>
      <c r="I121" s="48">
        <f>H121*Settings!$B$5</f>
        <v/>
      </c>
      <c r="K121">
        <f>IF(AND(A121&lt;&gt;"",C121&lt;&gt;"",D121&lt;&gt;"",H121&gt;0),"✓","⚠ missing")</f>
        <v/>
      </c>
      <c r="L121" s="44" t="n"/>
      <c r="M121" s="45" t="n"/>
      <c r="N121" s="39" t="n"/>
      <c r="O121" s="46" t="n"/>
    </row>
    <row r="122">
      <c r="H122" s="47">
        <f>IF(AND(E122&lt;&gt;"",F122&lt;&gt;""), F122-E122, IF(G122&lt;&gt;"", G122, 0))</f>
        <v/>
      </c>
      <c r="I122" s="48">
        <f>H122*Settings!$B$5</f>
        <v/>
      </c>
      <c r="K122">
        <f>IF(AND(A122&lt;&gt;"",C122&lt;&gt;"",D122&lt;&gt;"",H122&gt;0),"✓","⚠ missing")</f>
        <v/>
      </c>
      <c r="L122" s="44" t="n"/>
      <c r="M122" s="45" t="n"/>
      <c r="N122" s="39" t="n"/>
      <c r="O122" s="46" t="n"/>
    </row>
    <row r="123">
      <c r="H123" s="47">
        <f>IF(AND(E123&lt;&gt;"",F123&lt;&gt;""), F123-E123, IF(G123&lt;&gt;"", G123, 0))</f>
        <v/>
      </c>
      <c r="I123" s="48">
        <f>H123*Settings!$B$5</f>
        <v/>
      </c>
      <c r="K123">
        <f>IF(AND(A123&lt;&gt;"",C123&lt;&gt;"",D123&lt;&gt;"",H123&gt;0),"✓","⚠ missing")</f>
        <v/>
      </c>
      <c r="L123" s="44" t="n"/>
      <c r="M123" s="45" t="n"/>
      <c r="N123" s="39" t="n"/>
      <c r="O123" s="46" t="n"/>
    </row>
    <row r="124">
      <c r="H124" s="47">
        <f>IF(AND(E124&lt;&gt;"",F124&lt;&gt;""), F124-E124, IF(G124&lt;&gt;"", G124, 0))</f>
        <v/>
      </c>
      <c r="I124" s="48">
        <f>H124*Settings!$B$5</f>
        <v/>
      </c>
      <c r="K124">
        <f>IF(AND(A124&lt;&gt;"",C124&lt;&gt;"",D124&lt;&gt;"",H124&gt;0),"✓","⚠ missing")</f>
        <v/>
      </c>
      <c r="L124" s="44" t="n"/>
      <c r="M124" s="45" t="n"/>
      <c r="N124" s="39" t="n"/>
      <c r="O124" s="46" t="n"/>
    </row>
    <row r="125">
      <c r="H125" s="47">
        <f>IF(AND(E125&lt;&gt;"",F125&lt;&gt;""), F125-E125, IF(G125&lt;&gt;"", G125, 0))</f>
        <v/>
      </c>
      <c r="I125" s="48">
        <f>H125*Settings!$B$5</f>
        <v/>
      </c>
      <c r="K125">
        <f>IF(AND(A125&lt;&gt;"",C125&lt;&gt;"",D125&lt;&gt;"",H125&gt;0),"✓","⚠ missing")</f>
        <v/>
      </c>
      <c r="L125" s="44" t="n"/>
      <c r="M125" s="45" t="n"/>
      <c r="N125" s="39" t="n"/>
      <c r="O125" s="46" t="n"/>
    </row>
    <row r="126">
      <c r="H126" s="47">
        <f>IF(AND(E126&lt;&gt;"",F126&lt;&gt;""), F126-E126, IF(G126&lt;&gt;"", G126, 0))</f>
        <v/>
      </c>
      <c r="I126" s="48">
        <f>H126*Settings!$B$5</f>
        <v/>
      </c>
      <c r="K126">
        <f>IF(AND(A126&lt;&gt;"",C126&lt;&gt;"",D126&lt;&gt;"",H126&gt;0),"✓","⚠ missing")</f>
        <v/>
      </c>
      <c r="L126" s="44" t="n"/>
      <c r="M126" s="45" t="n"/>
      <c r="N126" s="39" t="n"/>
      <c r="O126" s="46" t="n"/>
    </row>
    <row r="127">
      <c r="H127" s="47">
        <f>IF(AND(E127&lt;&gt;"",F127&lt;&gt;""), F127-E127, IF(G127&lt;&gt;"", G127, 0))</f>
        <v/>
      </c>
      <c r="I127" s="48">
        <f>H127*Settings!$B$5</f>
        <v/>
      </c>
      <c r="K127">
        <f>IF(AND(A127&lt;&gt;"",C127&lt;&gt;"",D127&lt;&gt;"",H127&gt;0),"✓","⚠ missing")</f>
        <v/>
      </c>
      <c r="L127" s="44" t="n"/>
      <c r="M127" s="45" t="n"/>
      <c r="N127" s="39" t="n"/>
      <c r="O127" s="46" t="n"/>
    </row>
    <row r="128">
      <c r="H128" s="47">
        <f>IF(AND(E128&lt;&gt;"",F128&lt;&gt;""), F128-E128, IF(G128&lt;&gt;"", G128, 0))</f>
        <v/>
      </c>
      <c r="I128" s="48">
        <f>H128*Settings!$B$5</f>
        <v/>
      </c>
      <c r="K128">
        <f>IF(AND(A128&lt;&gt;"",C128&lt;&gt;"",D128&lt;&gt;"",H128&gt;0),"✓","⚠ missing")</f>
        <v/>
      </c>
      <c r="L128" s="44" t="n"/>
      <c r="M128" s="45" t="n"/>
      <c r="N128" s="39" t="n"/>
      <c r="O128" s="46" t="n"/>
    </row>
    <row r="129">
      <c r="H129" s="47">
        <f>IF(AND(E129&lt;&gt;"",F129&lt;&gt;""), F129-E129, IF(G129&lt;&gt;"", G129, 0))</f>
        <v/>
      </c>
      <c r="I129" s="48">
        <f>H129*Settings!$B$5</f>
        <v/>
      </c>
      <c r="K129">
        <f>IF(AND(A129&lt;&gt;"",C129&lt;&gt;"",D129&lt;&gt;"",H129&gt;0),"✓","⚠ missing")</f>
        <v/>
      </c>
      <c r="L129" s="44" t="n"/>
      <c r="M129" s="45" t="n"/>
      <c r="N129" s="39" t="n"/>
      <c r="O129" s="46" t="n"/>
    </row>
    <row r="130">
      <c r="H130" s="47">
        <f>IF(AND(E130&lt;&gt;"",F130&lt;&gt;""), F130-E130, IF(G130&lt;&gt;"", G130, 0))</f>
        <v/>
      </c>
      <c r="I130" s="48">
        <f>H130*Settings!$B$5</f>
        <v/>
      </c>
      <c r="K130">
        <f>IF(AND(A130&lt;&gt;"",C130&lt;&gt;"",D130&lt;&gt;"",H130&gt;0),"✓","⚠ missing")</f>
        <v/>
      </c>
      <c r="L130" s="44" t="n"/>
      <c r="M130" s="45" t="n"/>
      <c r="N130" s="39" t="n"/>
      <c r="O130" s="46" t="n"/>
    </row>
    <row r="131">
      <c r="H131" s="47">
        <f>IF(AND(E131&lt;&gt;"",F131&lt;&gt;""), F131-E131, IF(G131&lt;&gt;"", G131, 0))</f>
        <v/>
      </c>
      <c r="I131" s="48">
        <f>H131*Settings!$B$5</f>
        <v/>
      </c>
      <c r="K131">
        <f>IF(AND(A131&lt;&gt;"",C131&lt;&gt;"",D131&lt;&gt;"",H131&gt;0),"✓","⚠ missing")</f>
        <v/>
      </c>
      <c r="L131" s="44" t="n"/>
      <c r="M131" s="45" t="n"/>
      <c r="N131" s="39" t="n"/>
      <c r="O131" s="46" t="n"/>
    </row>
    <row r="132">
      <c r="H132" s="47">
        <f>IF(AND(E132&lt;&gt;"",F132&lt;&gt;""), F132-E132, IF(G132&lt;&gt;"", G132, 0))</f>
        <v/>
      </c>
      <c r="I132" s="48">
        <f>H132*Settings!$B$5</f>
        <v/>
      </c>
      <c r="K132">
        <f>IF(AND(A132&lt;&gt;"",C132&lt;&gt;"",D132&lt;&gt;"",H132&gt;0),"✓","⚠ missing")</f>
        <v/>
      </c>
      <c r="L132" s="44" t="n"/>
      <c r="M132" s="45" t="n"/>
      <c r="N132" s="39" t="n"/>
      <c r="O132" s="46" t="n"/>
    </row>
    <row r="133">
      <c r="H133" s="47">
        <f>IF(AND(E133&lt;&gt;"",F133&lt;&gt;""), F133-E133, IF(G133&lt;&gt;"", G133, 0))</f>
        <v/>
      </c>
      <c r="I133" s="48">
        <f>H133*Settings!$B$5</f>
        <v/>
      </c>
      <c r="K133">
        <f>IF(AND(A133&lt;&gt;"",C133&lt;&gt;"",D133&lt;&gt;"",H133&gt;0),"✓","⚠ missing")</f>
        <v/>
      </c>
      <c r="L133" s="44" t="n"/>
      <c r="M133" s="45" t="n"/>
      <c r="N133" s="39" t="n"/>
      <c r="O133" s="46" t="n"/>
    </row>
    <row r="134">
      <c r="H134" s="47">
        <f>IF(AND(E134&lt;&gt;"",F134&lt;&gt;""), F134-E134, IF(G134&lt;&gt;"", G134, 0))</f>
        <v/>
      </c>
      <c r="I134" s="48">
        <f>H134*Settings!$B$5</f>
        <v/>
      </c>
      <c r="K134">
        <f>IF(AND(A134&lt;&gt;"",C134&lt;&gt;"",D134&lt;&gt;"",H134&gt;0),"✓","⚠ missing")</f>
        <v/>
      </c>
      <c r="L134" s="44" t="n"/>
      <c r="M134" s="45" t="n"/>
      <c r="N134" s="39" t="n"/>
      <c r="O134" s="46" t="n"/>
    </row>
    <row r="135">
      <c r="H135" s="47">
        <f>IF(AND(E135&lt;&gt;"",F135&lt;&gt;""), F135-E135, IF(G135&lt;&gt;"", G135, 0))</f>
        <v/>
      </c>
      <c r="I135" s="48">
        <f>H135*Settings!$B$5</f>
        <v/>
      </c>
      <c r="K135">
        <f>IF(AND(A135&lt;&gt;"",C135&lt;&gt;"",D135&lt;&gt;"",H135&gt;0),"✓","⚠ missing")</f>
        <v/>
      </c>
      <c r="L135" s="44" t="n"/>
      <c r="M135" s="45" t="n"/>
      <c r="N135" s="39" t="n"/>
      <c r="O135" s="46" t="n"/>
    </row>
    <row r="136">
      <c r="H136" s="47">
        <f>IF(AND(E136&lt;&gt;"",F136&lt;&gt;""), F136-E136, IF(G136&lt;&gt;"", G136, 0))</f>
        <v/>
      </c>
      <c r="I136" s="48">
        <f>H136*Settings!$B$5</f>
        <v/>
      </c>
      <c r="K136">
        <f>IF(AND(A136&lt;&gt;"",C136&lt;&gt;"",D136&lt;&gt;"",H136&gt;0),"✓","⚠ missing")</f>
        <v/>
      </c>
      <c r="L136" s="44" t="n"/>
      <c r="M136" s="45" t="n"/>
      <c r="N136" s="39" t="n"/>
      <c r="O136" s="46" t="n"/>
    </row>
    <row r="137">
      <c r="H137" s="47">
        <f>IF(AND(E137&lt;&gt;"",F137&lt;&gt;""), F137-E137, IF(G137&lt;&gt;"", G137, 0))</f>
        <v/>
      </c>
      <c r="I137" s="48">
        <f>H137*Settings!$B$5</f>
        <v/>
      </c>
      <c r="K137">
        <f>IF(AND(A137&lt;&gt;"",C137&lt;&gt;"",D137&lt;&gt;"",H137&gt;0),"✓","⚠ missing")</f>
        <v/>
      </c>
      <c r="L137" s="44" t="n"/>
      <c r="M137" s="45" t="n"/>
      <c r="N137" s="39" t="n"/>
      <c r="O137" s="46" t="n"/>
    </row>
    <row r="138">
      <c r="H138" s="47">
        <f>IF(AND(E138&lt;&gt;"",F138&lt;&gt;""), F138-E138, IF(G138&lt;&gt;"", G138, 0))</f>
        <v/>
      </c>
      <c r="I138" s="48">
        <f>H138*Settings!$B$5</f>
        <v/>
      </c>
      <c r="K138">
        <f>IF(AND(A138&lt;&gt;"",C138&lt;&gt;"",D138&lt;&gt;"",H138&gt;0),"✓","⚠ missing")</f>
        <v/>
      </c>
      <c r="L138" s="44" t="n"/>
      <c r="M138" s="45" t="n"/>
      <c r="N138" s="39" t="n"/>
      <c r="O138" s="46" t="n"/>
    </row>
    <row r="139">
      <c r="H139" s="47">
        <f>IF(AND(E139&lt;&gt;"",F139&lt;&gt;""), F139-E139, IF(G139&lt;&gt;"", G139, 0))</f>
        <v/>
      </c>
      <c r="I139" s="48">
        <f>H139*Settings!$B$5</f>
        <v/>
      </c>
      <c r="K139">
        <f>IF(AND(A139&lt;&gt;"",C139&lt;&gt;"",D139&lt;&gt;"",H139&gt;0),"✓","⚠ missing")</f>
        <v/>
      </c>
      <c r="L139" s="44" t="n"/>
      <c r="M139" s="45" t="n"/>
      <c r="N139" s="39" t="n"/>
      <c r="O139" s="46" t="n"/>
    </row>
    <row r="140">
      <c r="H140" s="47">
        <f>IF(AND(E140&lt;&gt;"",F140&lt;&gt;""), F140-E140, IF(G140&lt;&gt;"", G140, 0))</f>
        <v/>
      </c>
      <c r="I140" s="48">
        <f>H140*Settings!$B$5</f>
        <v/>
      </c>
      <c r="K140">
        <f>IF(AND(A140&lt;&gt;"",C140&lt;&gt;"",D140&lt;&gt;"",H140&gt;0),"✓","⚠ missing")</f>
        <v/>
      </c>
      <c r="L140" s="44" t="n"/>
      <c r="M140" s="45" t="n"/>
      <c r="N140" s="39" t="n"/>
      <c r="O140" s="46" t="n"/>
    </row>
    <row r="141">
      <c r="H141" s="47">
        <f>IF(AND(E141&lt;&gt;"",F141&lt;&gt;""), F141-E141, IF(G141&lt;&gt;"", G141, 0))</f>
        <v/>
      </c>
      <c r="I141" s="48">
        <f>H141*Settings!$B$5</f>
        <v/>
      </c>
      <c r="K141">
        <f>IF(AND(A141&lt;&gt;"",C141&lt;&gt;"",D141&lt;&gt;"",H141&gt;0),"✓","⚠ missing")</f>
        <v/>
      </c>
      <c r="L141" s="44" t="n"/>
      <c r="M141" s="45" t="n"/>
      <c r="N141" s="39" t="n"/>
      <c r="O141" s="46" t="n"/>
    </row>
    <row r="142">
      <c r="H142" s="47">
        <f>IF(AND(E142&lt;&gt;"",F142&lt;&gt;""), F142-E142, IF(G142&lt;&gt;"", G142, 0))</f>
        <v/>
      </c>
      <c r="I142" s="48">
        <f>H142*Settings!$B$5</f>
        <v/>
      </c>
      <c r="K142">
        <f>IF(AND(A142&lt;&gt;"",C142&lt;&gt;"",D142&lt;&gt;"",H142&gt;0),"✓","⚠ missing")</f>
        <v/>
      </c>
      <c r="L142" s="44" t="n"/>
      <c r="M142" s="45" t="n"/>
      <c r="N142" s="39" t="n"/>
      <c r="O142" s="46" t="n"/>
    </row>
    <row r="143">
      <c r="H143" s="47">
        <f>IF(AND(E143&lt;&gt;"",F143&lt;&gt;""), F143-E143, IF(G143&lt;&gt;"", G143, 0))</f>
        <v/>
      </c>
      <c r="I143" s="48">
        <f>H143*Settings!$B$5</f>
        <v/>
      </c>
      <c r="K143">
        <f>IF(AND(A143&lt;&gt;"",C143&lt;&gt;"",D143&lt;&gt;"",H143&gt;0),"✓","⚠ missing")</f>
        <v/>
      </c>
      <c r="L143" s="44" t="n"/>
      <c r="M143" s="45" t="n"/>
      <c r="N143" s="39" t="n"/>
      <c r="O143" s="46" t="n"/>
    </row>
    <row r="144">
      <c r="H144" s="47">
        <f>IF(AND(E144&lt;&gt;"",F144&lt;&gt;""), F144-E144, IF(G144&lt;&gt;"", G144, 0))</f>
        <v/>
      </c>
      <c r="I144" s="48">
        <f>H144*Settings!$B$5</f>
        <v/>
      </c>
      <c r="K144">
        <f>IF(AND(A144&lt;&gt;"",C144&lt;&gt;"",D144&lt;&gt;"",H144&gt;0),"✓","⚠ missing")</f>
        <v/>
      </c>
      <c r="L144" s="44" t="n"/>
      <c r="M144" s="45" t="n"/>
      <c r="N144" s="39" t="n"/>
      <c r="O144" s="46" t="n"/>
    </row>
    <row r="145">
      <c r="H145" s="47">
        <f>IF(AND(E145&lt;&gt;"",F145&lt;&gt;""), F145-E145, IF(G145&lt;&gt;"", G145, 0))</f>
        <v/>
      </c>
      <c r="I145" s="48">
        <f>H145*Settings!$B$5</f>
        <v/>
      </c>
      <c r="K145">
        <f>IF(AND(A145&lt;&gt;"",C145&lt;&gt;"",D145&lt;&gt;"",H145&gt;0),"✓","⚠ missing")</f>
        <v/>
      </c>
      <c r="L145" s="44" t="n"/>
      <c r="M145" s="45" t="n"/>
      <c r="N145" s="39" t="n"/>
      <c r="O145" s="46" t="n"/>
    </row>
    <row r="146">
      <c r="H146" s="47">
        <f>IF(AND(E146&lt;&gt;"",F146&lt;&gt;""), F146-E146, IF(G146&lt;&gt;"", G146, 0))</f>
        <v/>
      </c>
      <c r="I146" s="48">
        <f>H146*Settings!$B$5</f>
        <v/>
      </c>
      <c r="K146">
        <f>IF(AND(A146&lt;&gt;"",C146&lt;&gt;"",D146&lt;&gt;"",H146&gt;0),"✓","⚠ missing")</f>
        <v/>
      </c>
      <c r="L146" s="44" t="n"/>
      <c r="M146" s="45" t="n"/>
      <c r="N146" s="39" t="n"/>
      <c r="O146" s="46" t="n"/>
    </row>
    <row r="147">
      <c r="H147" s="47">
        <f>IF(AND(E147&lt;&gt;"",F147&lt;&gt;""), F147-E147, IF(G147&lt;&gt;"", G147, 0))</f>
        <v/>
      </c>
      <c r="I147" s="48">
        <f>H147*Settings!$B$5</f>
        <v/>
      </c>
      <c r="K147">
        <f>IF(AND(A147&lt;&gt;"",C147&lt;&gt;"",D147&lt;&gt;"",H147&gt;0),"✓","⚠ missing")</f>
        <v/>
      </c>
      <c r="L147" s="44" t="n"/>
      <c r="M147" s="45" t="n"/>
      <c r="N147" s="39" t="n"/>
      <c r="O147" s="46" t="n"/>
    </row>
    <row r="148">
      <c r="H148" s="47">
        <f>IF(AND(E148&lt;&gt;"",F148&lt;&gt;""), F148-E148, IF(G148&lt;&gt;"", G148, 0))</f>
        <v/>
      </c>
      <c r="I148" s="48">
        <f>H148*Settings!$B$5</f>
        <v/>
      </c>
      <c r="K148">
        <f>IF(AND(A148&lt;&gt;"",C148&lt;&gt;"",D148&lt;&gt;"",H148&gt;0),"✓","⚠ missing")</f>
        <v/>
      </c>
      <c r="L148" s="44" t="n"/>
      <c r="M148" s="45" t="n"/>
      <c r="N148" s="39" t="n"/>
      <c r="O148" s="46" t="n"/>
    </row>
    <row r="149">
      <c r="H149" s="47">
        <f>IF(AND(E149&lt;&gt;"",F149&lt;&gt;""), F149-E149, IF(G149&lt;&gt;"", G149, 0))</f>
        <v/>
      </c>
      <c r="I149" s="48">
        <f>H149*Settings!$B$5</f>
        <v/>
      </c>
      <c r="K149">
        <f>IF(AND(A149&lt;&gt;"",C149&lt;&gt;"",D149&lt;&gt;"",H149&gt;0),"✓","⚠ missing")</f>
        <v/>
      </c>
      <c r="L149" s="44" t="n"/>
      <c r="M149" s="45" t="n"/>
      <c r="N149" s="39" t="n"/>
      <c r="O149" s="46" t="n"/>
    </row>
    <row r="150">
      <c r="H150" s="47">
        <f>IF(AND(E150&lt;&gt;"",F150&lt;&gt;""), F150-E150, IF(G150&lt;&gt;"", G150, 0))</f>
        <v/>
      </c>
      <c r="I150" s="48">
        <f>H150*Settings!$B$5</f>
        <v/>
      </c>
      <c r="K150">
        <f>IF(AND(A150&lt;&gt;"",C150&lt;&gt;"",D150&lt;&gt;"",H150&gt;0),"✓","⚠ missing")</f>
        <v/>
      </c>
      <c r="L150" s="44" t="n"/>
      <c r="M150" s="45" t="n"/>
      <c r="N150" s="39" t="n"/>
      <c r="O150" s="46" t="n"/>
    </row>
    <row r="151">
      <c r="H151" s="47">
        <f>IF(AND(E151&lt;&gt;"",F151&lt;&gt;""), F151-E151, IF(G151&lt;&gt;"", G151, 0))</f>
        <v/>
      </c>
      <c r="I151" s="48">
        <f>H151*Settings!$B$5</f>
        <v/>
      </c>
      <c r="K151">
        <f>IF(AND(A151&lt;&gt;"",C151&lt;&gt;"",D151&lt;&gt;"",H151&gt;0),"✓","⚠ missing")</f>
        <v/>
      </c>
      <c r="L151" s="44" t="n"/>
      <c r="M151" s="45" t="n"/>
      <c r="N151" s="39" t="n"/>
      <c r="O151" s="46" t="n"/>
    </row>
    <row r="152">
      <c r="H152" s="47">
        <f>IF(AND(E152&lt;&gt;"",F152&lt;&gt;""), F152-E152, IF(G152&lt;&gt;"", G152, 0))</f>
        <v/>
      </c>
      <c r="I152" s="48">
        <f>H152*Settings!$B$5</f>
        <v/>
      </c>
      <c r="K152">
        <f>IF(AND(A152&lt;&gt;"",C152&lt;&gt;"",D152&lt;&gt;"",H152&gt;0),"✓","⚠ missing")</f>
        <v/>
      </c>
      <c r="L152" s="44" t="n"/>
      <c r="M152" s="45" t="n"/>
      <c r="N152" s="39" t="n"/>
      <c r="O152" s="46" t="n"/>
    </row>
    <row r="153">
      <c r="H153" s="47">
        <f>IF(AND(E153&lt;&gt;"",F153&lt;&gt;""), F153-E153, IF(G153&lt;&gt;"", G153, 0))</f>
        <v/>
      </c>
      <c r="I153" s="48">
        <f>H153*Settings!$B$5</f>
        <v/>
      </c>
      <c r="K153">
        <f>IF(AND(A153&lt;&gt;"",C153&lt;&gt;"",D153&lt;&gt;"",H153&gt;0),"✓","⚠ missing")</f>
        <v/>
      </c>
      <c r="L153" s="44" t="n"/>
      <c r="M153" s="45" t="n"/>
      <c r="N153" s="39" t="n"/>
      <c r="O153" s="46" t="n"/>
    </row>
    <row r="154">
      <c r="H154" s="47">
        <f>IF(AND(E154&lt;&gt;"",F154&lt;&gt;""), F154-E154, IF(G154&lt;&gt;"", G154, 0))</f>
        <v/>
      </c>
      <c r="I154" s="48">
        <f>H154*Settings!$B$5</f>
        <v/>
      </c>
      <c r="K154">
        <f>IF(AND(A154&lt;&gt;"",C154&lt;&gt;"",D154&lt;&gt;"",H154&gt;0),"✓","⚠ missing")</f>
        <v/>
      </c>
      <c r="L154" s="44" t="n"/>
      <c r="M154" s="45" t="n"/>
      <c r="N154" s="39" t="n"/>
      <c r="O154" s="46" t="n"/>
    </row>
    <row r="155">
      <c r="H155" s="47">
        <f>IF(AND(E155&lt;&gt;"",F155&lt;&gt;""), F155-E155, IF(G155&lt;&gt;"", G155, 0))</f>
        <v/>
      </c>
      <c r="I155" s="48">
        <f>H155*Settings!$B$5</f>
        <v/>
      </c>
      <c r="K155">
        <f>IF(AND(A155&lt;&gt;"",C155&lt;&gt;"",D155&lt;&gt;"",H155&gt;0),"✓","⚠ missing")</f>
        <v/>
      </c>
      <c r="L155" s="44" t="n"/>
      <c r="M155" s="45" t="n"/>
      <c r="N155" s="39" t="n"/>
      <c r="O155" s="46" t="n"/>
    </row>
    <row r="156">
      <c r="H156" s="47">
        <f>IF(AND(E156&lt;&gt;"",F156&lt;&gt;""), F156-E156, IF(G156&lt;&gt;"", G156, 0))</f>
        <v/>
      </c>
      <c r="I156" s="48">
        <f>H156*Settings!$B$5</f>
        <v/>
      </c>
      <c r="K156">
        <f>IF(AND(A156&lt;&gt;"",C156&lt;&gt;"",D156&lt;&gt;"",H156&gt;0),"✓","⚠ missing")</f>
        <v/>
      </c>
      <c r="L156" s="44" t="n"/>
      <c r="M156" s="45" t="n"/>
      <c r="N156" s="39" t="n"/>
      <c r="O156" s="46" t="n"/>
    </row>
    <row r="157">
      <c r="H157" s="47">
        <f>IF(AND(E157&lt;&gt;"",F157&lt;&gt;""), F157-E157, IF(G157&lt;&gt;"", G157, 0))</f>
        <v/>
      </c>
      <c r="I157" s="48">
        <f>H157*Settings!$B$5</f>
        <v/>
      </c>
      <c r="K157">
        <f>IF(AND(A157&lt;&gt;"",C157&lt;&gt;"",D157&lt;&gt;"",H157&gt;0),"✓","⚠ missing")</f>
        <v/>
      </c>
      <c r="L157" s="44" t="n"/>
      <c r="M157" s="45" t="n"/>
      <c r="N157" s="39" t="n"/>
      <c r="O157" s="46" t="n"/>
    </row>
    <row r="158">
      <c r="H158" s="47">
        <f>IF(AND(E158&lt;&gt;"",F158&lt;&gt;""), F158-E158, IF(G158&lt;&gt;"", G158, 0))</f>
        <v/>
      </c>
      <c r="I158" s="48">
        <f>H158*Settings!$B$5</f>
        <v/>
      </c>
      <c r="K158">
        <f>IF(AND(A158&lt;&gt;"",C158&lt;&gt;"",D158&lt;&gt;"",H158&gt;0),"✓","⚠ missing")</f>
        <v/>
      </c>
      <c r="L158" s="44" t="n"/>
      <c r="M158" s="45" t="n"/>
      <c r="N158" s="39" t="n"/>
      <c r="O158" s="46" t="n"/>
    </row>
    <row r="159">
      <c r="H159" s="47">
        <f>IF(AND(E159&lt;&gt;"",F159&lt;&gt;""), F159-E159, IF(G159&lt;&gt;"", G159, 0))</f>
        <v/>
      </c>
      <c r="I159" s="48">
        <f>H159*Settings!$B$5</f>
        <v/>
      </c>
      <c r="K159">
        <f>IF(AND(A159&lt;&gt;"",C159&lt;&gt;"",D159&lt;&gt;"",H159&gt;0),"✓","⚠ missing")</f>
        <v/>
      </c>
      <c r="L159" s="44" t="n"/>
      <c r="M159" s="45" t="n"/>
      <c r="N159" s="39" t="n"/>
      <c r="O159" s="46" t="n"/>
    </row>
    <row r="160">
      <c r="H160" s="47">
        <f>IF(AND(E160&lt;&gt;"",F160&lt;&gt;""), F160-E160, IF(G160&lt;&gt;"", G160, 0))</f>
        <v/>
      </c>
      <c r="I160" s="48">
        <f>H160*Settings!$B$5</f>
        <v/>
      </c>
      <c r="K160">
        <f>IF(AND(A160&lt;&gt;"",C160&lt;&gt;"",D160&lt;&gt;"",H160&gt;0),"✓","⚠ missing")</f>
        <v/>
      </c>
      <c r="L160" s="44" t="n"/>
      <c r="M160" s="45" t="n"/>
      <c r="N160" s="39" t="n"/>
      <c r="O160" s="46" t="n"/>
    </row>
    <row r="161">
      <c r="H161" s="47">
        <f>IF(AND(E161&lt;&gt;"",F161&lt;&gt;""), F161-E161, IF(G161&lt;&gt;"", G161, 0))</f>
        <v/>
      </c>
      <c r="I161" s="48">
        <f>H161*Settings!$B$5</f>
        <v/>
      </c>
      <c r="K161">
        <f>IF(AND(A161&lt;&gt;"",C161&lt;&gt;"",D161&lt;&gt;"",H161&gt;0),"✓","⚠ missing")</f>
        <v/>
      </c>
      <c r="L161" s="44" t="n"/>
      <c r="M161" s="45" t="n"/>
      <c r="N161" s="39" t="n"/>
      <c r="O161" s="46" t="n"/>
    </row>
    <row r="162">
      <c r="H162" s="47">
        <f>IF(AND(E162&lt;&gt;"",F162&lt;&gt;""), F162-E162, IF(G162&lt;&gt;"", G162, 0))</f>
        <v/>
      </c>
      <c r="I162" s="48">
        <f>H162*Settings!$B$5</f>
        <v/>
      </c>
      <c r="K162">
        <f>IF(AND(A162&lt;&gt;"",C162&lt;&gt;"",D162&lt;&gt;"",H162&gt;0),"✓","⚠ missing")</f>
        <v/>
      </c>
      <c r="L162" s="44" t="n"/>
      <c r="M162" s="45" t="n"/>
      <c r="N162" s="39" t="n"/>
      <c r="O162" s="46" t="n"/>
    </row>
    <row r="163">
      <c r="H163" s="47">
        <f>IF(AND(E163&lt;&gt;"",F163&lt;&gt;""), F163-E163, IF(G163&lt;&gt;"", G163, 0))</f>
        <v/>
      </c>
      <c r="I163" s="48">
        <f>H163*Settings!$B$5</f>
        <v/>
      </c>
      <c r="K163">
        <f>IF(AND(A163&lt;&gt;"",C163&lt;&gt;"",D163&lt;&gt;"",H163&gt;0),"✓","⚠ missing")</f>
        <v/>
      </c>
      <c r="L163" s="44" t="n"/>
      <c r="M163" s="45" t="n"/>
      <c r="N163" s="39" t="n"/>
      <c r="O163" s="46" t="n"/>
    </row>
    <row r="164">
      <c r="H164" s="47">
        <f>IF(AND(E164&lt;&gt;"",F164&lt;&gt;""), F164-E164, IF(G164&lt;&gt;"", G164, 0))</f>
        <v/>
      </c>
      <c r="I164" s="48">
        <f>H164*Settings!$B$5</f>
        <v/>
      </c>
      <c r="K164">
        <f>IF(AND(A164&lt;&gt;"",C164&lt;&gt;"",D164&lt;&gt;"",H164&gt;0),"✓","⚠ missing")</f>
        <v/>
      </c>
      <c r="L164" s="44" t="n"/>
      <c r="M164" s="45" t="n"/>
      <c r="N164" s="39" t="n"/>
      <c r="O164" s="46" t="n"/>
    </row>
    <row r="165">
      <c r="H165" s="47">
        <f>IF(AND(E165&lt;&gt;"",F165&lt;&gt;""), F165-E165, IF(G165&lt;&gt;"", G165, 0))</f>
        <v/>
      </c>
      <c r="I165" s="48">
        <f>H165*Settings!$B$5</f>
        <v/>
      </c>
      <c r="K165">
        <f>IF(AND(A165&lt;&gt;"",C165&lt;&gt;"",D165&lt;&gt;"",H165&gt;0),"✓","⚠ missing")</f>
        <v/>
      </c>
      <c r="L165" s="44" t="n"/>
      <c r="M165" s="45" t="n"/>
      <c r="N165" s="39" t="n"/>
      <c r="O165" s="46" t="n"/>
    </row>
    <row r="166">
      <c r="H166" s="47">
        <f>IF(AND(E166&lt;&gt;"",F166&lt;&gt;""), F166-E166, IF(G166&lt;&gt;"", G166, 0))</f>
        <v/>
      </c>
      <c r="I166" s="48">
        <f>H166*Settings!$B$5</f>
        <v/>
      </c>
      <c r="K166">
        <f>IF(AND(A166&lt;&gt;"",C166&lt;&gt;"",D166&lt;&gt;"",H166&gt;0),"✓","⚠ missing")</f>
        <v/>
      </c>
      <c r="L166" s="44" t="n"/>
      <c r="M166" s="45" t="n"/>
      <c r="N166" s="39" t="n"/>
      <c r="O166" s="46" t="n"/>
    </row>
    <row r="167">
      <c r="H167" s="47">
        <f>IF(AND(E167&lt;&gt;"",F167&lt;&gt;""), F167-E167, IF(G167&lt;&gt;"", G167, 0))</f>
        <v/>
      </c>
      <c r="I167" s="48">
        <f>H167*Settings!$B$5</f>
        <v/>
      </c>
      <c r="K167">
        <f>IF(AND(A167&lt;&gt;"",C167&lt;&gt;"",D167&lt;&gt;"",H167&gt;0),"✓","⚠ missing")</f>
        <v/>
      </c>
      <c r="L167" s="44" t="n"/>
      <c r="M167" s="45" t="n"/>
      <c r="N167" s="39" t="n"/>
      <c r="O167" s="46" t="n"/>
    </row>
    <row r="168">
      <c r="H168" s="47">
        <f>IF(AND(E168&lt;&gt;"",F168&lt;&gt;""), F168-E168, IF(G168&lt;&gt;"", G168, 0))</f>
        <v/>
      </c>
      <c r="I168" s="48">
        <f>H168*Settings!$B$5</f>
        <v/>
      </c>
      <c r="K168">
        <f>IF(AND(A168&lt;&gt;"",C168&lt;&gt;"",D168&lt;&gt;"",H168&gt;0),"✓","⚠ missing")</f>
        <v/>
      </c>
      <c r="L168" s="44" t="n"/>
      <c r="M168" s="45" t="n"/>
      <c r="N168" s="39" t="n"/>
      <c r="O168" s="46" t="n"/>
    </row>
    <row r="169">
      <c r="H169" s="47">
        <f>IF(AND(E169&lt;&gt;"",F169&lt;&gt;""), F169-E169, IF(G169&lt;&gt;"", G169, 0))</f>
        <v/>
      </c>
      <c r="I169" s="48">
        <f>H169*Settings!$B$5</f>
        <v/>
      </c>
      <c r="K169">
        <f>IF(AND(A169&lt;&gt;"",C169&lt;&gt;"",D169&lt;&gt;"",H169&gt;0),"✓","⚠ missing")</f>
        <v/>
      </c>
      <c r="L169" s="44" t="n"/>
      <c r="M169" s="45" t="n"/>
      <c r="N169" s="39" t="n"/>
      <c r="O169" s="46" t="n"/>
    </row>
    <row r="170">
      <c r="H170" s="47">
        <f>IF(AND(E170&lt;&gt;"",F170&lt;&gt;""), F170-E170, IF(G170&lt;&gt;"", G170, 0))</f>
        <v/>
      </c>
      <c r="I170" s="48">
        <f>H170*Settings!$B$5</f>
        <v/>
      </c>
      <c r="K170">
        <f>IF(AND(A170&lt;&gt;"",C170&lt;&gt;"",D170&lt;&gt;"",H170&gt;0),"✓","⚠ missing")</f>
        <v/>
      </c>
      <c r="L170" s="44" t="n"/>
      <c r="M170" s="45" t="n"/>
      <c r="N170" s="39" t="n"/>
      <c r="O170" s="46" t="n"/>
    </row>
    <row r="171">
      <c r="H171" s="47">
        <f>IF(AND(E171&lt;&gt;"",F171&lt;&gt;""), F171-E171, IF(G171&lt;&gt;"", G171, 0))</f>
        <v/>
      </c>
      <c r="I171" s="48">
        <f>H171*Settings!$B$5</f>
        <v/>
      </c>
      <c r="K171">
        <f>IF(AND(A171&lt;&gt;"",C171&lt;&gt;"",D171&lt;&gt;"",H171&gt;0),"✓","⚠ missing")</f>
        <v/>
      </c>
      <c r="L171" s="44" t="n"/>
      <c r="M171" s="45" t="n"/>
      <c r="N171" s="39" t="n"/>
      <c r="O171" s="46" t="n"/>
    </row>
    <row r="172">
      <c r="H172" s="47">
        <f>IF(AND(E172&lt;&gt;"",F172&lt;&gt;""), F172-E172, IF(G172&lt;&gt;"", G172, 0))</f>
        <v/>
      </c>
      <c r="I172" s="48">
        <f>H172*Settings!$B$5</f>
        <v/>
      </c>
      <c r="K172">
        <f>IF(AND(A172&lt;&gt;"",C172&lt;&gt;"",D172&lt;&gt;"",H172&gt;0),"✓","⚠ missing")</f>
        <v/>
      </c>
      <c r="L172" s="44" t="n"/>
      <c r="M172" s="45" t="n"/>
      <c r="N172" s="39" t="n"/>
      <c r="O172" s="46" t="n"/>
    </row>
    <row r="173">
      <c r="H173" s="47">
        <f>IF(AND(E173&lt;&gt;"",F173&lt;&gt;""), F173-E173, IF(G173&lt;&gt;"", G173, 0))</f>
        <v/>
      </c>
      <c r="I173" s="48">
        <f>H173*Settings!$B$5</f>
        <v/>
      </c>
      <c r="K173">
        <f>IF(AND(A173&lt;&gt;"",C173&lt;&gt;"",D173&lt;&gt;"",H173&gt;0),"✓","⚠ missing")</f>
        <v/>
      </c>
      <c r="L173" s="44" t="n"/>
      <c r="M173" s="45" t="n"/>
      <c r="N173" s="39" t="n"/>
      <c r="O173" s="46" t="n"/>
    </row>
    <row r="174">
      <c r="H174" s="47">
        <f>IF(AND(E174&lt;&gt;"",F174&lt;&gt;""), F174-E174, IF(G174&lt;&gt;"", G174, 0))</f>
        <v/>
      </c>
      <c r="I174" s="48">
        <f>H174*Settings!$B$5</f>
        <v/>
      </c>
      <c r="K174">
        <f>IF(AND(A174&lt;&gt;"",C174&lt;&gt;"",D174&lt;&gt;"",H174&gt;0),"✓","⚠ missing")</f>
        <v/>
      </c>
      <c r="L174" s="44" t="n"/>
      <c r="M174" s="45" t="n"/>
      <c r="N174" s="39" t="n"/>
      <c r="O174" s="46" t="n"/>
    </row>
    <row r="175">
      <c r="H175" s="47">
        <f>IF(AND(E175&lt;&gt;"",F175&lt;&gt;""), F175-E175, IF(G175&lt;&gt;"", G175, 0))</f>
        <v/>
      </c>
      <c r="I175" s="48">
        <f>H175*Settings!$B$5</f>
        <v/>
      </c>
      <c r="K175">
        <f>IF(AND(A175&lt;&gt;"",C175&lt;&gt;"",D175&lt;&gt;"",H175&gt;0),"✓","⚠ missing")</f>
        <v/>
      </c>
      <c r="L175" s="44" t="n"/>
      <c r="M175" s="45" t="n"/>
      <c r="N175" s="39" t="n"/>
      <c r="O175" s="46" t="n"/>
    </row>
    <row r="176">
      <c r="H176" s="47">
        <f>IF(AND(E176&lt;&gt;"",F176&lt;&gt;""), F176-E176, IF(G176&lt;&gt;"", G176, 0))</f>
        <v/>
      </c>
      <c r="I176" s="48">
        <f>H176*Settings!$B$5</f>
        <v/>
      </c>
      <c r="K176">
        <f>IF(AND(A176&lt;&gt;"",C176&lt;&gt;"",D176&lt;&gt;"",H176&gt;0),"✓","⚠ missing")</f>
        <v/>
      </c>
      <c r="L176" s="44" t="n"/>
      <c r="M176" s="45" t="n"/>
      <c r="N176" s="39" t="n"/>
      <c r="O176" s="46" t="n"/>
    </row>
    <row r="177">
      <c r="H177" s="47">
        <f>IF(AND(E177&lt;&gt;"",F177&lt;&gt;""), F177-E177, IF(G177&lt;&gt;"", G177, 0))</f>
        <v/>
      </c>
      <c r="I177" s="48">
        <f>H177*Settings!$B$5</f>
        <v/>
      </c>
      <c r="K177">
        <f>IF(AND(A177&lt;&gt;"",C177&lt;&gt;"",D177&lt;&gt;"",H177&gt;0),"✓","⚠ missing")</f>
        <v/>
      </c>
      <c r="L177" s="44" t="n"/>
      <c r="M177" s="45" t="n"/>
      <c r="N177" s="39" t="n"/>
      <c r="O177" s="46" t="n"/>
    </row>
    <row r="178">
      <c r="H178" s="47">
        <f>IF(AND(E178&lt;&gt;"",F178&lt;&gt;""), F178-E178, IF(G178&lt;&gt;"", G178, 0))</f>
        <v/>
      </c>
      <c r="I178" s="48">
        <f>H178*Settings!$B$5</f>
        <v/>
      </c>
      <c r="K178">
        <f>IF(AND(A178&lt;&gt;"",C178&lt;&gt;"",D178&lt;&gt;"",H178&gt;0),"✓","⚠ missing")</f>
        <v/>
      </c>
      <c r="L178" s="44" t="n"/>
      <c r="M178" s="45" t="n"/>
      <c r="N178" s="39" t="n"/>
      <c r="O178" s="46" t="n"/>
    </row>
    <row r="179">
      <c r="H179" s="47">
        <f>IF(AND(E179&lt;&gt;"",F179&lt;&gt;""), F179-E179, IF(G179&lt;&gt;"", G179, 0))</f>
        <v/>
      </c>
      <c r="I179" s="48">
        <f>H179*Settings!$B$5</f>
        <v/>
      </c>
      <c r="K179">
        <f>IF(AND(A179&lt;&gt;"",C179&lt;&gt;"",D179&lt;&gt;"",H179&gt;0),"✓","⚠ missing")</f>
        <v/>
      </c>
      <c r="L179" s="44" t="n"/>
      <c r="M179" s="45" t="n"/>
      <c r="N179" s="39" t="n"/>
      <c r="O179" s="46" t="n"/>
    </row>
    <row r="180">
      <c r="H180" s="47">
        <f>IF(AND(E180&lt;&gt;"",F180&lt;&gt;""), F180-E180, IF(G180&lt;&gt;"", G180, 0))</f>
        <v/>
      </c>
      <c r="I180" s="48">
        <f>H180*Settings!$B$5</f>
        <v/>
      </c>
      <c r="K180">
        <f>IF(AND(A180&lt;&gt;"",C180&lt;&gt;"",D180&lt;&gt;"",H180&gt;0),"✓","⚠ missing")</f>
        <v/>
      </c>
      <c r="L180" s="44" t="n"/>
      <c r="M180" s="45" t="n"/>
      <c r="N180" s="39" t="n"/>
      <c r="O180" s="46" t="n"/>
    </row>
    <row r="181">
      <c r="H181" s="47">
        <f>IF(AND(E181&lt;&gt;"",F181&lt;&gt;""), F181-E181, IF(G181&lt;&gt;"", G181, 0))</f>
        <v/>
      </c>
      <c r="I181" s="48">
        <f>H181*Settings!$B$5</f>
        <v/>
      </c>
      <c r="K181">
        <f>IF(AND(A181&lt;&gt;"",C181&lt;&gt;"",D181&lt;&gt;"",H181&gt;0),"✓","⚠ missing")</f>
        <v/>
      </c>
      <c r="L181" s="44" t="n"/>
      <c r="M181" s="45" t="n"/>
      <c r="N181" s="39" t="n"/>
      <c r="O181" s="46" t="n"/>
    </row>
    <row r="182">
      <c r="H182" s="47">
        <f>IF(AND(E182&lt;&gt;"",F182&lt;&gt;""), F182-E182, IF(G182&lt;&gt;"", G182, 0))</f>
        <v/>
      </c>
      <c r="I182" s="48">
        <f>H182*Settings!$B$5</f>
        <v/>
      </c>
      <c r="K182">
        <f>IF(AND(A182&lt;&gt;"",C182&lt;&gt;"",D182&lt;&gt;"",H182&gt;0),"✓","⚠ missing")</f>
        <v/>
      </c>
      <c r="L182" s="44" t="n"/>
      <c r="M182" s="45" t="n"/>
      <c r="N182" s="39" t="n"/>
      <c r="O182" s="46" t="n"/>
    </row>
    <row r="183">
      <c r="H183" s="47">
        <f>IF(AND(E183&lt;&gt;"",F183&lt;&gt;""), F183-E183, IF(G183&lt;&gt;"", G183, 0))</f>
        <v/>
      </c>
      <c r="I183" s="48">
        <f>H183*Settings!$B$5</f>
        <v/>
      </c>
      <c r="K183">
        <f>IF(AND(A183&lt;&gt;"",C183&lt;&gt;"",D183&lt;&gt;"",H183&gt;0),"✓","⚠ missing")</f>
        <v/>
      </c>
      <c r="L183" s="44" t="n"/>
      <c r="M183" s="45" t="n"/>
      <c r="N183" s="39" t="n"/>
      <c r="O183" s="46" t="n"/>
    </row>
    <row r="184">
      <c r="H184" s="47">
        <f>IF(AND(E184&lt;&gt;"",F184&lt;&gt;""), F184-E184, IF(G184&lt;&gt;"", G184, 0))</f>
        <v/>
      </c>
      <c r="I184" s="48">
        <f>H184*Settings!$B$5</f>
        <v/>
      </c>
      <c r="K184">
        <f>IF(AND(A184&lt;&gt;"",C184&lt;&gt;"",D184&lt;&gt;"",H184&gt;0),"✓","⚠ missing")</f>
        <v/>
      </c>
      <c r="L184" s="44" t="n"/>
      <c r="M184" s="45" t="n"/>
      <c r="N184" s="39" t="n"/>
      <c r="O184" s="46" t="n"/>
    </row>
    <row r="185">
      <c r="H185" s="47">
        <f>IF(AND(E185&lt;&gt;"",F185&lt;&gt;""), F185-E185, IF(G185&lt;&gt;"", G185, 0))</f>
        <v/>
      </c>
      <c r="I185" s="48">
        <f>H185*Settings!$B$5</f>
        <v/>
      </c>
      <c r="K185">
        <f>IF(AND(A185&lt;&gt;"",C185&lt;&gt;"",D185&lt;&gt;"",H185&gt;0),"✓","⚠ missing")</f>
        <v/>
      </c>
      <c r="L185" s="44" t="n"/>
      <c r="M185" s="45" t="n"/>
      <c r="N185" s="39" t="n"/>
      <c r="O185" s="46" t="n"/>
    </row>
    <row r="186">
      <c r="H186" s="47">
        <f>IF(AND(E186&lt;&gt;"",F186&lt;&gt;""), F186-E186, IF(G186&lt;&gt;"", G186, 0))</f>
        <v/>
      </c>
      <c r="I186" s="48">
        <f>H186*Settings!$B$5</f>
        <v/>
      </c>
      <c r="K186">
        <f>IF(AND(A186&lt;&gt;"",C186&lt;&gt;"",D186&lt;&gt;"",H186&gt;0),"✓","⚠ missing")</f>
        <v/>
      </c>
      <c r="L186" s="44" t="n"/>
      <c r="M186" s="45" t="n"/>
      <c r="N186" s="39" t="n"/>
      <c r="O186" s="46" t="n"/>
    </row>
    <row r="187">
      <c r="H187" s="47">
        <f>IF(AND(E187&lt;&gt;"",F187&lt;&gt;""), F187-E187, IF(G187&lt;&gt;"", G187, 0))</f>
        <v/>
      </c>
      <c r="I187" s="48">
        <f>H187*Settings!$B$5</f>
        <v/>
      </c>
      <c r="K187">
        <f>IF(AND(A187&lt;&gt;"",C187&lt;&gt;"",D187&lt;&gt;"",H187&gt;0),"✓","⚠ missing")</f>
        <v/>
      </c>
      <c r="L187" s="44" t="n"/>
      <c r="M187" s="45" t="n"/>
      <c r="N187" s="39" t="n"/>
      <c r="O187" s="46" t="n"/>
    </row>
    <row r="188">
      <c r="H188" s="47">
        <f>IF(AND(E188&lt;&gt;"",F188&lt;&gt;""), F188-E188, IF(G188&lt;&gt;"", G188, 0))</f>
        <v/>
      </c>
      <c r="I188" s="48">
        <f>H188*Settings!$B$5</f>
        <v/>
      </c>
      <c r="K188">
        <f>IF(AND(A188&lt;&gt;"",C188&lt;&gt;"",D188&lt;&gt;"",H188&gt;0),"✓","⚠ missing")</f>
        <v/>
      </c>
      <c r="L188" s="44" t="n"/>
      <c r="M188" s="45" t="n"/>
      <c r="N188" s="39" t="n"/>
      <c r="O188" s="46" t="n"/>
    </row>
    <row r="189">
      <c r="H189" s="47">
        <f>IF(AND(E189&lt;&gt;"",F189&lt;&gt;""), F189-E189, IF(G189&lt;&gt;"", G189, 0))</f>
        <v/>
      </c>
      <c r="I189" s="48">
        <f>H189*Settings!$B$5</f>
        <v/>
      </c>
      <c r="K189">
        <f>IF(AND(A189&lt;&gt;"",C189&lt;&gt;"",D189&lt;&gt;"",H189&gt;0),"✓","⚠ missing")</f>
        <v/>
      </c>
      <c r="L189" s="44" t="n"/>
      <c r="M189" s="45" t="n"/>
      <c r="N189" s="39" t="n"/>
      <c r="O189" s="46" t="n"/>
    </row>
    <row r="190">
      <c r="H190" s="47">
        <f>IF(AND(E190&lt;&gt;"",F190&lt;&gt;""), F190-E190, IF(G190&lt;&gt;"", G190, 0))</f>
        <v/>
      </c>
      <c r="I190" s="48">
        <f>H190*Settings!$B$5</f>
        <v/>
      </c>
      <c r="K190">
        <f>IF(AND(A190&lt;&gt;"",C190&lt;&gt;"",D190&lt;&gt;"",H190&gt;0),"✓","⚠ missing")</f>
        <v/>
      </c>
      <c r="L190" s="44" t="n"/>
      <c r="M190" s="45" t="n"/>
      <c r="N190" s="39" t="n"/>
      <c r="O190" s="46" t="n"/>
    </row>
    <row r="191">
      <c r="H191" s="47">
        <f>IF(AND(E191&lt;&gt;"",F191&lt;&gt;""), F191-E191, IF(G191&lt;&gt;"", G191, 0))</f>
        <v/>
      </c>
      <c r="I191" s="48">
        <f>H191*Settings!$B$5</f>
        <v/>
      </c>
      <c r="K191">
        <f>IF(AND(A191&lt;&gt;"",C191&lt;&gt;"",D191&lt;&gt;"",H191&gt;0),"✓","⚠ missing")</f>
        <v/>
      </c>
      <c r="L191" s="44" t="n"/>
      <c r="M191" s="45" t="n"/>
      <c r="N191" s="39" t="n"/>
      <c r="O191" s="46" t="n"/>
    </row>
    <row r="192">
      <c r="H192" s="47">
        <f>IF(AND(E192&lt;&gt;"",F192&lt;&gt;""), F192-E192, IF(G192&lt;&gt;"", G192, 0))</f>
        <v/>
      </c>
      <c r="I192" s="48">
        <f>H192*Settings!$B$5</f>
        <v/>
      </c>
      <c r="K192">
        <f>IF(AND(A192&lt;&gt;"",C192&lt;&gt;"",D192&lt;&gt;"",H192&gt;0),"✓","⚠ missing")</f>
        <v/>
      </c>
      <c r="L192" s="44" t="n"/>
      <c r="M192" s="45" t="n"/>
      <c r="N192" s="39" t="n"/>
      <c r="O192" s="46" t="n"/>
    </row>
    <row r="193">
      <c r="H193" s="47">
        <f>IF(AND(E193&lt;&gt;"",F193&lt;&gt;""), F193-E193, IF(G193&lt;&gt;"", G193, 0))</f>
        <v/>
      </c>
      <c r="I193" s="48">
        <f>H193*Settings!$B$5</f>
        <v/>
      </c>
      <c r="K193">
        <f>IF(AND(A193&lt;&gt;"",C193&lt;&gt;"",D193&lt;&gt;"",H193&gt;0),"✓","⚠ missing")</f>
        <v/>
      </c>
      <c r="L193" s="44" t="n"/>
      <c r="M193" s="45" t="n"/>
      <c r="N193" s="39" t="n"/>
      <c r="O193" s="46" t="n"/>
    </row>
    <row r="194">
      <c r="H194" s="47">
        <f>IF(AND(E194&lt;&gt;"",F194&lt;&gt;""), F194-E194, IF(G194&lt;&gt;"", G194, 0))</f>
        <v/>
      </c>
      <c r="I194" s="48">
        <f>H194*Settings!$B$5</f>
        <v/>
      </c>
      <c r="K194">
        <f>IF(AND(A194&lt;&gt;"",C194&lt;&gt;"",D194&lt;&gt;"",H194&gt;0),"✓","⚠ missing")</f>
        <v/>
      </c>
      <c r="L194" s="44" t="n"/>
      <c r="M194" s="45" t="n"/>
      <c r="N194" s="39" t="n"/>
      <c r="O194" s="46" t="n"/>
    </row>
    <row r="195">
      <c r="H195" s="47">
        <f>IF(AND(E195&lt;&gt;"",F195&lt;&gt;""), F195-E195, IF(G195&lt;&gt;"", G195, 0))</f>
        <v/>
      </c>
      <c r="I195" s="48">
        <f>H195*Settings!$B$5</f>
        <v/>
      </c>
      <c r="K195">
        <f>IF(AND(A195&lt;&gt;"",C195&lt;&gt;"",D195&lt;&gt;"",H195&gt;0),"✓","⚠ missing")</f>
        <v/>
      </c>
      <c r="L195" s="44" t="n"/>
      <c r="M195" s="45" t="n"/>
      <c r="N195" s="39" t="n"/>
      <c r="O195" s="46" t="n"/>
    </row>
    <row r="196">
      <c r="H196" s="47">
        <f>IF(AND(E196&lt;&gt;"",F196&lt;&gt;""), F196-E196, IF(G196&lt;&gt;"", G196, 0))</f>
        <v/>
      </c>
      <c r="I196" s="48">
        <f>H196*Settings!$B$5</f>
        <v/>
      </c>
      <c r="K196">
        <f>IF(AND(A196&lt;&gt;"",C196&lt;&gt;"",D196&lt;&gt;"",H196&gt;0),"✓","⚠ missing")</f>
        <v/>
      </c>
      <c r="L196" s="44" t="n"/>
      <c r="M196" s="45" t="n"/>
      <c r="N196" s="39" t="n"/>
      <c r="O196" s="46" t="n"/>
    </row>
    <row r="197">
      <c r="H197" s="47">
        <f>IF(AND(E197&lt;&gt;"",F197&lt;&gt;""), F197-E197, IF(G197&lt;&gt;"", G197, 0))</f>
        <v/>
      </c>
      <c r="I197" s="48">
        <f>H197*Settings!$B$5</f>
        <v/>
      </c>
      <c r="K197">
        <f>IF(AND(A197&lt;&gt;"",C197&lt;&gt;"",D197&lt;&gt;"",H197&gt;0),"✓","⚠ missing")</f>
        <v/>
      </c>
      <c r="L197" s="44" t="n"/>
      <c r="M197" s="45" t="n"/>
      <c r="N197" s="39" t="n"/>
      <c r="O197" s="46" t="n"/>
    </row>
    <row r="198">
      <c r="H198" s="47">
        <f>IF(AND(E198&lt;&gt;"",F198&lt;&gt;""), F198-E198, IF(G198&lt;&gt;"", G198, 0))</f>
        <v/>
      </c>
      <c r="I198" s="48">
        <f>H198*Settings!$B$5</f>
        <v/>
      </c>
      <c r="K198">
        <f>IF(AND(A198&lt;&gt;"",C198&lt;&gt;"",D198&lt;&gt;"",H198&gt;0),"✓","⚠ missing")</f>
        <v/>
      </c>
      <c r="L198" s="44" t="n"/>
      <c r="M198" s="45" t="n"/>
      <c r="N198" s="39" t="n"/>
      <c r="O198" s="46" t="n"/>
    </row>
    <row r="199">
      <c r="H199" s="47">
        <f>IF(AND(E199&lt;&gt;"",F199&lt;&gt;""), F199-E199, IF(G199&lt;&gt;"", G199, 0))</f>
        <v/>
      </c>
      <c r="I199" s="48">
        <f>H199*Settings!$B$5</f>
        <v/>
      </c>
      <c r="K199">
        <f>IF(AND(A199&lt;&gt;"",C199&lt;&gt;"",D199&lt;&gt;"",H199&gt;0),"✓","⚠ missing")</f>
        <v/>
      </c>
      <c r="L199" s="44" t="n"/>
      <c r="M199" s="45" t="n"/>
      <c r="N199" s="39" t="n"/>
      <c r="O199" s="46" t="n"/>
    </row>
    <row r="200">
      <c r="H200" s="47">
        <f>IF(AND(E200&lt;&gt;"",F200&lt;&gt;""), F200-E200, IF(G200&lt;&gt;"", G200, 0))</f>
        <v/>
      </c>
      <c r="I200" s="48">
        <f>H200*Settings!$B$5</f>
        <v/>
      </c>
      <c r="K200">
        <f>IF(AND(A200&lt;&gt;"",C200&lt;&gt;"",D200&lt;&gt;"",H200&gt;0),"✓","⚠ missing")</f>
        <v/>
      </c>
      <c r="L200" s="44" t="n"/>
      <c r="M200" s="45" t="n"/>
      <c r="N200" s="39" t="n"/>
      <c r="O200" s="46" t="n"/>
    </row>
    <row r="201">
      <c r="H201" s="47">
        <f>IF(AND(E201&lt;&gt;"",F201&lt;&gt;""), F201-E201, IF(G201&lt;&gt;"", G201, 0))</f>
        <v/>
      </c>
      <c r="I201" s="48">
        <f>H201*Settings!$B$5</f>
        <v/>
      </c>
      <c r="K201">
        <f>IF(AND(A201&lt;&gt;"",C201&lt;&gt;"",D201&lt;&gt;"",H201&gt;0),"✓","⚠ missing")</f>
        <v/>
      </c>
      <c r="L201" s="44" t="n"/>
      <c r="M201" s="45" t="n"/>
      <c r="N201" s="39" t="n"/>
      <c r="O201" s="46" t="n"/>
    </row>
    <row r="202">
      <c r="H202" s="47">
        <f>IF(AND(E202&lt;&gt;"",F202&lt;&gt;""), F202-E202, IF(G202&lt;&gt;"", G202, 0))</f>
        <v/>
      </c>
      <c r="I202" s="48">
        <f>H202*Settings!$B$5</f>
        <v/>
      </c>
      <c r="K202">
        <f>IF(AND(A202&lt;&gt;"",C202&lt;&gt;"",D202&lt;&gt;"",H202&gt;0),"✓","⚠ missing")</f>
        <v/>
      </c>
      <c r="L202" s="44" t="n"/>
      <c r="M202" s="45" t="n"/>
      <c r="N202" s="39" t="n"/>
      <c r="O202" s="46" t="n"/>
    </row>
    <row r="203">
      <c r="H203" s="47">
        <f>IF(AND(E203&lt;&gt;"",F203&lt;&gt;""), F203-E203, IF(G203&lt;&gt;"", G203, 0))</f>
        <v/>
      </c>
      <c r="I203" s="48">
        <f>H203*Settings!$B$5</f>
        <v/>
      </c>
      <c r="K203">
        <f>IF(AND(A203&lt;&gt;"",C203&lt;&gt;"",D203&lt;&gt;"",H203&gt;0),"✓","⚠ missing")</f>
        <v/>
      </c>
      <c r="L203" s="44" t="n"/>
      <c r="M203" s="45" t="n"/>
      <c r="N203" s="39" t="n"/>
      <c r="O203" s="46" t="n"/>
    </row>
    <row r="204">
      <c r="H204" s="47">
        <f>IF(AND(E204&lt;&gt;"",F204&lt;&gt;""), F204-E204, IF(G204&lt;&gt;"", G204, 0))</f>
        <v/>
      </c>
      <c r="I204" s="48">
        <f>H204*Settings!$B$5</f>
        <v/>
      </c>
      <c r="K204">
        <f>IF(AND(A204&lt;&gt;"",C204&lt;&gt;"",D204&lt;&gt;"",H204&gt;0),"✓","⚠ missing")</f>
        <v/>
      </c>
      <c r="L204" s="44" t="n"/>
      <c r="M204" s="45" t="n"/>
      <c r="N204" s="39" t="n"/>
      <c r="O204" s="46" t="n"/>
    </row>
    <row r="205">
      <c r="H205" s="47">
        <f>IF(AND(E205&lt;&gt;"",F205&lt;&gt;""), F205-E205, IF(G205&lt;&gt;"", G205, 0))</f>
        <v/>
      </c>
      <c r="I205" s="48">
        <f>H205*Settings!$B$5</f>
        <v/>
      </c>
      <c r="K205">
        <f>IF(AND(A205&lt;&gt;"",C205&lt;&gt;"",D205&lt;&gt;"",H205&gt;0),"✓","⚠ missing")</f>
        <v/>
      </c>
      <c r="L205" s="44" t="n"/>
      <c r="M205" s="45" t="n"/>
      <c r="N205" s="39" t="n"/>
      <c r="O205" s="46" t="n"/>
    </row>
    <row r="206">
      <c r="H206" s="47">
        <f>IF(AND(E206&lt;&gt;"",F206&lt;&gt;""), F206-E206, IF(G206&lt;&gt;"", G206, 0))</f>
        <v/>
      </c>
      <c r="I206" s="48">
        <f>H206*Settings!$B$5</f>
        <v/>
      </c>
      <c r="K206">
        <f>IF(AND(A206&lt;&gt;"",C206&lt;&gt;"",D206&lt;&gt;"",H206&gt;0),"✓","⚠ missing")</f>
        <v/>
      </c>
      <c r="L206" s="44" t="n"/>
      <c r="M206" s="45" t="n"/>
      <c r="N206" s="39" t="n"/>
      <c r="O206" s="46" t="n"/>
    </row>
    <row r="207">
      <c r="H207" s="47">
        <f>IF(AND(E207&lt;&gt;"",F207&lt;&gt;""), F207-E207, IF(G207&lt;&gt;"", G207, 0))</f>
        <v/>
      </c>
      <c r="I207" s="48">
        <f>H207*Settings!$B$5</f>
        <v/>
      </c>
      <c r="K207">
        <f>IF(AND(A207&lt;&gt;"",C207&lt;&gt;"",D207&lt;&gt;"",H207&gt;0),"✓","⚠ missing")</f>
        <v/>
      </c>
      <c r="L207" s="44" t="n"/>
      <c r="M207" s="45" t="n"/>
      <c r="N207" s="39" t="n"/>
      <c r="O207" s="46" t="n"/>
    </row>
    <row r="208">
      <c r="H208" s="47">
        <f>IF(AND(E208&lt;&gt;"",F208&lt;&gt;""), F208-E208, IF(G208&lt;&gt;"", G208, 0))</f>
        <v/>
      </c>
      <c r="I208" s="48">
        <f>H208*Settings!$B$5</f>
        <v/>
      </c>
      <c r="K208">
        <f>IF(AND(A208&lt;&gt;"",C208&lt;&gt;"",D208&lt;&gt;"",H208&gt;0),"✓","⚠ missing")</f>
        <v/>
      </c>
      <c r="L208" s="44" t="n"/>
      <c r="M208" s="45" t="n"/>
      <c r="N208" s="39" t="n"/>
      <c r="O208" s="46" t="n"/>
    </row>
    <row r="209">
      <c r="H209" s="47">
        <f>IF(AND(E209&lt;&gt;"",F209&lt;&gt;""), F209-E209, IF(G209&lt;&gt;"", G209, 0))</f>
        <v/>
      </c>
      <c r="I209" s="48">
        <f>H209*Settings!$B$5</f>
        <v/>
      </c>
      <c r="K209">
        <f>IF(AND(A209&lt;&gt;"",C209&lt;&gt;"",D209&lt;&gt;"",H209&gt;0),"✓","⚠ missing")</f>
        <v/>
      </c>
      <c r="L209" s="44" t="n"/>
      <c r="M209" s="45" t="n"/>
      <c r="N209" s="39" t="n"/>
      <c r="O209" s="46" t="n"/>
    </row>
    <row r="210">
      <c r="H210" s="47">
        <f>IF(AND(E210&lt;&gt;"",F210&lt;&gt;""), F210-E210, IF(G210&lt;&gt;"", G210, 0))</f>
        <v/>
      </c>
      <c r="I210" s="48">
        <f>H210*Settings!$B$5</f>
        <v/>
      </c>
      <c r="K210">
        <f>IF(AND(A210&lt;&gt;"",C210&lt;&gt;"",D210&lt;&gt;"",H210&gt;0),"✓","⚠ missing")</f>
        <v/>
      </c>
      <c r="L210" s="44" t="n"/>
      <c r="M210" s="45" t="n"/>
      <c r="N210" s="39" t="n"/>
      <c r="O210" s="46" t="n"/>
    </row>
    <row r="211">
      <c r="H211" s="47">
        <f>IF(AND(E211&lt;&gt;"",F211&lt;&gt;""), F211-E211, IF(G211&lt;&gt;"", G211, 0))</f>
        <v/>
      </c>
      <c r="I211" s="48">
        <f>H211*Settings!$B$5</f>
        <v/>
      </c>
      <c r="K211">
        <f>IF(AND(A211&lt;&gt;"",C211&lt;&gt;"",D211&lt;&gt;"",H211&gt;0),"✓","⚠ missing")</f>
        <v/>
      </c>
      <c r="L211" s="44" t="n"/>
      <c r="M211" s="45" t="n"/>
      <c r="N211" s="39" t="n"/>
      <c r="O211" s="46" t="n"/>
    </row>
    <row r="212">
      <c r="H212" s="47">
        <f>IF(AND(E212&lt;&gt;"",F212&lt;&gt;""), F212-E212, IF(G212&lt;&gt;"", G212, 0))</f>
        <v/>
      </c>
      <c r="I212" s="48">
        <f>H212*Settings!$B$5</f>
        <v/>
      </c>
      <c r="K212">
        <f>IF(AND(A212&lt;&gt;"",C212&lt;&gt;"",D212&lt;&gt;"",H212&gt;0),"✓","⚠ missing")</f>
        <v/>
      </c>
      <c r="L212" s="44" t="n"/>
      <c r="M212" s="45" t="n"/>
      <c r="N212" s="39" t="n"/>
      <c r="O212" s="46" t="n"/>
    </row>
    <row r="213">
      <c r="H213" s="47">
        <f>IF(AND(E213&lt;&gt;"",F213&lt;&gt;""), F213-E213, IF(G213&lt;&gt;"", G213, 0))</f>
        <v/>
      </c>
      <c r="I213" s="48">
        <f>H213*Settings!$B$5</f>
        <v/>
      </c>
      <c r="K213">
        <f>IF(AND(A213&lt;&gt;"",C213&lt;&gt;"",D213&lt;&gt;"",H213&gt;0),"✓","⚠ missing")</f>
        <v/>
      </c>
      <c r="L213" s="44" t="n"/>
      <c r="M213" s="45" t="n"/>
      <c r="N213" s="39" t="n"/>
      <c r="O213" s="46" t="n"/>
    </row>
    <row r="214">
      <c r="H214" s="47">
        <f>IF(AND(E214&lt;&gt;"",F214&lt;&gt;""), F214-E214, IF(G214&lt;&gt;"", G214, 0))</f>
        <v/>
      </c>
      <c r="I214" s="48">
        <f>H214*Settings!$B$5</f>
        <v/>
      </c>
      <c r="K214">
        <f>IF(AND(A214&lt;&gt;"",C214&lt;&gt;"",D214&lt;&gt;"",H214&gt;0),"✓","⚠ missing")</f>
        <v/>
      </c>
      <c r="L214" s="44" t="n"/>
      <c r="M214" s="45" t="n"/>
      <c r="N214" s="39" t="n"/>
      <c r="O214" s="46" t="n"/>
    </row>
    <row r="215">
      <c r="H215" s="47">
        <f>IF(AND(E215&lt;&gt;"",F215&lt;&gt;""), F215-E215, IF(G215&lt;&gt;"", G215, 0))</f>
        <v/>
      </c>
      <c r="I215" s="48">
        <f>H215*Settings!$B$5</f>
        <v/>
      </c>
      <c r="K215">
        <f>IF(AND(A215&lt;&gt;"",C215&lt;&gt;"",D215&lt;&gt;"",H215&gt;0),"✓","⚠ missing")</f>
        <v/>
      </c>
      <c r="L215" s="44" t="n"/>
      <c r="M215" s="45" t="n"/>
      <c r="N215" s="39" t="n"/>
      <c r="O215" s="46" t="n"/>
    </row>
    <row r="216">
      <c r="H216" s="47">
        <f>IF(AND(E216&lt;&gt;"",F216&lt;&gt;""), F216-E216, IF(G216&lt;&gt;"", G216, 0))</f>
        <v/>
      </c>
      <c r="I216" s="48">
        <f>H216*Settings!$B$5</f>
        <v/>
      </c>
      <c r="K216">
        <f>IF(AND(A216&lt;&gt;"",C216&lt;&gt;"",D216&lt;&gt;"",H216&gt;0),"✓","⚠ missing")</f>
        <v/>
      </c>
      <c r="L216" s="44" t="n"/>
      <c r="M216" s="45" t="n"/>
      <c r="N216" s="39" t="n"/>
      <c r="O216" s="46" t="n"/>
    </row>
    <row r="217">
      <c r="H217" s="47">
        <f>IF(AND(E217&lt;&gt;"",F217&lt;&gt;""), F217-E217, IF(G217&lt;&gt;"", G217, 0))</f>
        <v/>
      </c>
      <c r="I217" s="48">
        <f>H217*Settings!$B$5</f>
        <v/>
      </c>
      <c r="K217">
        <f>IF(AND(A217&lt;&gt;"",C217&lt;&gt;"",D217&lt;&gt;"",H217&gt;0),"✓","⚠ missing")</f>
        <v/>
      </c>
      <c r="L217" s="44" t="n"/>
      <c r="M217" s="45" t="n"/>
      <c r="N217" s="39" t="n"/>
      <c r="O217" s="46" t="n"/>
    </row>
    <row r="218">
      <c r="H218" s="47">
        <f>IF(AND(E218&lt;&gt;"",F218&lt;&gt;""), F218-E218, IF(G218&lt;&gt;"", G218, 0))</f>
        <v/>
      </c>
      <c r="I218" s="48">
        <f>H218*Settings!$B$5</f>
        <v/>
      </c>
      <c r="K218">
        <f>IF(AND(A218&lt;&gt;"",C218&lt;&gt;"",D218&lt;&gt;"",H218&gt;0),"✓","⚠ missing")</f>
        <v/>
      </c>
      <c r="L218" s="44" t="n"/>
      <c r="M218" s="45" t="n"/>
      <c r="N218" s="39" t="n"/>
      <c r="O218" s="46" t="n"/>
    </row>
    <row r="219">
      <c r="H219" s="47">
        <f>IF(AND(E219&lt;&gt;"",F219&lt;&gt;""), F219-E219, IF(G219&lt;&gt;"", G219, 0))</f>
        <v/>
      </c>
      <c r="I219" s="48">
        <f>H219*Settings!$B$5</f>
        <v/>
      </c>
      <c r="K219">
        <f>IF(AND(A219&lt;&gt;"",C219&lt;&gt;"",D219&lt;&gt;"",H219&gt;0),"✓","⚠ missing")</f>
        <v/>
      </c>
      <c r="L219" s="44" t="n"/>
      <c r="M219" s="45" t="n"/>
      <c r="N219" s="39" t="n"/>
      <c r="O219" s="46" t="n"/>
    </row>
    <row r="220">
      <c r="H220" s="47">
        <f>IF(AND(E220&lt;&gt;"",F220&lt;&gt;""), F220-E220, IF(G220&lt;&gt;"", G220, 0))</f>
        <v/>
      </c>
      <c r="I220" s="48">
        <f>H220*Settings!$B$5</f>
        <v/>
      </c>
      <c r="K220">
        <f>IF(AND(A220&lt;&gt;"",C220&lt;&gt;"",D220&lt;&gt;"",H220&gt;0),"✓","⚠ missing")</f>
        <v/>
      </c>
      <c r="L220" s="44" t="n"/>
      <c r="M220" s="45" t="n"/>
      <c r="N220" s="39" t="n"/>
      <c r="O220" s="46" t="n"/>
    </row>
    <row r="221">
      <c r="H221" s="47">
        <f>IF(AND(E221&lt;&gt;"",F221&lt;&gt;""), F221-E221, IF(G221&lt;&gt;"", G221, 0))</f>
        <v/>
      </c>
      <c r="I221" s="48">
        <f>H221*Settings!$B$5</f>
        <v/>
      </c>
      <c r="K221">
        <f>IF(AND(A221&lt;&gt;"",C221&lt;&gt;"",D221&lt;&gt;"",H221&gt;0),"✓","⚠ missing")</f>
        <v/>
      </c>
      <c r="L221" s="44" t="n"/>
      <c r="M221" s="45" t="n"/>
      <c r="N221" s="39" t="n"/>
      <c r="O221" s="46" t="n"/>
    </row>
    <row r="222">
      <c r="H222" s="47">
        <f>IF(AND(E222&lt;&gt;"",F222&lt;&gt;""), F222-E222, IF(G222&lt;&gt;"", G222, 0))</f>
        <v/>
      </c>
      <c r="I222" s="48">
        <f>H222*Settings!$B$5</f>
        <v/>
      </c>
      <c r="K222">
        <f>IF(AND(A222&lt;&gt;"",C222&lt;&gt;"",D222&lt;&gt;"",H222&gt;0),"✓","⚠ missing")</f>
        <v/>
      </c>
      <c r="L222" s="44" t="n"/>
      <c r="M222" s="45" t="n"/>
      <c r="N222" s="39" t="n"/>
      <c r="O222" s="46" t="n"/>
    </row>
    <row r="223">
      <c r="H223" s="47">
        <f>IF(AND(E223&lt;&gt;"",F223&lt;&gt;""), F223-E223, IF(G223&lt;&gt;"", G223, 0))</f>
        <v/>
      </c>
      <c r="I223" s="48">
        <f>H223*Settings!$B$5</f>
        <v/>
      </c>
      <c r="K223">
        <f>IF(AND(A223&lt;&gt;"",C223&lt;&gt;"",D223&lt;&gt;"",H223&gt;0),"✓","⚠ missing")</f>
        <v/>
      </c>
      <c r="L223" s="44" t="n"/>
      <c r="M223" s="45" t="n"/>
      <c r="N223" s="39" t="n"/>
      <c r="O223" s="46" t="n"/>
    </row>
    <row r="224">
      <c r="H224" s="47">
        <f>IF(AND(E224&lt;&gt;"",F224&lt;&gt;""), F224-E224, IF(G224&lt;&gt;"", G224, 0))</f>
        <v/>
      </c>
      <c r="I224" s="48">
        <f>H224*Settings!$B$5</f>
        <v/>
      </c>
      <c r="K224">
        <f>IF(AND(A224&lt;&gt;"",C224&lt;&gt;"",D224&lt;&gt;"",H224&gt;0),"✓","⚠ missing")</f>
        <v/>
      </c>
      <c r="L224" s="44" t="n"/>
      <c r="M224" s="45" t="n"/>
      <c r="N224" s="39" t="n"/>
      <c r="O224" s="46" t="n"/>
    </row>
    <row r="225">
      <c r="H225" s="47">
        <f>IF(AND(E225&lt;&gt;"",F225&lt;&gt;""), F225-E225, IF(G225&lt;&gt;"", G225, 0))</f>
        <v/>
      </c>
      <c r="I225" s="48">
        <f>H225*Settings!$B$5</f>
        <v/>
      </c>
      <c r="K225">
        <f>IF(AND(A225&lt;&gt;"",C225&lt;&gt;"",D225&lt;&gt;"",H225&gt;0),"✓","⚠ missing")</f>
        <v/>
      </c>
      <c r="L225" s="44" t="n"/>
      <c r="M225" s="45" t="n"/>
      <c r="N225" s="39" t="n"/>
      <c r="O225" s="46" t="n"/>
    </row>
    <row r="226">
      <c r="H226" s="47">
        <f>IF(AND(E226&lt;&gt;"",F226&lt;&gt;""), F226-E226, IF(G226&lt;&gt;"", G226, 0))</f>
        <v/>
      </c>
      <c r="I226" s="48">
        <f>H226*Settings!$B$5</f>
        <v/>
      </c>
      <c r="K226">
        <f>IF(AND(A226&lt;&gt;"",C226&lt;&gt;"",D226&lt;&gt;"",H226&gt;0),"✓","⚠ missing")</f>
        <v/>
      </c>
      <c r="L226" s="44" t="n"/>
      <c r="M226" s="45" t="n"/>
      <c r="N226" s="39" t="n"/>
      <c r="O226" s="46" t="n"/>
    </row>
    <row r="227">
      <c r="H227" s="47">
        <f>IF(AND(E227&lt;&gt;"",F227&lt;&gt;""), F227-E227, IF(G227&lt;&gt;"", G227, 0))</f>
        <v/>
      </c>
      <c r="I227" s="48">
        <f>H227*Settings!$B$5</f>
        <v/>
      </c>
      <c r="K227">
        <f>IF(AND(A227&lt;&gt;"",C227&lt;&gt;"",D227&lt;&gt;"",H227&gt;0),"✓","⚠ missing")</f>
        <v/>
      </c>
      <c r="L227" s="44" t="n"/>
      <c r="M227" s="45" t="n"/>
      <c r="N227" s="39" t="n"/>
      <c r="O227" s="46" t="n"/>
    </row>
    <row r="228">
      <c r="H228" s="47">
        <f>IF(AND(E228&lt;&gt;"",F228&lt;&gt;""), F228-E228, IF(G228&lt;&gt;"", G228, 0))</f>
        <v/>
      </c>
      <c r="I228" s="48">
        <f>H228*Settings!$B$5</f>
        <v/>
      </c>
      <c r="K228">
        <f>IF(AND(A228&lt;&gt;"",C228&lt;&gt;"",D228&lt;&gt;"",H228&gt;0),"✓","⚠ missing")</f>
        <v/>
      </c>
      <c r="L228" s="44" t="n"/>
      <c r="M228" s="45" t="n"/>
      <c r="N228" s="39" t="n"/>
      <c r="O228" s="46" t="n"/>
    </row>
    <row r="229">
      <c r="H229" s="47">
        <f>IF(AND(E229&lt;&gt;"",F229&lt;&gt;""), F229-E229, IF(G229&lt;&gt;"", G229, 0))</f>
        <v/>
      </c>
      <c r="I229" s="48">
        <f>H229*Settings!$B$5</f>
        <v/>
      </c>
      <c r="K229">
        <f>IF(AND(A229&lt;&gt;"",C229&lt;&gt;"",D229&lt;&gt;"",H229&gt;0),"✓","⚠ missing")</f>
        <v/>
      </c>
      <c r="L229" s="44" t="n"/>
      <c r="M229" s="45" t="n"/>
      <c r="N229" s="39" t="n"/>
      <c r="O229" s="46" t="n"/>
    </row>
    <row r="230">
      <c r="H230" s="47">
        <f>IF(AND(E230&lt;&gt;"",F230&lt;&gt;""), F230-E230, IF(G230&lt;&gt;"", G230, 0))</f>
        <v/>
      </c>
      <c r="I230" s="48">
        <f>H230*Settings!$B$5</f>
        <v/>
      </c>
      <c r="K230">
        <f>IF(AND(A230&lt;&gt;"",C230&lt;&gt;"",D230&lt;&gt;"",H230&gt;0),"✓","⚠ missing")</f>
        <v/>
      </c>
      <c r="L230" s="44" t="n"/>
      <c r="M230" s="45" t="n"/>
      <c r="N230" s="39" t="n"/>
      <c r="O230" s="46" t="n"/>
    </row>
    <row r="231">
      <c r="H231" s="47">
        <f>IF(AND(E231&lt;&gt;"",F231&lt;&gt;""), F231-E231, IF(G231&lt;&gt;"", G231, 0))</f>
        <v/>
      </c>
      <c r="I231" s="48">
        <f>H231*Settings!$B$5</f>
        <v/>
      </c>
      <c r="K231">
        <f>IF(AND(A231&lt;&gt;"",C231&lt;&gt;"",D231&lt;&gt;"",H231&gt;0),"✓","⚠ missing")</f>
        <v/>
      </c>
      <c r="L231" s="44" t="n"/>
      <c r="M231" s="45" t="n"/>
      <c r="N231" s="39" t="n"/>
      <c r="O231" s="46" t="n"/>
    </row>
    <row r="232">
      <c r="H232" s="47">
        <f>IF(AND(E232&lt;&gt;"",F232&lt;&gt;""), F232-E232, IF(G232&lt;&gt;"", G232, 0))</f>
        <v/>
      </c>
      <c r="I232" s="48">
        <f>H232*Settings!$B$5</f>
        <v/>
      </c>
      <c r="K232">
        <f>IF(AND(A232&lt;&gt;"",C232&lt;&gt;"",D232&lt;&gt;"",H232&gt;0),"✓","⚠ missing")</f>
        <v/>
      </c>
      <c r="L232" s="44" t="n"/>
      <c r="M232" s="45" t="n"/>
      <c r="N232" s="39" t="n"/>
      <c r="O232" s="46" t="n"/>
    </row>
    <row r="233">
      <c r="H233" s="47">
        <f>IF(AND(E233&lt;&gt;"",F233&lt;&gt;""), F233-E233, IF(G233&lt;&gt;"", G233, 0))</f>
        <v/>
      </c>
      <c r="I233" s="48">
        <f>H233*Settings!$B$5</f>
        <v/>
      </c>
      <c r="K233">
        <f>IF(AND(A233&lt;&gt;"",C233&lt;&gt;"",D233&lt;&gt;"",H233&gt;0),"✓","⚠ missing")</f>
        <v/>
      </c>
      <c r="L233" s="44" t="n"/>
      <c r="M233" s="45" t="n"/>
      <c r="N233" s="39" t="n"/>
      <c r="O233" s="46" t="n"/>
    </row>
    <row r="234">
      <c r="H234" s="47">
        <f>IF(AND(E234&lt;&gt;"",F234&lt;&gt;""), F234-E234, IF(G234&lt;&gt;"", G234, 0))</f>
        <v/>
      </c>
      <c r="I234" s="48">
        <f>H234*Settings!$B$5</f>
        <v/>
      </c>
      <c r="K234">
        <f>IF(AND(A234&lt;&gt;"",C234&lt;&gt;"",D234&lt;&gt;"",H234&gt;0),"✓","⚠ missing")</f>
        <v/>
      </c>
      <c r="L234" s="44" t="n"/>
      <c r="M234" s="45" t="n"/>
      <c r="N234" s="39" t="n"/>
      <c r="O234" s="46" t="n"/>
    </row>
    <row r="235">
      <c r="H235" s="47">
        <f>IF(AND(E235&lt;&gt;"",F235&lt;&gt;""), F235-E235, IF(G235&lt;&gt;"", G235, 0))</f>
        <v/>
      </c>
      <c r="I235" s="48">
        <f>H235*Settings!$B$5</f>
        <v/>
      </c>
      <c r="K235">
        <f>IF(AND(A235&lt;&gt;"",C235&lt;&gt;"",D235&lt;&gt;"",H235&gt;0),"✓","⚠ missing")</f>
        <v/>
      </c>
      <c r="L235" s="44" t="n"/>
      <c r="M235" s="45" t="n"/>
      <c r="N235" s="39" t="n"/>
      <c r="O235" s="46" t="n"/>
    </row>
    <row r="236">
      <c r="H236" s="47">
        <f>IF(AND(E236&lt;&gt;"",F236&lt;&gt;""), F236-E236, IF(G236&lt;&gt;"", G236, 0))</f>
        <v/>
      </c>
      <c r="I236" s="48">
        <f>H236*Settings!$B$5</f>
        <v/>
      </c>
      <c r="K236">
        <f>IF(AND(A236&lt;&gt;"",C236&lt;&gt;"",D236&lt;&gt;"",H236&gt;0),"✓","⚠ missing")</f>
        <v/>
      </c>
      <c r="L236" s="44" t="n"/>
      <c r="M236" s="45" t="n"/>
      <c r="N236" s="39" t="n"/>
      <c r="O236" s="46" t="n"/>
    </row>
    <row r="237">
      <c r="H237" s="47">
        <f>IF(AND(E237&lt;&gt;"",F237&lt;&gt;""), F237-E237, IF(G237&lt;&gt;"", G237, 0))</f>
        <v/>
      </c>
      <c r="I237" s="48">
        <f>H237*Settings!$B$5</f>
        <v/>
      </c>
      <c r="K237">
        <f>IF(AND(A237&lt;&gt;"",C237&lt;&gt;"",D237&lt;&gt;"",H237&gt;0),"✓","⚠ missing")</f>
        <v/>
      </c>
      <c r="L237" s="44" t="n"/>
      <c r="M237" s="45" t="n"/>
      <c r="N237" s="39" t="n"/>
      <c r="O237" s="46" t="n"/>
    </row>
    <row r="238">
      <c r="H238" s="47">
        <f>IF(AND(E238&lt;&gt;"",F238&lt;&gt;""), F238-E238, IF(G238&lt;&gt;"", G238, 0))</f>
        <v/>
      </c>
      <c r="I238" s="48">
        <f>H238*Settings!$B$5</f>
        <v/>
      </c>
      <c r="K238">
        <f>IF(AND(A238&lt;&gt;"",C238&lt;&gt;"",D238&lt;&gt;"",H238&gt;0),"✓","⚠ missing")</f>
        <v/>
      </c>
      <c r="L238" s="44" t="n"/>
      <c r="M238" s="45" t="n"/>
      <c r="N238" s="39" t="n"/>
      <c r="O238" s="46" t="n"/>
    </row>
    <row r="239">
      <c r="H239" s="47">
        <f>IF(AND(E239&lt;&gt;"",F239&lt;&gt;""), F239-E239, IF(G239&lt;&gt;"", G239, 0))</f>
        <v/>
      </c>
      <c r="I239" s="48">
        <f>H239*Settings!$B$5</f>
        <v/>
      </c>
      <c r="K239">
        <f>IF(AND(A239&lt;&gt;"",C239&lt;&gt;"",D239&lt;&gt;"",H239&gt;0),"✓","⚠ missing")</f>
        <v/>
      </c>
      <c r="L239" s="44" t="n"/>
      <c r="M239" s="45" t="n"/>
      <c r="N239" s="39" t="n"/>
      <c r="O239" s="46" t="n"/>
    </row>
    <row r="240">
      <c r="H240" s="47">
        <f>IF(AND(E240&lt;&gt;"",F240&lt;&gt;""), F240-E240, IF(G240&lt;&gt;"", G240, 0))</f>
        <v/>
      </c>
      <c r="I240" s="48">
        <f>H240*Settings!$B$5</f>
        <v/>
      </c>
      <c r="K240">
        <f>IF(AND(A240&lt;&gt;"",C240&lt;&gt;"",D240&lt;&gt;"",H240&gt;0),"✓","⚠ missing")</f>
        <v/>
      </c>
      <c r="L240" s="44" t="n"/>
      <c r="M240" s="45" t="n"/>
      <c r="N240" s="39" t="n"/>
      <c r="O240" s="46" t="n"/>
    </row>
    <row r="241">
      <c r="H241" s="47">
        <f>IF(AND(E241&lt;&gt;"",F241&lt;&gt;""), F241-E241, IF(G241&lt;&gt;"", G241, 0))</f>
        <v/>
      </c>
      <c r="I241" s="48">
        <f>H241*Settings!$B$5</f>
        <v/>
      </c>
      <c r="K241">
        <f>IF(AND(A241&lt;&gt;"",C241&lt;&gt;"",D241&lt;&gt;"",H241&gt;0),"✓","⚠ missing")</f>
        <v/>
      </c>
      <c r="L241" s="44" t="n"/>
      <c r="M241" s="45" t="n"/>
      <c r="N241" s="39" t="n"/>
      <c r="O241" s="46" t="n"/>
    </row>
    <row r="242">
      <c r="H242" s="47">
        <f>IF(AND(E242&lt;&gt;"",F242&lt;&gt;""), F242-E242, IF(G242&lt;&gt;"", G242, 0))</f>
        <v/>
      </c>
      <c r="I242" s="48">
        <f>H242*Settings!$B$5</f>
        <v/>
      </c>
      <c r="K242">
        <f>IF(AND(A242&lt;&gt;"",C242&lt;&gt;"",D242&lt;&gt;"",H242&gt;0),"✓","⚠ missing")</f>
        <v/>
      </c>
      <c r="L242" s="44" t="n"/>
      <c r="M242" s="45" t="n"/>
      <c r="N242" s="39" t="n"/>
      <c r="O242" s="46" t="n"/>
    </row>
    <row r="243">
      <c r="H243" s="47">
        <f>IF(AND(E243&lt;&gt;"",F243&lt;&gt;""), F243-E243, IF(G243&lt;&gt;"", G243, 0))</f>
        <v/>
      </c>
      <c r="I243" s="48">
        <f>H243*Settings!$B$5</f>
        <v/>
      </c>
      <c r="K243">
        <f>IF(AND(A243&lt;&gt;"",C243&lt;&gt;"",D243&lt;&gt;"",H243&gt;0),"✓","⚠ missing")</f>
        <v/>
      </c>
      <c r="L243" s="44" t="n"/>
      <c r="M243" s="45" t="n"/>
      <c r="N243" s="39" t="n"/>
      <c r="O243" s="46" t="n"/>
    </row>
    <row r="244">
      <c r="H244" s="47">
        <f>IF(AND(E244&lt;&gt;"",F244&lt;&gt;""), F244-E244, IF(G244&lt;&gt;"", G244, 0))</f>
        <v/>
      </c>
      <c r="I244" s="48">
        <f>H244*Settings!$B$5</f>
        <v/>
      </c>
      <c r="K244">
        <f>IF(AND(A244&lt;&gt;"",C244&lt;&gt;"",D244&lt;&gt;"",H244&gt;0),"✓","⚠ missing")</f>
        <v/>
      </c>
      <c r="L244" s="44" t="n"/>
      <c r="M244" s="45" t="n"/>
      <c r="N244" s="39" t="n"/>
      <c r="O244" s="46" t="n"/>
    </row>
    <row r="245">
      <c r="H245" s="47">
        <f>IF(AND(E245&lt;&gt;"",F245&lt;&gt;""), F245-E245, IF(G245&lt;&gt;"", G245, 0))</f>
        <v/>
      </c>
      <c r="I245" s="48">
        <f>H245*Settings!$B$5</f>
        <v/>
      </c>
      <c r="K245">
        <f>IF(AND(A245&lt;&gt;"",C245&lt;&gt;"",D245&lt;&gt;"",H245&gt;0),"✓","⚠ missing")</f>
        <v/>
      </c>
      <c r="L245" s="44" t="n"/>
      <c r="M245" s="45" t="n"/>
      <c r="N245" s="39" t="n"/>
      <c r="O245" s="46" t="n"/>
    </row>
    <row r="246">
      <c r="H246" s="47">
        <f>IF(AND(E246&lt;&gt;"",F246&lt;&gt;""), F246-E246, IF(G246&lt;&gt;"", G246, 0))</f>
        <v/>
      </c>
      <c r="I246" s="48">
        <f>H246*Settings!$B$5</f>
        <v/>
      </c>
      <c r="K246">
        <f>IF(AND(A246&lt;&gt;"",C246&lt;&gt;"",D246&lt;&gt;"",H246&gt;0),"✓","⚠ missing")</f>
        <v/>
      </c>
      <c r="L246" s="44" t="n"/>
      <c r="M246" s="45" t="n"/>
      <c r="N246" s="39" t="n"/>
      <c r="O246" s="46" t="n"/>
    </row>
    <row r="247">
      <c r="H247" s="47">
        <f>IF(AND(E247&lt;&gt;"",F247&lt;&gt;""), F247-E247, IF(G247&lt;&gt;"", G247, 0))</f>
        <v/>
      </c>
      <c r="I247" s="48">
        <f>H247*Settings!$B$5</f>
        <v/>
      </c>
      <c r="K247">
        <f>IF(AND(A247&lt;&gt;"",C247&lt;&gt;"",D247&lt;&gt;"",H247&gt;0),"✓","⚠ missing")</f>
        <v/>
      </c>
      <c r="L247" s="44" t="n"/>
      <c r="M247" s="45" t="n"/>
      <c r="N247" s="39" t="n"/>
      <c r="O247" s="46" t="n"/>
    </row>
    <row r="248">
      <c r="H248" s="47">
        <f>IF(AND(E248&lt;&gt;"",F248&lt;&gt;""), F248-E248, IF(G248&lt;&gt;"", G248, 0))</f>
        <v/>
      </c>
      <c r="I248" s="48">
        <f>H248*Settings!$B$5</f>
        <v/>
      </c>
      <c r="K248">
        <f>IF(AND(A248&lt;&gt;"",C248&lt;&gt;"",D248&lt;&gt;"",H248&gt;0),"✓","⚠ missing")</f>
        <v/>
      </c>
      <c r="L248" s="44" t="n"/>
      <c r="M248" s="45" t="n"/>
      <c r="N248" s="39" t="n"/>
      <c r="O248" s="46" t="n"/>
    </row>
    <row r="249">
      <c r="H249" s="47">
        <f>IF(AND(E249&lt;&gt;"",F249&lt;&gt;""), F249-E249, IF(G249&lt;&gt;"", G249, 0))</f>
        <v/>
      </c>
      <c r="I249" s="48">
        <f>H249*Settings!$B$5</f>
        <v/>
      </c>
      <c r="K249">
        <f>IF(AND(A249&lt;&gt;"",C249&lt;&gt;"",D249&lt;&gt;"",H249&gt;0),"✓","⚠ missing")</f>
        <v/>
      </c>
      <c r="L249" s="44" t="n"/>
      <c r="M249" s="45" t="n"/>
      <c r="N249" s="39" t="n"/>
      <c r="O249" s="46" t="n"/>
    </row>
    <row r="250">
      <c r="H250" s="47">
        <f>IF(AND(E250&lt;&gt;"",F250&lt;&gt;""), F250-E250, IF(G250&lt;&gt;"", G250, 0))</f>
        <v/>
      </c>
      <c r="I250" s="48">
        <f>H250*Settings!$B$5</f>
        <v/>
      </c>
      <c r="K250">
        <f>IF(AND(A250&lt;&gt;"",C250&lt;&gt;"",D250&lt;&gt;"",H250&gt;0),"✓","⚠ missing")</f>
        <v/>
      </c>
      <c r="L250" s="44" t="n"/>
      <c r="M250" s="45" t="n"/>
      <c r="N250" s="39" t="n"/>
      <c r="O250" s="46" t="n"/>
    </row>
    <row r="251">
      <c r="H251" s="47">
        <f>IF(AND(E251&lt;&gt;"",F251&lt;&gt;""), F251-E251, IF(G251&lt;&gt;"", G251, 0))</f>
        <v/>
      </c>
      <c r="I251" s="48">
        <f>H251*Settings!$B$5</f>
        <v/>
      </c>
      <c r="K251">
        <f>IF(AND(A251&lt;&gt;"",C251&lt;&gt;"",D251&lt;&gt;"",H251&gt;0),"✓","⚠ missing")</f>
        <v/>
      </c>
      <c r="L251" s="44" t="n"/>
      <c r="M251" s="45" t="n"/>
      <c r="N251" s="39" t="n"/>
      <c r="O251" s="46" t="n"/>
    </row>
    <row r="252">
      <c r="H252" s="47">
        <f>IF(AND(E252&lt;&gt;"",F252&lt;&gt;""), F252-E252, IF(G252&lt;&gt;"", G252, 0))</f>
        <v/>
      </c>
      <c r="I252" s="48">
        <f>H252*Settings!$B$5</f>
        <v/>
      </c>
      <c r="K252">
        <f>IF(AND(A252&lt;&gt;"",C252&lt;&gt;"",D252&lt;&gt;"",H252&gt;0),"✓","⚠ missing")</f>
        <v/>
      </c>
      <c r="L252" s="44" t="n"/>
      <c r="M252" s="45" t="n"/>
      <c r="N252" s="39" t="n"/>
      <c r="O252" s="46" t="n"/>
    </row>
    <row r="253">
      <c r="H253" s="47">
        <f>IF(AND(E253&lt;&gt;"",F253&lt;&gt;""), F253-E253, IF(G253&lt;&gt;"", G253, 0))</f>
        <v/>
      </c>
      <c r="I253" s="48">
        <f>H253*Settings!$B$5</f>
        <v/>
      </c>
      <c r="K253">
        <f>IF(AND(A253&lt;&gt;"",C253&lt;&gt;"",D253&lt;&gt;"",H253&gt;0),"✓","⚠ missing")</f>
        <v/>
      </c>
      <c r="L253" s="44" t="n"/>
      <c r="M253" s="45" t="n"/>
      <c r="N253" s="39" t="n"/>
      <c r="O253" s="46" t="n"/>
    </row>
    <row r="254">
      <c r="H254" s="47">
        <f>IF(AND(E254&lt;&gt;"",F254&lt;&gt;""), F254-E254, IF(G254&lt;&gt;"", G254, 0))</f>
        <v/>
      </c>
      <c r="I254" s="48">
        <f>H254*Settings!$B$5</f>
        <v/>
      </c>
      <c r="K254">
        <f>IF(AND(A254&lt;&gt;"",C254&lt;&gt;"",D254&lt;&gt;"",H254&gt;0),"✓","⚠ missing")</f>
        <v/>
      </c>
      <c r="L254" s="44" t="n"/>
      <c r="M254" s="45" t="n"/>
      <c r="N254" s="39" t="n"/>
      <c r="O254" s="46" t="n"/>
    </row>
    <row r="255">
      <c r="H255" s="47">
        <f>IF(AND(E255&lt;&gt;"",F255&lt;&gt;""), F255-E255, IF(G255&lt;&gt;"", G255, 0))</f>
        <v/>
      </c>
      <c r="I255" s="48">
        <f>H255*Settings!$B$5</f>
        <v/>
      </c>
      <c r="K255">
        <f>IF(AND(A255&lt;&gt;"",C255&lt;&gt;"",D255&lt;&gt;"",H255&gt;0),"✓","⚠ missing")</f>
        <v/>
      </c>
      <c r="L255" s="44" t="n"/>
      <c r="M255" s="45" t="n"/>
      <c r="N255" s="39" t="n"/>
      <c r="O255" s="46" t="n"/>
    </row>
    <row r="256">
      <c r="H256" s="47">
        <f>IF(AND(E256&lt;&gt;"",F256&lt;&gt;""), F256-E256, IF(G256&lt;&gt;"", G256, 0))</f>
        <v/>
      </c>
      <c r="I256" s="48">
        <f>H256*Settings!$B$5</f>
        <v/>
      </c>
      <c r="K256">
        <f>IF(AND(A256&lt;&gt;"",C256&lt;&gt;"",D256&lt;&gt;"",H256&gt;0),"✓","⚠ missing")</f>
        <v/>
      </c>
      <c r="L256" s="44" t="n"/>
      <c r="M256" s="45" t="n"/>
      <c r="N256" s="39" t="n"/>
      <c r="O256" s="46" t="n"/>
    </row>
    <row r="257">
      <c r="H257" s="47">
        <f>IF(AND(E257&lt;&gt;"",F257&lt;&gt;""), F257-E257, IF(G257&lt;&gt;"", G257, 0))</f>
        <v/>
      </c>
      <c r="I257" s="48">
        <f>H257*Settings!$B$5</f>
        <v/>
      </c>
      <c r="K257">
        <f>IF(AND(A257&lt;&gt;"",C257&lt;&gt;"",D257&lt;&gt;"",H257&gt;0),"✓","⚠ missing")</f>
        <v/>
      </c>
      <c r="L257" s="44" t="n"/>
      <c r="M257" s="45" t="n"/>
      <c r="N257" s="39" t="n"/>
      <c r="O257" s="46" t="n"/>
    </row>
    <row r="258">
      <c r="H258" s="47">
        <f>IF(AND(E258&lt;&gt;"",F258&lt;&gt;""), F258-E258, IF(G258&lt;&gt;"", G258, 0))</f>
        <v/>
      </c>
      <c r="I258" s="48">
        <f>H258*Settings!$B$5</f>
        <v/>
      </c>
      <c r="K258">
        <f>IF(AND(A258&lt;&gt;"",C258&lt;&gt;"",D258&lt;&gt;"",H258&gt;0),"✓","⚠ missing")</f>
        <v/>
      </c>
      <c r="L258" s="44" t="n"/>
      <c r="M258" s="45" t="n"/>
      <c r="N258" s="39" t="n"/>
      <c r="O258" s="46" t="n"/>
    </row>
    <row r="259">
      <c r="H259" s="47">
        <f>IF(AND(E259&lt;&gt;"",F259&lt;&gt;""), F259-E259, IF(G259&lt;&gt;"", G259, 0))</f>
        <v/>
      </c>
      <c r="I259" s="48">
        <f>H259*Settings!$B$5</f>
        <v/>
      </c>
      <c r="K259">
        <f>IF(AND(A259&lt;&gt;"",C259&lt;&gt;"",D259&lt;&gt;"",H259&gt;0),"✓","⚠ missing")</f>
        <v/>
      </c>
      <c r="L259" s="44" t="n"/>
      <c r="M259" s="45" t="n"/>
      <c r="N259" s="39" t="n"/>
      <c r="O259" s="46" t="n"/>
    </row>
    <row r="260">
      <c r="H260" s="47">
        <f>IF(AND(E260&lt;&gt;"",F260&lt;&gt;""), F260-E260, IF(G260&lt;&gt;"", G260, 0))</f>
        <v/>
      </c>
      <c r="I260" s="48">
        <f>H260*Settings!$B$5</f>
        <v/>
      </c>
      <c r="K260">
        <f>IF(AND(A260&lt;&gt;"",C260&lt;&gt;"",D260&lt;&gt;"",H260&gt;0),"✓","⚠ missing")</f>
        <v/>
      </c>
      <c r="L260" s="44" t="n"/>
      <c r="M260" s="45" t="n"/>
      <c r="N260" s="39" t="n"/>
      <c r="O260" s="46" t="n"/>
    </row>
    <row r="261">
      <c r="H261" s="47">
        <f>IF(AND(E261&lt;&gt;"",F261&lt;&gt;""), F261-E261, IF(G261&lt;&gt;"", G261, 0))</f>
        <v/>
      </c>
      <c r="I261" s="48">
        <f>H261*Settings!$B$5</f>
        <v/>
      </c>
      <c r="K261">
        <f>IF(AND(A261&lt;&gt;"",C261&lt;&gt;"",D261&lt;&gt;"",H261&gt;0),"✓","⚠ missing")</f>
        <v/>
      </c>
      <c r="L261" s="44" t="n"/>
      <c r="M261" s="45" t="n"/>
      <c r="N261" s="39" t="n"/>
      <c r="O261" s="46" t="n"/>
    </row>
    <row r="262">
      <c r="H262" s="47">
        <f>IF(AND(E262&lt;&gt;"",F262&lt;&gt;""), F262-E262, IF(G262&lt;&gt;"", G262, 0))</f>
        <v/>
      </c>
      <c r="I262" s="48">
        <f>H262*Settings!$B$5</f>
        <v/>
      </c>
      <c r="K262">
        <f>IF(AND(A262&lt;&gt;"",C262&lt;&gt;"",D262&lt;&gt;"",H262&gt;0),"✓","⚠ missing")</f>
        <v/>
      </c>
      <c r="L262" s="44" t="n"/>
      <c r="M262" s="45" t="n"/>
      <c r="N262" s="39" t="n"/>
      <c r="O262" s="46" t="n"/>
    </row>
    <row r="263">
      <c r="H263" s="47">
        <f>IF(AND(E263&lt;&gt;"",F263&lt;&gt;""), F263-E263, IF(G263&lt;&gt;"", G263, 0))</f>
        <v/>
      </c>
      <c r="I263" s="48">
        <f>H263*Settings!$B$5</f>
        <v/>
      </c>
      <c r="K263">
        <f>IF(AND(A263&lt;&gt;"",C263&lt;&gt;"",D263&lt;&gt;"",H263&gt;0),"✓","⚠ missing")</f>
        <v/>
      </c>
      <c r="L263" s="44" t="n"/>
      <c r="M263" s="45" t="n"/>
      <c r="N263" s="39" t="n"/>
      <c r="O263" s="46" t="n"/>
    </row>
    <row r="264">
      <c r="H264" s="47">
        <f>IF(AND(E264&lt;&gt;"",F264&lt;&gt;""), F264-E264, IF(G264&lt;&gt;"", G264, 0))</f>
        <v/>
      </c>
      <c r="I264" s="48">
        <f>H264*Settings!$B$5</f>
        <v/>
      </c>
      <c r="K264">
        <f>IF(AND(A264&lt;&gt;"",C264&lt;&gt;"",D264&lt;&gt;"",H264&gt;0),"✓","⚠ missing")</f>
        <v/>
      </c>
      <c r="L264" s="44" t="n"/>
      <c r="M264" s="45" t="n"/>
      <c r="N264" s="39" t="n"/>
      <c r="O264" s="46" t="n"/>
    </row>
    <row r="265">
      <c r="H265" s="47">
        <f>IF(AND(E265&lt;&gt;"",F265&lt;&gt;""), F265-E265, IF(G265&lt;&gt;"", G265, 0))</f>
        <v/>
      </c>
      <c r="I265" s="48">
        <f>H265*Settings!$B$5</f>
        <v/>
      </c>
      <c r="K265">
        <f>IF(AND(A265&lt;&gt;"",C265&lt;&gt;"",D265&lt;&gt;"",H265&gt;0),"✓","⚠ missing")</f>
        <v/>
      </c>
      <c r="L265" s="44" t="n"/>
      <c r="M265" s="45" t="n"/>
      <c r="N265" s="39" t="n"/>
      <c r="O265" s="46" t="n"/>
    </row>
    <row r="266">
      <c r="H266" s="47">
        <f>IF(AND(E266&lt;&gt;"",F266&lt;&gt;""), F266-E266, IF(G266&lt;&gt;"", G266, 0))</f>
        <v/>
      </c>
      <c r="I266" s="48">
        <f>H266*Settings!$B$5</f>
        <v/>
      </c>
      <c r="K266">
        <f>IF(AND(A266&lt;&gt;"",C266&lt;&gt;"",D266&lt;&gt;"",H266&gt;0),"✓","⚠ missing")</f>
        <v/>
      </c>
      <c r="L266" s="44" t="n"/>
      <c r="M266" s="45" t="n"/>
      <c r="N266" s="39" t="n"/>
      <c r="O266" s="46" t="n"/>
    </row>
    <row r="267">
      <c r="H267" s="47">
        <f>IF(AND(E267&lt;&gt;"",F267&lt;&gt;""), F267-E267, IF(G267&lt;&gt;"", G267, 0))</f>
        <v/>
      </c>
      <c r="I267" s="48">
        <f>H267*Settings!$B$5</f>
        <v/>
      </c>
      <c r="K267">
        <f>IF(AND(A267&lt;&gt;"",C267&lt;&gt;"",D267&lt;&gt;"",H267&gt;0),"✓","⚠ missing")</f>
        <v/>
      </c>
      <c r="L267" s="44" t="n"/>
      <c r="M267" s="45" t="n"/>
      <c r="N267" s="39" t="n"/>
      <c r="O267" s="46" t="n"/>
    </row>
    <row r="268">
      <c r="H268" s="47">
        <f>IF(AND(E268&lt;&gt;"",F268&lt;&gt;""), F268-E268, IF(G268&lt;&gt;"", G268, 0))</f>
        <v/>
      </c>
      <c r="I268" s="48">
        <f>H268*Settings!$B$5</f>
        <v/>
      </c>
      <c r="K268">
        <f>IF(AND(A268&lt;&gt;"",C268&lt;&gt;"",D268&lt;&gt;"",H268&gt;0),"✓","⚠ missing")</f>
        <v/>
      </c>
      <c r="L268" s="44" t="n"/>
      <c r="M268" s="45" t="n"/>
      <c r="N268" s="39" t="n"/>
      <c r="O268" s="46" t="n"/>
    </row>
    <row r="269">
      <c r="H269" s="47">
        <f>IF(AND(E269&lt;&gt;"",F269&lt;&gt;""), F269-E269, IF(G269&lt;&gt;"", G269, 0))</f>
        <v/>
      </c>
      <c r="I269" s="48">
        <f>H269*Settings!$B$5</f>
        <v/>
      </c>
      <c r="K269">
        <f>IF(AND(A269&lt;&gt;"",C269&lt;&gt;"",D269&lt;&gt;"",H269&gt;0),"✓","⚠ missing")</f>
        <v/>
      </c>
      <c r="L269" s="44" t="n"/>
      <c r="M269" s="45" t="n"/>
      <c r="N269" s="39" t="n"/>
      <c r="O269" s="46" t="n"/>
    </row>
    <row r="270">
      <c r="H270" s="47">
        <f>IF(AND(E270&lt;&gt;"",F270&lt;&gt;""), F270-E270, IF(G270&lt;&gt;"", G270, 0))</f>
        <v/>
      </c>
      <c r="I270" s="48">
        <f>H270*Settings!$B$5</f>
        <v/>
      </c>
      <c r="K270">
        <f>IF(AND(A270&lt;&gt;"",C270&lt;&gt;"",D270&lt;&gt;"",H270&gt;0),"✓","⚠ missing")</f>
        <v/>
      </c>
      <c r="L270" s="44" t="n"/>
      <c r="M270" s="45" t="n"/>
      <c r="N270" s="39" t="n"/>
      <c r="O270" s="46" t="n"/>
    </row>
    <row r="271">
      <c r="H271" s="47">
        <f>IF(AND(E271&lt;&gt;"",F271&lt;&gt;""), F271-E271, IF(G271&lt;&gt;"", G271, 0))</f>
        <v/>
      </c>
      <c r="I271" s="48">
        <f>H271*Settings!$B$5</f>
        <v/>
      </c>
      <c r="K271">
        <f>IF(AND(A271&lt;&gt;"",C271&lt;&gt;"",D271&lt;&gt;"",H271&gt;0),"✓","⚠ missing")</f>
        <v/>
      </c>
      <c r="L271" s="44" t="n"/>
      <c r="M271" s="45" t="n"/>
      <c r="N271" s="39" t="n"/>
      <c r="O271" s="46" t="n"/>
    </row>
    <row r="272">
      <c r="H272" s="47">
        <f>IF(AND(E272&lt;&gt;"",F272&lt;&gt;""), F272-E272, IF(G272&lt;&gt;"", G272, 0))</f>
        <v/>
      </c>
      <c r="I272" s="48">
        <f>H272*Settings!$B$5</f>
        <v/>
      </c>
      <c r="K272">
        <f>IF(AND(A272&lt;&gt;"",C272&lt;&gt;"",D272&lt;&gt;"",H272&gt;0),"✓","⚠ missing")</f>
        <v/>
      </c>
      <c r="L272" s="44" t="n"/>
      <c r="M272" s="45" t="n"/>
      <c r="N272" s="39" t="n"/>
      <c r="O272" s="46" t="n"/>
    </row>
    <row r="273">
      <c r="H273" s="47">
        <f>IF(AND(E273&lt;&gt;"",F273&lt;&gt;""), F273-E273, IF(G273&lt;&gt;"", G273, 0))</f>
        <v/>
      </c>
      <c r="I273" s="48">
        <f>H273*Settings!$B$5</f>
        <v/>
      </c>
      <c r="K273">
        <f>IF(AND(A273&lt;&gt;"",C273&lt;&gt;"",D273&lt;&gt;"",H273&gt;0),"✓","⚠ missing")</f>
        <v/>
      </c>
      <c r="L273" s="44" t="n"/>
      <c r="M273" s="45" t="n"/>
      <c r="N273" s="39" t="n"/>
      <c r="O273" s="46" t="n"/>
    </row>
    <row r="274">
      <c r="H274" s="47">
        <f>IF(AND(E274&lt;&gt;"",F274&lt;&gt;""), F274-E274, IF(G274&lt;&gt;"", G274, 0))</f>
        <v/>
      </c>
      <c r="I274" s="48">
        <f>H274*Settings!$B$5</f>
        <v/>
      </c>
      <c r="K274">
        <f>IF(AND(A274&lt;&gt;"",C274&lt;&gt;"",D274&lt;&gt;"",H274&gt;0),"✓","⚠ missing")</f>
        <v/>
      </c>
      <c r="L274" s="44" t="n"/>
      <c r="M274" s="45" t="n"/>
      <c r="N274" s="39" t="n"/>
      <c r="O274" s="46" t="n"/>
    </row>
    <row r="275">
      <c r="H275" s="47">
        <f>IF(AND(E275&lt;&gt;"",F275&lt;&gt;""), F275-E275, IF(G275&lt;&gt;"", G275, 0))</f>
        <v/>
      </c>
      <c r="I275" s="48">
        <f>H275*Settings!$B$5</f>
        <v/>
      </c>
      <c r="K275">
        <f>IF(AND(A275&lt;&gt;"",C275&lt;&gt;"",D275&lt;&gt;"",H275&gt;0),"✓","⚠ missing")</f>
        <v/>
      </c>
      <c r="L275" s="44" t="n"/>
      <c r="M275" s="45" t="n"/>
      <c r="N275" s="39" t="n"/>
      <c r="O275" s="46" t="n"/>
    </row>
    <row r="276">
      <c r="H276" s="47">
        <f>IF(AND(E276&lt;&gt;"",F276&lt;&gt;""), F276-E276, IF(G276&lt;&gt;"", G276, 0))</f>
        <v/>
      </c>
      <c r="I276" s="48">
        <f>H276*Settings!$B$5</f>
        <v/>
      </c>
      <c r="K276">
        <f>IF(AND(A276&lt;&gt;"",C276&lt;&gt;"",D276&lt;&gt;"",H276&gt;0),"✓","⚠ missing")</f>
        <v/>
      </c>
      <c r="L276" s="44" t="n"/>
      <c r="M276" s="45" t="n"/>
      <c r="N276" s="39" t="n"/>
      <c r="O276" s="46" t="n"/>
    </row>
    <row r="277">
      <c r="H277" s="47">
        <f>IF(AND(E277&lt;&gt;"",F277&lt;&gt;""), F277-E277, IF(G277&lt;&gt;"", G277, 0))</f>
        <v/>
      </c>
      <c r="I277" s="48">
        <f>H277*Settings!$B$5</f>
        <v/>
      </c>
      <c r="K277">
        <f>IF(AND(A277&lt;&gt;"",C277&lt;&gt;"",D277&lt;&gt;"",H277&gt;0),"✓","⚠ missing")</f>
        <v/>
      </c>
      <c r="L277" s="44" t="n"/>
      <c r="M277" s="45" t="n"/>
      <c r="N277" s="39" t="n"/>
      <c r="O277" s="46" t="n"/>
    </row>
    <row r="278">
      <c r="H278" s="47">
        <f>IF(AND(E278&lt;&gt;"",F278&lt;&gt;""), F278-E278, IF(G278&lt;&gt;"", G278, 0))</f>
        <v/>
      </c>
      <c r="I278" s="48">
        <f>H278*Settings!$B$5</f>
        <v/>
      </c>
      <c r="K278">
        <f>IF(AND(A278&lt;&gt;"",C278&lt;&gt;"",D278&lt;&gt;"",H278&gt;0),"✓","⚠ missing")</f>
        <v/>
      </c>
      <c r="L278" s="44" t="n"/>
      <c r="M278" s="45" t="n"/>
      <c r="N278" s="39" t="n"/>
      <c r="O278" s="46" t="n"/>
    </row>
    <row r="279">
      <c r="H279" s="47">
        <f>IF(AND(E279&lt;&gt;"",F279&lt;&gt;""), F279-E279, IF(G279&lt;&gt;"", G279, 0))</f>
        <v/>
      </c>
      <c r="I279" s="48">
        <f>H279*Settings!$B$5</f>
        <v/>
      </c>
      <c r="K279">
        <f>IF(AND(A279&lt;&gt;"",C279&lt;&gt;"",D279&lt;&gt;"",H279&gt;0),"✓","⚠ missing")</f>
        <v/>
      </c>
      <c r="L279" s="44" t="n"/>
      <c r="M279" s="45" t="n"/>
      <c r="N279" s="39" t="n"/>
      <c r="O279" s="46" t="n"/>
    </row>
    <row r="280">
      <c r="H280" s="47">
        <f>IF(AND(E280&lt;&gt;"",F280&lt;&gt;""), F280-E280, IF(G280&lt;&gt;"", G280, 0))</f>
        <v/>
      </c>
      <c r="I280" s="48">
        <f>H280*Settings!$B$5</f>
        <v/>
      </c>
      <c r="K280">
        <f>IF(AND(A280&lt;&gt;"",C280&lt;&gt;"",D280&lt;&gt;"",H280&gt;0),"✓","⚠ missing")</f>
        <v/>
      </c>
      <c r="L280" s="44" t="n"/>
      <c r="M280" s="45" t="n"/>
      <c r="N280" s="39" t="n"/>
      <c r="O280" s="46" t="n"/>
    </row>
    <row r="281">
      <c r="H281" s="47">
        <f>IF(AND(E281&lt;&gt;"",F281&lt;&gt;""), F281-E281, IF(G281&lt;&gt;"", G281, 0))</f>
        <v/>
      </c>
      <c r="I281" s="48">
        <f>H281*Settings!$B$5</f>
        <v/>
      </c>
      <c r="K281">
        <f>IF(AND(A281&lt;&gt;"",C281&lt;&gt;"",D281&lt;&gt;"",H281&gt;0),"✓","⚠ missing")</f>
        <v/>
      </c>
      <c r="L281" s="44" t="n"/>
      <c r="M281" s="45" t="n"/>
      <c r="N281" s="39" t="n"/>
      <c r="O281" s="46" t="n"/>
    </row>
    <row r="282">
      <c r="H282" s="47">
        <f>IF(AND(E282&lt;&gt;"",F282&lt;&gt;""), F282-E282, IF(G282&lt;&gt;"", G282, 0))</f>
        <v/>
      </c>
      <c r="I282" s="48">
        <f>H282*Settings!$B$5</f>
        <v/>
      </c>
      <c r="K282">
        <f>IF(AND(A282&lt;&gt;"",C282&lt;&gt;"",D282&lt;&gt;"",H282&gt;0),"✓","⚠ missing")</f>
        <v/>
      </c>
      <c r="L282" s="44" t="n"/>
      <c r="M282" s="45" t="n"/>
      <c r="N282" s="39" t="n"/>
      <c r="O282" s="46" t="n"/>
    </row>
    <row r="283">
      <c r="H283" s="47">
        <f>IF(AND(E283&lt;&gt;"",F283&lt;&gt;""), F283-E283, IF(G283&lt;&gt;"", G283, 0))</f>
        <v/>
      </c>
      <c r="I283" s="48">
        <f>H283*Settings!$B$5</f>
        <v/>
      </c>
      <c r="K283">
        <f>IF(AND(A283&lt;&gt;"",C283&lt;&gt;"",D283&lt;&gt;"",H283&gt;0),"✓","⚠ missing")</f>
        <v/>
      </c>
      <c r="L283" s="44" t="n"/>
      <c r="M283" s="45" t="n"/>
      <c r="N283" s="39" t="n"/>
      <c r="O283" s="46" t="n"/>
    </row>
    <row r="284">
      <c r="H284" s="47">
        <f>IF(AND(E284&lt;&gt;"",F284&lt;&gt;""), F284-E284, IF(G284&lt;&gt;"", G284, 0))</f>
        <v/>
      </c>
      <c r="I284" s="48">
        <f>H284*Settings!$B$5</f>
        <v/>
      </c>
      <c r="K284">
        <f>IF(AND(A284&lt;&gt;"",C284&lt;&gt;"",D284&lt;&gt;"",H284&gt;0),"✓","⚠ missing")</f>
        <v/>
      </c>
      <c r="L284" s="44" t="n"/>
      <c r="M284" s="45" t="n"/>
      <c r="N284" s="39" t="n"/>
      <c r="O284" s="46" t="n"/>
    </row>
    <row r="285">
      <c r="H285" s="47">
        <f>IF(AND(E285&lt;&gt;"",F285&lt;&gt;""), F285-E285, IF(G285&lt;&gt;"", G285, 0))</f>
        <v/>
      </c>
      <c r="I285" s="48">
        <f>H285*Settings!$B$5</f>
        <v/>
      </c>
      <c r="K285">
        <f>IF(AND(A285&lt;&gt;"",C285&lt;&gt;"",D285&lt;&gt;"",H285&gt;0),"✓","⚠ missing")</f>
        <v/>
      </c>
      <c r="L285" s="44" t="n"/>
      <c r="M285" s="45" t="n"/>
      <c r="N285" s="39" t="n"/>
      <c r="O285" s="46" t="n"/>
    </row>
    <row r="286">
      <c r="H286" s="47">
        <f>IF(AND(E286&lt;&gt;"",F286&lt;&gt;""), F286-E286, IF(G286&lt;&gt;"", G286, 0))</f>
        <v/>
      </c>
      <c r="I286" s="48">
        <f>H286*Settings!$B$5</f>
        <v/>
      </c>
      <c r="K286">
        <f>IF(AND(A286&lt;&gt;"",C286&lt;&gt;"",D286&lt;&gt;"",H286&gt;0),"✓","⚠ missing")</f>
        <v/>
      </c>
      <c r="L286" s="44" t="n"/>
      <c r="M286" s="45" t="n"/>
      <c r="N286" s="39" t="n"/>
      <c r="O286" s="46" t="n"/>
    </row>
    <row r="287">
      <c r="H287" s="47">
        <f>IF(AND(E287&lt;&gt;"",F287&lt;&gt;""), F287-E287, IF(G287&lt;&gt;"", G287, 0))</f>
        <v/>
      </c>
      <c r="I287" s="48">
        <f>H287*Settings!$B$5</f>
        <v/>
      </c>
      <c r="K287">
        <f>IF(AND(A287&lt;&gt;"",C287&lt;&gt;"",D287&lt;&gt;"",H287&gt;0),"✓","⚠ missing")</f>
        <v/>
      </c>
      <c r="L287" s="44" t="n"/>
      <c r="M287" s="45" t="n"/>
      <c r="N287" s="39" t="n"/>
      <c r="O287" s="46" t="n"/>
    </row>
    <row r="288">
      <c r="H288" s="47">
        <f>IF(AND(E288&lt;&gt;"",F288&lt;&gt;""), F288-E288, IF(G288&lt;&gt;"", G288, 0))</f>
        <v/>
      </c>
      <c r="I288" s="48">
        <f>H288*Settings!$B$5</f>
        <v/>
      </c>
      <c r="K288">
        <f>IF(AND(A288&lt;&gt;"",C288&lt;&gt;"",D288&lt;&gt;"",H288&gt;0),"✓","⚠ missing")</f>
        <v/>
      </c>
      <c r="L288" s="44" t="n"/>
      <c r="M288" s="45" t="n"/>
      <c r="N288" s="39" t="n"/>
      <c r="O288" s="46" t="n"/>
    </row>
    <row r="289">
      <c r="H289" s="47">
        <f>IF(AND(E289&lt;&gt;"",F289&lt;&gt;""), F289-E289, IF(G289&lt;&gt;"", G289, 0))</f>
        <v/>
      </c>
      <c r="I289" s="48">
        <f>H289*Settings!$B$5</f>
        <v/>
      </c>
      <c r="K289">
        <f>IF(AND(A289&lt;&gt;"",C289&lt;&gt;"",D289&lt;&gt;"",H289&gt;0),"✓","⚠ missing")</f>
        <v/>
      </c>
      <c r="L289" s="44" t="n"/>
      <c r="M289" s="45" t="n"/>
      <c r="N289" s="39" t="n"/>
      <c r="O289" s="46" t="n"/>
    </row>
    <row r="290">
      <c r="H290" s="47">
        <f>IF(AND(E290&lt;&gt;"",F290&lt;&gt;""), F290-E290, IF(G290&lt;&gt;"", G290, 0))</f>
        <v/>
      </c>
      <c r="I290" s="48">
        <f>H290*Settings!$B$5</f>
        <v/>
      </c>
      <c r="K290">
        <f>IF(AND(A290&lt;&gt;"",C290&lt;&gt;"",D290&lt;&gt;"",H290&gt;0),"✓","⚠ missing")</f>
        <v/>
      </c>
      <c r="L290" s="44" t="n"/>
      <c r="M290" s="45" t="n"/>
      <c r="N290" s="39" t="n"/>
      <c r="O290" s="46" t="n"/>
    </row>
    <row r="291">
      <c r="H291" s="47">
        <f>IF(AND(E291&lt;&gt;"",F291&lt;&gt;""), F291-E291, IF(G291&lt;&gt;"", G291, 0))</f>
        <v/>
      </c>
      <c r="I291" s="48">
        <f>H291*Settings!$B$5</f>
        <v/>
      </c>
      <c r="K291">
        <f>IF(AND(A291&lt;&gt;"",C291&lt;&gt;"",D291&lt;&gt;"",H291&gt;0),"✓","⚠ missing")</f>
        <v/>
      </c>
      <c r="L291" s="44" t="n"/>
      <c r="M291" s="45" t="n"/>
      <c r="N291" s="39" t="n"/>
      <c r="O291" s="46" t="n"/>
    </row>
    <row r="292">
      <c r="H292" s="47">
        <f>IF(AND(E292&lt;&gt;"",F292&lt;&gt;""), F292-E292, IF(G292&lt;&gt;"", G292, 0))</f>
        <v/>
      </c>
      <c r="I292" s="48">
        <f>H292*Settings!$B$5</f>
        <v/>
      </c>
      <c r="K292">
        <f>IF(AND(A292&lt;&gt;"",C292&lt;&gt;"",D292&lt;&gt;"",H292&gt;0),"✓","⚠ missing")</f>
        <v/>
      </c>
      <c r="L292" s="44" t="n"/>
      <c r="M292" s="45" t="n"/>
      <c r="N292" s="39" t="n"/>
      <c r="O292" s="46" t="n"/>
    </row>
    <row r="293">
      <c r="H293" s="47">
        <f>IF(AND(E293&lt;&gt;"",F293&lt;&gt;""), F293-E293, IF(G293&lt;&gt;"", G293, 0))</f>
        <v/>
      </c>
      <c r="I293" s="48">
        <f>H293*Settings!$B$5</f>
        <v/>
      </c>
      <c r="K293">
        <f>IF(AND(A293&lt;&gt;"",C293&lt;&gt;"",D293&lt;&gt;"",H293&gt;0),"✓","⚠ missing")</f>
        <v/>
      </c>
      <c r="L293" s="44" t="n"/>
      <c r="M293" s="45" t="n"/>
      <c r="N293" s="39" t="n"/>
      <c r="O293" s="46" t="n"/>
    </row>
    <row r="294">
      <c r="H294" s="47">
        <f>IF(AND(E294&lt;&gt;"",F294&lt;&gt;""), F294-E294, IF(G294&lt;&gt;"", G294, 0))</f>
        <v/>
      </c>
      <c r="I294" s="48">
        <f>H294*Settings!$B$5</f>
        <v/>
      </c>
      <c r="K294">
        <f>IF(AND(A294&lt;&gt;"",C294&lt;&gt;"",D294&lt;&gt;"",H294&gt;0),"✓","⚠ missing")</f>
        <v/>
      </c>
      <c r="L294" s="44" t="n"/>
      <c r="M294" s="45" t="n"/>
      <c r="N294" s="39" t="n"/>
      <c r="O294" s="46" t="n"/>
    </row>
    <row r="295">
      <c r="H295" s="47">
        <f>IF(AND(E295&lt;&gt;"",F295&lt;&gt;""), F295-E295, IF(G295&lt;&gt;"", G295, 0))</f>
        <v/>
      </c>
      <c r="I295" s="48">
        <f>H295*Settings!$B$5</f>
        <v/>
      </c>
      <c r="K295">
        <f>IF(AND(A295&lt;&gt;"",C295&lt;&gt;"",D295&lt;&gt;"",H295&gt;0),"✓","⚠ missing")</f>
        <v/>
      </c>
      <c r="L295" s="44" t="n"/>
      <c r="M295" s="45" t="n"/>
      <c r="N295" s="39" t="n"/>
      <c r="O295" s="46" t="n"/>
    </row>
    <row r="296">
      <c r="H296" s="47">
        <f>IF(AND(E296&lt;&gt;"",F296&lt;&gt;""), F296-E296, IF(G296&lt;&gt;"", G296, 0))</f>
        <v/>
      </c>
      <c r="I296" s="48">
        <f>H296*Settings!$B$5</f>
        <v/>
      </c>
      <c r="K296">
        <f>IF(AND(A296&lt;&gt;"",C296&lt;&gt;"",D296&lt;&gt;"",H296&gt;0),"✓","⚠ missing")</f>
        <v/>
      </c>
      <c r="L296" s="44" t="n"/>
      <c r="M296" s="45" t="n"/>
      <c r="N296" s="39" t="n"/>
      <c r="O296" s="46" t="n"/>
    </row>
    <row r="297">
      <c r="H297" s="47">
        <f>IF(AND(E297&lt;&gt;"",F297&lt;&gt;""), F297-E297, IF(G297&lt;&gt;"", G297, 0))</f>
        <v/>
      </c>
      <c r="I297" s="48">
        <f>H297*Settings!$B$5</f>
        <v/>
      </c>
      <c r="K297">
        <f>IF(AND(A297&lt;&gt;"",C297&lt;&gt;"",D297&lt;&gt;"",H297&gt;0),"✓","⚠ missing")</f>
        <v/>
      </c>
      <c r="L297" s="44" t="n"/>
      <c r="M297" s="45" t="n"/>
      <c r="N297" s="39" t="n"/>
      <c r="O297" s="46" t="n"/>
    </row>
    <row r="298">
      <c r="H298" s="47">
        <f>IF(AND(E298&lt;&gt;"",F298&lt;&gt;""), F298-E298, IF(G298&lt;&gt;"", G298, 0))</f>
        <v/>
      </c>
      <c r="I298" s="48">
        <f>H298*Settings!$B$5</f>
        <v/>
      </c>
      <c r="K298">
        <f>IF(AND(A298&lt;&gt;"",C298&lt;&gt;"",D298&lt;&gt;"",H298&gt;0),"✓","⚠ missing")</f>
        <v/>
      </c>
      <c r="L298" s="44" t="n"/>
      <c r="M298" s="45" t="n"/>
      <c r="N298" s="39" t="n"/>
      <c r="O298" s="46" t="n"/>
    </row>
    <row r="299">
      <c r="H299" s="47">
        <f>IF(AND(E299&lt;&gt;"",F299&lt;&gt;""), F299-E299, IF(G299&lt;&gt;"", G299, 0))</f>
        <v/>
      </c>
      <c r="I299" s="48">
        <f>H299*Settings!$B$5</f>
        <v/>
      </c>
      <c r="K299">
        <f>IF(AND(A299&lt;&gt;"",C299&lt;&gt;"",D299&lt;&gt;"",H299&gt;0),"✓","⚠ missing")</f>
        <v/>
      </c>
      <c r="L299" s="44" t="n"/>
      <c r="M299" s="45" t="n"/>
      <c r="N299" s="39" t="n"/>
      <c r="O299" s="46" t="n"/>
    </row>
    <row r="300">
      <c r="H300" s="47">
        <f>IF(AND(E300&lt;&gt;"",F300&lt;&gt;""), F300-E300, IF(G300&lt;&gt;"", G300, 0))</f>
        <v/>
      </c>
      <c r="I300" s="48">
        <f>H300*Settings!$B$5</f>
        <v/>
      </c>
      <c r="K300">
        <f>IF(AND(A300&lt;&gt;"",C300&lt;&gt;"",D300&lt;&gt;"",H300&gt;0),"✓","⚠ missing")</f>
        <v/>
      </c>
      <c r="L300" s="44" t="n"/>
      <c r="M300" s="45" t="n"/>
      <c r="N300" s="39" t="n"/>
      <c r="O300" s="46" t="n"/>
    </row>
    <row r="301">
      <c r="H301" s="47">
        <f>IF(AND(E301&lt;&gt;"",F301&lt;&gt;""), F301-E301, IF(G301&lt;&gt;"", G301, 0))</f>
        <v/>
      </c>
      <c r="I301" s="48">
        <f>H301*Settings!$B$5</f>
        <v/>
      </c>
      <c r="K301">
        <f>IF(AND(A301&lt;&gt;"",C301&lt;&gt;"",D301&lt;&gt;"",H301&gt;0),"✓","⚠ missing")</f>
        <v/>
      </c>
      <c r="L301" s="44" t="n"/>
      <c r="M301" s="45" t="n"/>
      <c r="N301" s="39" t="n"/>
      <c r="O301" s="46" t="n"/>
    </row>
    <row r="302">
      <c r="H302" s="47">
        <f>IF(AND(E302&lt;&gt;"",F302&lt;&gt;""), F302-E302, IF(G302&lt;&gt;"", G302, 0))</f>
        <v/>
      </c>
      <c r="I302" s="48">
        <f>H302*Settings!$B$5</f>
        <v/>
      </c>
      <c r="K302">
        <f>IF(AND(A302&lt;&gt;"",C302&lt;&gt;"",D302&lt;&gt;"",H302&gt;0),"✓","⚠ missing")</f>
        <v/>
      </c>
      <c r="L302" s="44" t="n"/>
      <c r="M302" s="45" t="n"/>
      <c r="N302" s="39" t="n"/>
      <c r="O302" s="46" t="n"/>
    </row>
    <row r="303">
      <c r="H303" s="47">
        <f>IF(AND(E303&lt;&gt;"",F303&lt;&gt;""), F303-E303, IF(G303&lt;&gt;"", G303, 0))</f>
        <v/>
      </c>
      <c r="I303" s="48">
        <f>H303*Settings!$B$5</f>
        <v/>
      </c>
      <c r="K303">
        <f>IF(AND(A303&lt;&gt;"",C303&lt;&gt;"",D303&lt;&gt;"",H303&gt;0),"✓","⚠ missing")</f>
        <v/>
      </c>
      <c r="L303" s="44" t="n"/>
      <c r="M303" s="45" t="n"/>
      <c r="N303" s="39" t="n"/>
      <c r="O303" s="46" t="n"/>
    </row>
    <row r="304">
      <c r="H304" s="47">
        <f>IF(AND(E304&lt;&gt;"",F304&lt;&gt;""), F304-E304, IF(G304&lt;&gt;"", G304, 0))</f>
        <v/>
      </c>
      <c r="I304" s="48">
        <f>H304*Settings!$B$5</f>
        <v/>
      </c>
      <c r="K304">
        <f>IF(AND(A304&lt;&gt;"",C304&lt;&gt;"",D304&lt;&gt;"",H304&gt;0),"✓","⚠ missing")</f>
        <v/>
      </c>
      <c r="L304" s="44" t="n"/>
      <c r="M304" s="45" t="n"/>
      <c r="N304" s="39" t="n"/>
      <c r="O304" s="46" t="n"/>
    </row>
    <row r="305">
      <c r="H305" s="47">
        <f>IF(AND(E305&lt;&gt;"",F305&lt;&gt;""), F305-E305, IF(G305&lt;&gt;"", G305, 0))</f>
        <v/>
      </c>
      <c r="I305" s="48">
        <f>H305*Settings!$B$5</f>
        <v/>
      </c>
      <c r="K305">
        <f>IF(AND(A305&lt;&gt;"",C305&lt;&gt;"",D305&lt;&gt;"",H305&gt;0),"✓","⚠ missing")</f>
        <v/>
      </c>
      <c r="L305" s="44" t="n"/>
      <c r="M305" s="45" t="n"/>
      <c r="N305" s="39" t="n"/>
      <c r="O305" s="46" t="n"/>
    </row>
    <row r="306">
      <c r="H306" s="47">
        <f>IF(AND(E306&lt;&gt;"",F306&lt;&gt;""), F306-E306, IF(G306&lt;&gt;"", G306, 0))</f>
        <v/>
      </c>
      <c r="I306" s="48">
        <f>H306*Settings!$B$5</f>
        <v/>
      </c>
      <c r="K306">
        <f>IF(AND(A306&lt;&gt;"",C306&lt;&gt;"",D306&lt;&gt;"",H306&gt;0),"✓","⚠ missing")</f>
        <v/>
      </c>
      <c r="L306" s="44" t="n"/>
      <c r="M306" s="45" t="n"/>
      <c r="N306" s="39" t="n"/>
      <c r="O306" s="46" t="n"/>
    </row>
    <row r="307">
      <c r="H307" s="47">
        <f>IF(AND(E307&lt;&gt;"",F307&lt;&gt;""), F307-E307, IF(G307&lt;&gt;"", G307, 0))</f>
        <v/>
      </c>
      <c r="I307" s="48">
        <f>H307*Settings!$B$5</f>
        <v/>
      </c>
      <c r="K307">
        <f>IF(AND(A307&lt;&gt;"",C307&lt;&gt;"",D307&lt;&gt;"",H307&gt;0),"✓","⚠ missing")</f>
        <v/>
      </c>
      <c r="L307" s="44" t="n"/>
      <c r="M307" s="45" t="n"/>
      <c r="N307" s="39" t="n"/>
      <c r="O307" s="46" t="n"/>
    </row>
    <row r="308">
      <c r="H308" s="47">
        <f>IF(AND(E308&lt;&gt;"",F308&lt;&gt;""), F308-E308, IF(G308&lt;&gt;"", G308, 0))</f>
        <v/>
      </c>
      <c r="I308" s="48">
        <f>H308*Settings!$B$5</f>
        <v/>
      </c>
      <c r="K308">
        <f>IF(AND(A308&lt;&gt;"",C308&lt;&gt;"",D308&lt;&gt;"",H308&gt;0),"✓","⚠ missing")</f>
        <v/>
      </c>
      <c r="L308" s="44" t="n"/>
      <c r="M308" s="45" t="n"/>
      <c r="N308" s="39" t="n"/>
      <c r="O308" s="46" t="n"/>
    </row>
    <row r="309">
      <c r="H309" s="47">
        <f>IF(AND(E309&lt;&gt;"",F309&lt;&gt;""), F309-E309, IF(G309&lt;&gt;"", G309, 0))</f>
        <v/>
      </c>
      <c r="I309" s="48">
        <f>H309*Settings!$B$5</f>
        <v/>
      </c>
      <c r="K309">
        <f>IF(AND(A309&lt;&gt;"",C309&lt;&gt;"",D309&lt;&gt;"",H309&gt;0),"✓","⚠ missing")</f>
        <v/>
      </c>
      <c r="L309" s="44" t="n"/>
      <c r="M309" s="45" t="n"/>
      <c r="N309" s="39" t="n"/>
      <c r="O309" s="46" t="n"/>
    </row>
    <row r="310">
      <c r="H310" s="47">
        <f>IF(AND(E310&lt;&gt;"",F310&lt;&gt;""), F310-E310, IF(G310&lt;&gt;"", G310, 0))</f>
        <v/>
      </c>
      <c r="I310" s="48">
        <f>H310*Settings!$B$5</f>
        <v/>
      </c>
      <c r="K310">
        <f>IF(AND(A310&lt;&gt;"",C310&lt;&gt;"",D310&lt;&gt;"",H310&gt;0),"✓","⚠ missing")</f>
        <v/>
      </c>
      <c r="L310" s="44" t="n"/>
      <c r="M310" s="45" t="n"/>
      <c r="N310" s="39" t="n"/>
      <c r="O310" s="46" t="n"/>
    </row>
    <row r="311">
      <c r="H311" s="47">
        <f>IF(AND(E311&lt;&gt;"",F311&lt;&gt;""), F311-E311, IF(G311&lt;&gt;"", G311, 0))</f>
        <v/>
      </c>
      <c r="I311" s="48">
        <f>H311*Settings!$B$5</f>
        <v/>
      </c>
      <c r="K311">
        <f>IF(AND(A311&lt;&gt;"",C311&lt;&gt;"",D311&lt;&gt;"",H311&gt;0),"✓","⚠ missing")</f>
        <v/>
      </c>
      <c r="L311" s="44" t="n"/>
      <c r="M311" s="45" t="n"/>
      <c r="N311" s="39" t="n"/>
      <c r="O311" s="46" t="n"/>
    </row>
    <row r="312">
      <c r="H312" s="47">
        <f>IF(AND(E312&lt;&gt;"",F312&lt;&gt;""), F312-E312, IF(G312&lt;&gt;"", G312, 0))</f>
        <v/>
      </c>
      <c r="I312" s="48">
        <f>H312*Settings!$B$5</f>
        <v/>
      </c>
      <c r="K312">
        <f>IF(AND(A312&lt;&gt;"",C312&lt;&gt;"",D312&lt;&gt;"",H312&gt;0),"✓","⚠ missing")</f>
        <v/>
      </c>
      <c r="L312" s="44" t="n"/>
      <c r="M312" s="45" t="n"/>
      <c r="N312" s="39" t="n"/>
      <c r="O312" s="46" t="n"/>
    </row>
    <row r="313">
      <c r="H313" s="47">
        <f>IF(AND(E313&lt;&gt;"",F313&lt;&gt;""), F313-E313, IF(G313&lt;&gt;"", G313, 0))</f>
        <v/>
      </c>
      <c r="I313" s="48">
        <f>H313*Settings!$B$5</f>
        <v/>
      </c>
      <c r="K313">
        <f>IF(AND(A313&lt;&gt;"",C313&lt;&gt;"",D313&lt;&gt;"",H313&gt;0),"✓","⚠ missing")</f>
        <v/>
      </c>
      <c r="L313" s="44" t="n"/>
      <c r="M313" s="45" t="n"/>
      <c r="N313" s="39" t="n"/>
      <c r="O313" s="46" t="n"/>
    </row>
    <row r="314">
      <c r="H314" s="47">
        <f>IF(AND(E314&lt;&gt;"",F314&lt;&gt;""), F314-E314, IF(G314&lt;&gt;"", G314, 0))</f>
        <v/>
      </c>
      <c r="I314" s="48">
        <f>H314*Settings!$B$5</f>
        <v/>
      </c>
      <c r="K314">
        <f>IF(AND(A314&lt;&gt;"",C314&lt;&gt;"",D314&lt;&gt;"",H314&gt;0),"✓","⚠ missing")</f>
        <v/>
      </c>
      <c r="L314" s="44" t="n"/>
      <c r="M314" s="45" t="n"/>
      <c r="N314" s="39" t="n"/>
      <c r="O314" s="46" t="n"/>
    </row>
    <row r="315">
      <c r="H315" s="47">
        <f>IF(AND(E315&lt;&gt;"",F315&lt;&gt;""), F315-E315, IF(G315&lt;&gt;"", G315, 0))</f>
        <v/>
      </c>
      <c r="I315" s="48">
        <f>H315*Settings!$B$5</f>
        <v/>
      </c>
      <c r="K315">
        <f>IF(AND(A315&lt;&gt;"",C315&lt;&gt;"",D315&lt;&gt;"",H315&gt;0),"✓","⚠ missing")</f>
        <v/>
      </c>
      <c r="L315" s="44" t="n"/>
      <c r="M315" s="45" t="n"/>
      <c r="N315" s="39" t="n"/>
      <c r="O315" s="46" t="n"/>
    </row>
    <row r="316">
      <c r="H316" s="47">
        <f>IF(AND(E316&lt;&gt;"",F316&lt;&gt;""), F316-E316, IF(G316&lt;&gt;"", G316, 0))</f>
        <v/>
      </c>
      <c r="I316" s="48">
        <f>H316*Settings!$B$5</f>
        <v/>
      </c>
      <c r="K316">
        <f>IF(AND(A316&lt;&gt;"",C316&lt;&gt;"",D316&lt;&gt;"",H316&gt;0),"✓","⚠ missing")</f>
        <v/>
      </c>
      <c r="L316" s="44" t="n"/>
      <c r="M316" s="45" t="n"/>
      <c r="N316" s="39" t="n"/>
      <c r="O316" s="46" t="n"/>
    </row>
    <row r="317">
      <c r="H317" s="47">
        <f>IF(AND(E317&lt;&gt;"",F317&lt;&gt;""), F317-E317, IF(G317&lt;&gt;"", G317, 0))</f>
        <v/>
      </c>
      <c r="I317" s="48">
        <f>H317*Settings!$B$5</f>
        <v/>
      </c>
      <c r="K317">
        <f>IF(AND(A317&lt;&gt;"",C317&lt;&gt;"",D317&lt;&gt;"",H317&gt;0),"✓","⚠ missing")</f>
        <v/>
      </c>
      <c r="L317" s="44" t="n"/>
      <c r="M317" s="45" t="n"/>
      <c r="N317" s="39" t="n"/>
      <c r="O317" s="46" t="n"/>
    </row>
    <row r="318">
      <c r="H318" s="47">
        <f>IF(AND(E318&lt;&gt;"",F318&lt;&gt;""), F318-E318, IF(G318&lt;&gt;"", G318, 0))</f>
        <v/>
      </c>
      <c r="I318" s="48">
        <f>H318*Settings!$B$5</f>
        <v/>
      </c>
      <c r="K318">
        <f>IF(AND(A318&lt;&gt;"",C318&lt;&gt;"",D318&lt;&gt;"",H318&gt;0),"✓","⚠ missing")</f>
        <v/>
      </c>
      <c r="L318" s="44" t="n"/>
      <c r="M318" s="45" t="n"/>
      <c r="N318" s="39" t="n"/>
      <c r="O318" s="46" t="n"/>
    </row>
    <row r="319">
      <c r="H319" s="47">
        <f>IF(AND(E319&lt;&gt;"",F319&lt;&gt;""), F319-E319, IF(G319&lt;&gt;"", G319, 0))</f>
        <v/>
      </c>
      <c r="I319" s="48">
        <f>H319*Settings!$B$5</f>
        <v/>
      </c>
      <c r="K319">
        <f>IF(AND(A319&lt;&gt;"",C319&lt;&gt;"",D319&lt;&gt;"",H319&gt;0),"✓","⚠ missing")</f>
        <v/>
      </c>
      <c r="L319" s="44" t="n"/>
      <c r="M319" s="45" t="n"/>
      <c r="N319" s="39" t="n"/>
      <c r="O319" s="46" t="n"/>
    </row>
    <row r="320">
      <c r="H320" s="47">
        <f>IF(AND(E320&lt;&gt;"",F320&lt;&gt;""), F320-E320, IF(G320&lt;&gt;"", G320, 0))</f>
        <v/>
      </c>
      <c r="I320" s="48">
        <f>H320*Settings!$B$5</f>
        <v/>
      </c>
      <c r="K320">
        <f>IF(AND(A320&lt;&gt;"",C320&lt;&gt;"",D320&lt;&gt;"",H320&gt;0),"✓","⚠ missing")</f>
        <v/>
      </c>
      <c r="L320" s="44" t="n"/>
      <c r="M320" s="45" t="n"/>
      <c r="N320" s="39" t="n"/>
      <c r="O320" s="46" t="n"/>
    </row>
    <row r="321">
      <c r="H321" s="47">
        <f>IF(AND(E321&lt;&gt;"",F321&lt;&gt;""), F321-E321, IF(G321&lt;&gt;"", G321, 0))</f>
        <v/>
      </c>
      <c r="I321" s="48">
        <f>H321*Settings!$B$5</f>
        <v/>
      </c>
      <c r="K321">
        <f>IF(AND(A321&lt;&gt;"",C321&lt;&gt;"",D321&lt;&gt;"",H321&gt;0),"✓","⚠ missing")</f>
        <v/>
      </c>
      <c r="L321" s="44" t="n"/>
      <c r="M321" s="45" t="n"/>
      <c r="N321" s="39" t="n"/>
      <c r="O321" s="46" t="n"/>
    </row>
    <row r="322">
      <c r="H322" s="47">
        <f>IF(AND(E322&lt;&gt;"",F322&lt;&gt;""), F322-E322, IF(G322&lt;&gt;"", G322, 0))</f>
        <v/>
      </c>
      <c r="I322" s="48">
        <f>H322*Settings!$B$5</f>
        <v/>
      </c>
      <c r="K322">
        <f>IF(AND(A322&lt;&gt;"",C322&lt;&gt;"",D322&lt;&gt;"",H322&gt;0),"✓","⚠ missing")</f>
        <v/>
      </c>
      <c r="L322" s="44" t="n"/>
      <c r="M322" s="45" t="n"/>
      <c r="N322" s="39" t="n"/>
      <c r="O322" s="46" t="n"/>
    </row>
    <row r="323">
      <c r="H323" s="47">
        <f>IF(AND(E323&lt;&gt;"",F323&lt;&gt;""), F323-E323, IF(G323&lt;&gt;"", G323, 0))</f>
        <v/>
      </c>
      <c r="I323" s="48">
        <f>H323*Settings!$B$5</f>
        <v/>
      </c>
      <c r="K323">
        <f>IF(AND(A323&lt;&gt;"",C323&lt;&gt;"",D323&lt;&gt;"",H323&gt;0),"✓","⚠ missing")</f>
        <v/>
      </c>
      <c r="L323" s="44" t="n"/>
      <c r="M323" s="45" t="n"/>
      <c r="N323" s="39" t="n"/>
      <c r="O323" s="46" t="n"/>
    </row>
    <row r="324">
      <c r="H324" s="47">
        <f>IF(AND(E324&lt;&gt;"",F324&lt;&gt;""), F324-E324, IF(G324&lt;&gt;"", G324, 0))</f>
        <v/>
      </c>
      <c r="I324" s="48">
        <f>H324*Settings!$B$5</f>
        <v/>
      </c>
      <c r="K324">
        <f>IF(AND(A324&lt;&gt;"",C324&lt;&gt;"",D324&lt;&gt;"",H324&gt;0),"✓","⚠ missing")</f>
        <v/>
      </c>
      <c r="L324" s="44" t="n"/>
      <c r="M324" s="45" t="n"/>
      <c r="N324" s="39" t="n"/>
      <c r="O324" s="46" t="n"/>
    </row>
    <row r="325">
      <c r="H325" s="47">
        <f>IF(AND(E325&lt;&gt;"",F325&lt;&gt;""), F325-E325, IF(G325&lt;&gt;"", G325, 0))</f>
        <v/>
      </c>
      <c r="I325" s="48">
        <f>H325*Settings!$B$5</f>
        <v/>
      </c>
      <c r="K325">
        <f>IF(AND(A325&lt;&gt;"",C325&lt;&gt;"",D325&lt;&gt;"",H325&gt;0),"✓","⚠ missing")</f>
        <v/>
      </c>
      <c r="L325" s="44" t="n"/>
      <c r="M325" s="45" t="n"/>
      <c r="N325" s="39" t="n"/>
      <c r="O325" s="46" t="n"/>
    </row>
    <row r="326">
      <c r="H326" s="47">
        <f>IF(AND(E326&lt;&gt;"",F326&lt;&gt;""), F326-E326, IF(G326&lt;&gt;"", G326, 0))</f>
        <v/>
      </c>
      <c r="I326" s="48">
        <f>H326*Settings!$B$5</f>
        <v/>
      </c>
      <c r="K326">
        <f>IF(AND(A326&lt;&gt;"",C326&lt;&gt;"",D326&lt;&gt;"",H326&gt;0),"✓","⚠ missing")</f>
        <v/>
      </c>
      <c r="L326" s="44" t="n"/>
      <c r="M326" s="45" t="n"/>
      <c r="N326" s="39" t="n"/>
      <c r="O326" s="46" t="n"/>
    </row>
    <row r="327">
      <c r="H327" s="47">
        <f>IF(AND(E327&lt;&gt;"",F327&lt;&gt;""), F327-E327, IF(G327&lt;&gt;"", G327, 0))</f>
        <v/>
      </c>
      <c r="I327" s="48">
        <f>H327*Settings!$B$5</f>
        <v/>
      </c>
      <c r="K327">
        <f>IF(AND(A327&lt;&gt;"",C327&lt;&gt;"",D327&lt;&gt;"",H327&gt;0),"✓","⚠ missing")</f>
        <v/>
      </c>
      <c r="L327" s="44" t="n"/>
      <c r="M327" s="45" t="n"/>
      <c r="N327" s="39" t="n"/>
      <c r="O327" s="46" t="n"/>
    </row>
    <row r="328">
      <c r="H328" s="47">
        <f>IF(AND(E328&lt;&gt;"",F328&lt;&gt;""), F328-E328, IF(G328&lt;&gt;"", G328, 0))</f>
        <v/>
      </c>
      <c r="I328" s="48">
        <f>H328*Settings!$B$5</f>
        <v/>
      </c>
      <c r="K328">
        <f>IF(AND(A328&lt;&gt;"",C328&lt;&gt;"",D328&lt;&gt;"",H328&gt;0),"✓","⚠ missing")</f>
        <v/>
      </c>
      <c r="L328" s="44" t="n"/>
      <c r="M328" s="45" t="n"/>
      <c r="N328" s="39" t="n"/>
      <c r="O328" s="46" t="n"/>
    </row>
    <row r="329">
      <c r="H329" s="47">
        <f>IF(AND(E329&lt;&gt;"",F329&lt;&gt;""), F329-E329, IF(G329&lt;&gt;"", G329, 0))</f>
        <v/>
      </c>
      <c r="I329" s="48">
        <f>H329*Settings!$B$5</f>
        <v/>
      </c>
      <c r="K329">
        <f>IF(AND(A329&lt;&gt;"",C329&lt;&gt;"",D329&lt;&gt;"",H329&gt;0),"✓","⚠ missing")</f>
        <v/>
      </c>
      <c r="L329" s="44" t="n"/>
      <c r="M329" s="45" t="n"/>
      <c r="N329" s="39" t="n"/>
      <c r="O329" s="46" t="n"/>
    </row>
    <row r="330">
      <c r="H330" s="47">
        <f>IF(AND(E330&lt;&gt;"",F330&lt;&gt;""), F330-E330, IF(G330&lt;&gt;"", G330, 0))</f>
        <v/>
      </c>
      <c r="I330" s="48">
        <f>H330*Settings!$B$5</f>
        <v/>
      </c>
      <c r="K330">
        <f>IF(AND(A330&lt;&gt;"",C330&lt;&gt;"",D330&lt;&gt;"",H330&gt;0),"✓","⚠ missing")</f>
        <v/>
      </c>
      <c r="L330" s="44" t="n"/>
      <c r="M330" s="45" t="n"/>
      <c r="N330" s="39" t="n"/>
      <c r="O330" s="46" t="n"/>
    </row>
    <row r="331">
      <c r="H331" s="47">
        <f>IF(AND(E331&lt;&gt;"",F331&lt;&gt;""), F331-E331, IF(G331&lt;&gt;"", G331, 0))</f>
        <v/>
      </c>
      <c r="I331" s="48">
        <f>H331*Settings!$B$5</f>
        <v/>
      </c>
      <c r="K331">
        <f>IF(AND(A331&lt;&gt;"",C331&lt;&gt;"",D331&lt;&gt;"",H331&gt;0),"✓","⚠ missing")</f>
        <v/>
      </c>
      <c r="L331" s="44" t="n"/>
      <c r="M331" s="45" t="n"/>
      <c r="N331" s="39" t="n"/>
      <c r="O331" s="46" t="n"/>
    </row>
    <row r="332">
      <c r="H332" s="47">
        <f>IF(AND(E332&lt;&gt;"",F332&lt;&gt;""), F332-E332, IF(G332&lt;&gt;"", G332, 0))</f>
        <v/>
      </c>
      <c r="I332" s="48">
        <f>H332*Settings!$B$5</f>
        <v/>
      </c>
      <c r="K332">
        <f>IF(AND(A332&lt;&gt;"",C332&lt;&gt;"",D332&lt;&gt;"",H332&gt;0),"✓","⚠ missing")</f>
        <v/>
      </c>
      <c r="L332" s="44" t="n"/>
      <c r="M332" s="45" t="n"/>
      <c r="N332" s="39" t="n"/>
      <c r="O332" s="46" t="n"/>
    </row>
    <row r="333">
      <c r="H333" s="47">
        <f>IF(AND(E333&lt;&gt;"",F333&lt;&gt;""), F333-E333, IF(G333&lt;&gt;"", G333, 0))</f>
        <v/>
      </c>
      <c r="I333" s="48">
        <f>H333*Settings!$B$5</f>
        <v/>
      </c>
      <c r="K333">
        <f>IF(AND(A333&lt;&gt;"",C333&lt;&gt;"",D333&lt;&gt;"",H333&gt;0),"✓","⚠ missing")</f>
        <v/>
      </c>
      <c r="L333" s="44" t="n"/>
      <c r="M333" s="45" t="n"/>
      <c r="N333" s="39" t="n"/>
      <c r="O333" s="46" t="n"/>
    </row>
    <row r="334">
      <c r="H334" s="47">
        <f>IF(AND(E334&lt;&gt;"",F334&lt;&gt;""), F334-E334, IF(G334&lt;&gt;"", G334, 0))</f>
        <v/>
      </c>
      <c r="I334" s="48">
        <f>H334*Settings!$B$5</f>
        <v/>
      </c>
      <c r="K334">
        <f>IF(AND(A334&lt;&gt;"",C334&lt;&gt;"",D334&lt;&gt;"",H334&gt;0),"✓","⚠ missing")</f>
        <v/>
      </c>
      <c r="L334" s="44" t="n"/>
      <c r="M334" s="45" t="n"/>
      <c r="N334" s="39" t="n"/>
      <c r="O334" s="46" t="n"/>
    </row>
    <row r="335">
      <c r="H335" s="47">
        <f>IF(AND(E335&lt;&gt;"",F335&lt;&gt;""), F335-E335, IF(G335&lt;&gt;"", G335, 0))</f>
        <v/>
      </c>
      <c r="I335" s="48">
        <f>H335*Settings!$B$5</f>
        <v/>
      </c>
      <c r="K335">
        <f>IF(AND(A335&lt;&gt;"",C335&lt;&gt;"",D335&lt;&gt;"",H335&gt;0),"✓","⚠ missing")</f>
        <v/>
      </c>
      <c r="L335" s="44" t="n"/>
      <c r="M335" s="45" t="n"/>
      <c r="N335" s="39" t="n"/>
      <c r="O335" s="46" t="n"/>
    </row>
    <row r="336">
      <c r="H336" s="47">
        <f>IF(AND(E336&lt;&gt;"",F336&lt;&gt;""), F336-E336, IF(G336&lt;&gt;"", G336, 0))</f>
        <v/>
      </c>
      <c r="I336" s="48">
        <f>H336*Settings!$B$5</f>
        <v/>
      </c>
      <c r="K336">
        <f>IF(AND(A336&lt;&gt;"",C336&lt;&gt;"",D336&lt;&gt;"",H336&gt;0),"✓","⚠ missing")</f>
        <v/>
      </c>
      <c r="L336" s="44" t="n"/>
      <c r="M336" s="45" t="n"/>
      <c r="N336" s="39" t="n"/>
      <c r="O336" s="46" t="n"/>
    </row>
    <row r="337">
      <c r="H337" s="47">
        <f>IF(AND(E337&lt;&gt;"",F337&lt;&gt;""), F337-E337, IF(G337&lt;&gt;"", G337, 0))</f>
        <v/>
      </c>
      <c r="I337" s="48">
        <f>H337*Settings!$B$5</f>
        <v/>
      </c>
      <c r="K337">
        <f>IF(AND(A337&lt;&gt;"",C337&lt;&gt;"",D337&lt;&gt;"",H337&gt;0),"✓","⚠ missing")</f>
        <v/>
      </c>
      <c r="L337" s="44" t="n"/>
      <c r="M337" s="45" t="n"/>
      <c r="N337" s="39" t="n"/>
      <c r="O337" s="46" t="n"/>
    </row>
    <row r="338">
      <c r="H338" s="47">
        <f>IF(AND(E338&lt;&gt;"",F338&lt;&gt;""), F338-E338, IF(G338&lt;&gt;"", G338, 0))</f>
        <v/>
      </c>
      <c r="I338" s="48">
        <f>H338*Settings!$B$5</f>
        <v/>
      </c>
      <c r="K338">
        <f>IF(AND(A338&lt;&gt;"",C338&lt;&gt;"",D338&lt;&gt;"",H338&gt;0),"✓","⚠ missing")</f>
        <v/>
      </c>
      <c r="L338" s="44" t="n"/>
      <c r="M338" s="45" t="n"/>
      <c r="N338" s="39" t="n"/>
      <c r="O338" s="46" t="n"/>
    </row>
    <row r="339">
      <c r="H339" s="47">
        <f>IF(AND(E339&lt;&gt;"",F339&lt;&gt;""), F339-E339, IF(G339&lt;&gt;"", G339, 0))</f>
        <v/>
      </c>
      <c r="I339" s="48">
        <f>H339*Settings!$B$5</f>
        <v/>
      </c>
      <c r="K339">
        <f>IF(AND(A339&lt;&gt;"",C339&lt;&gt;"",D339&lt;&gt;"",H339&gt;0),"✓","⚠ missing")</f>
        <v/>
      </c>
      <c r="L339" s="44" t="n"/>
      <c r="M339" s="45" t="n"/>
      <c r="N339" s="39" t="n"/>
      <c r="O339" s="46" t="n"/>
    </row>
    <row r="340">
      <c r="H340" s="47">
        <f>IF(AND(E340&lt;&gt;"",F340&lt;&gt;""), F340-E340, IF(G340&lt;&gt;"", G340, 0))</f>
        <v/>
      </c>
      <c r="I340" s="48">
        <f>H340*Settings!$B$5</f>
        <v/>
      </c>
      <c r="K340">
        <f>IF(AND(A340&lt;&gt;"",C340&lt;&gt;"",D340&lt;&gt;"",H340&gt;0),"✓","⚠ missing")</f>
        <v/>
      </c>
      <c r="L340" s="44" t="n"/>
      <c r="M340" s="45" t="n"/>
      <c r="N340" s="39" t="n"/>
      <c r="O340" s="46" t="n"/>
    </row>
    <row r="341">
      <c r="H341" s="47">
        <f>IF(AND(E341&lt;&gt;"",F341&lt;&gt;""), F341-E341, IF(G341&lt;&gt;"", G341, 0))</f>
        <v/>
      </c>
      <c r="I341" s="48">
        <f>H341*Settings!$B$5</f>
        <v/>
      </c>
      <c r="K341">
        <f>IF(AND(A341&lt;&gt;"",C341&lt;&gt;"",D341&lt;&gt;"",H341&gt;0),"✓","⚠ missing")</f>
        <v/>
      </c>
      <c r="L341" s="44" t="n"/>
      <c r="M341" s="45" t="n"/>
      <c r="N341" s="39" t="n"/>
      <c r="O341" s="46" t="n"/>
    </row>
    <row r="342">
      <c r="H342" s="47">
        <f>IF(AND(E342&lt;&gt;"",F342&lt;&gt;""), F342-E342, IF(G342&lt;&gt;"", G342, 0))</f>
        <v/>
      </c>
      <c r="I342" s="48">
        <f>H342*Settings!$B$5</f>
        <v/>
      </c>
      <c r="K342">
        <f>IF(AND(A342&lt;&gt;"",C342&lt;&gt;"",D342&lt;&gt;"",H342&gt;0),"✓","⚠ missing")</f>
        <v/>
      </c>
      <c r="L342" s="44" t="n"/>
      <c r="M342" s="45" t="n"/>
      <c r="N342" s="39" t="n"/>
      <c r="O342" s="46" t="n"/>
    </row>
    <row r="343">
      <c r="H343" s="47">
        <f>IF(AND(E343&lt;&gt;"",F343&lt;&gt;""), F343-E343, IF(G343&lt;&gt;"", G343, 0))</f>
        <v/>
      </c>
      <c r="I343" s="48">
        <f>H343*Settings!$B$5</f>
        <v/>
      </c>
      <c r="K343">
        <f>IF(AND(A343&lt;&gt;"",C343&lt;&gt;"",D343&lt;&gt;"",H343&gt;0),"✓","⚠ missing")</f>
        <v/>
      </c>
      <c r="L343" s="44" t="n"/>
      <c r="M343" s="45" t="n"/>
      <c r="N343" s="39" t="n"/>
      <c r="O343" s="46" t="n"/>
    </row>
    <row r="344">
      <c r="H344" s="47">
        <f>IF(AND(E344&lt;&gt;"",F344&lt;&gt;""), F344-E344, IF(G344&lt;&gt;"", G344, 0))</f>
        <v/>
      </c>
      <c r="I344" s="48">
        <f>H344*Settings!$B$5</f>
        <v/>
      </c>
      <c r="K344">
        <f>IF(AND(A344&lt;&gt;"",C344&lt;&gt;"",D344&lt;&gt;"",H344&gt;0),"✓","⚠ missing")</f>
        <v/>
      </c>
      <c r="L344" s="44" t="n"/>
      <c r="M344" s="45" t="n"/>
      <c r="N344" s="39" t="n"/>
      <c r="O344" s="46" t="n"/>
    </row>
    <row r="345">
      <c r="H345" s="47">
        <f>IF(AND(E345&lt;&gt;"",F345&lt;&gt;""), F345-E345, IF(G345&lt;&gt;"", G345, 0))</f>
        <v/>
      </c>
      <c r="I345" s="48">
        <f>H345*Settings!$B$5</f>
        <v/>
      </c>
      <c r="K345">
        <f>IF(AND(A345&lt;&gt;"",C345&lt;&gt;"",D345&lt;&gt;"",H345&gt;0),"✓","⚠ missing")</f>
        <v/>
      </c>
      <c r="L345" s="44" t="n"/>
      <c r="M345" s="45" t="n"/>
      <c r="N345" s="39" t="n"/>
      <c r="O345" s="46" t="n"/>
    </row>
    <row r="346">
      <c r="H346" s="47">
        <f>IF(AND(E346&lt;&gt;"",F346&lt;&gt;""), F346-E346, IF(G346&lt;&gt;"", G346, 0))</f>
        <v/>
      </c>
      <c r="I346" s="48">
        <f>H346*Settings!$B$5</f>
        <v/>
      </c>
      <c r="K346">
        <f>IF(AND(A346&lt;&gt;"",C346&lt;&gt;"",D346&lt;&gt;"",H346&gt;0),"✓","⚠ missing")</f>
        <v/>
      </c>
      <c r="L346" s="44" t="n"/>
      <c r="M346" s="45" t="n"/>
      <c r="N346" s="39" t="n"/>
      <c r="O346" s="46" t="n"/>
    </row>
    <row r="347">
      <c r="H347" s="47">
        <f>IF(AND(E347&lt;&gt;"",F347&lt;&gt;""), F347-E347, IF(G347&lt;&gt;"", G347, 0))</f>
        <v/>
      </c>
      <c r="I347" s="48">
        <f>H347*Settings!$B$5</f>
        <v/>
      </c>
      <c r="K347">
        <f>IF(AND(A347&lt;&gt;"",C347&lt;&gt;"",D347&lt;&gt;"",H347&gt;0),"✓","⚠ missing")</f>
        <v/>
      </c>
      <c r="L347" s="44" t="n"/>
      <c r="M347" s="45" t="n"/>
      <c r="N347" s="39" t="n"/>
      <c r="O347" s="46" t="n"/>
    </row>
    <row r="348">
      <c r="H348" s="47">
        <f>IF(AND(E348&lt;&gt;"",F348&lt;&gt;""), F348-E348, IF(G348&lt;&gt;"", G348, 0))</f>
        <v/>
      </c>
      <c r="I348" s="48">
        <f>H348*Settings!$B$5</f>
        <v/>
      </c>
      <c r="K348">
        <f>IF(AND(A348&lt;&gt;"",C348&lt;&gt;"",D348&lt;&gt;"",H348&gt;0),"✓","⚠ missing")</f>
        <v/>
      </c>
      <c r="L348" s="44" t="n"/>
      <c r="M348" s="45" t="n"/>
      <c r="N348" s="39" t="n"/>
      <c r="O348" s="46" t="n"/>
    </row>
    <row r="349">
      <c r="H349" s="47">
        <f>IF(AND(E349&lt;&gt;"",F349&lt;&gt;""), F349-E349, IF(G349&lt;&gt;"", G349, 0))</f>
        <v/>
      </c>
      <c r="I349" s="48">
        <f>H349*Settings!$B$5</f>
        <v/>
      </c>
      <c r="K349">
        <f>IF(AND(A349&lt;&gt;"",C349&lt;&gt;"",D349&lt;&gt;"",H349&gt;0),"✓","⚠ missing")</f>
        <v/>
      </c>
      <c r="L349" s="44" t="n"/>
      <c r="M349" s="45" t="n"/>
      <c r="N349" s="39" t="n"/>
      <c r="O349" s="46" t="n"/>
    </row>
    <row r="350">
      <c r="H350" s="47">
        <f>IF(AND(E350&lt;&gt;"",F350&lt;&gt;""), F350-E350, IF(G350&lt;&gt;"", G350, 0))</f>
        <v/>
      </c>
      <c r="I350" s="48">
        <f>H350*Settings!$B$5</f>
        <v/>
      </c>
      <c r="K350">
        <f>IF(AND(A350&lt;&gt;"",C350&lt;&gt;"",D350&lt;&gt;"",H350&gt;0),"✓","⚠ missing")</f>
        <v/>
      </c>
      <c r="L350" s="44" t="n"/>
      <c r="M350" s="45" t="n"/>
      <c r="N350" s="39" t="n"/>
      <c r="O350" s="46" t="n"/>
    </row>
    <row r="351">
      <c r="H351" s="47">
        <f>IF(AND(E351&lt;&gt;"",F351&lt;&gt;""), F351-E351, IF(G351&lt;&gt;"", G351, 0))</f>
        <v/>
      </c>
      <c r="I351" s="48">
        <f>H351*Settings!$B$5</f>
        <v/>
      </c>
      <c r="K351">
        <f>IF(AND(A351&lt;&gt;"",C351&lt;&gt;"",D351&lt;&gt;"",H351&gt;0),"✓","⚠ missing")</f>
        <v/>
      </c>
      <c r="L351" s="44" t="n"/>
      <c r="M351" s="45" t="n"/>
      <c r="N351" s="39" t="n"/>
      <c r="O351" s="46" t="n"/>
    </row>
    <row r="352">
      <c r="H352" s="47">
        <f>IF(AND(E352&lt;&gt;"",F352&lt;&gt;""), F352-E352, IF(G352&lt;&gt;"", G352, 0))</f>
        <v/>
      </c>
      <c r="I352" s="48">
        <f>H352*Settings!$B$5</f>
        <v/>
      </c>
      <c r="K352">
        <f>IF(AND(A352&lt;&gt;"",C352&lt;&gt;"",D352&lt;&gt;"",H352&gt;0),"✓","⚠ missing")</f>
        <v/>
      </c>
      <c r="L352" s="44" t="n"/>
      <c r="M352" s="45" t="n"/>
      <c r="N352" s="39" t="n"/>
      <c r="O352" s="46" t="n"/>
    </row>
    <row r="353">
      <c r="H353" s="47">
        <f>IF(AND(E353&lt;&gt;"",F353&lt;&gt;""), F353-E353, IF(G353&lt;&gt;"", G353, 0))</f>
        <v/>
      </c>
      <c r="I353" s="48">
        <f>H353*Settings!$B$5</f>
        <v/>
      </c>
      <c r="K353">
        <f>IF(AND(A353&lt;&gt;"",C353&lt;&gt;"",D353&lt;&gt;"",H353&gt;0),"✓","⚠ missing")</f>
        <v/>
      </c>
      <c r="L353" s="44" t="n"/>
      <c r="M353" s="45" t="n"/>
      <c r="N353" s="39" t="n"/>
      <c r="O353" s="46" t="n"/>
    </row>
    <row r="354">
      <c r="H354" s="47">
        <f>IF(AND(E354&lt;&gt;"",F354&lt;&gt;""), F354-E354, IF(G354&lt;&gt;"", G354, 0))</f>
        <v/>
      </c>
      <c r="I354" s="48">
        <f>H354*Settings!$B$5</f>
        <v/>
      </c>
      <c r="K354">
        <f>IF(AND(A354&lt;&gt;"",C354&lt;&gt;"",D354&lt;&gt;"",H354&gt;0),"✓","⚠ missing")</f>
        <v/>
      </c>
      <c r="L354" s="44" t="n"/>
      <c r="M354" s="45" t="n"/>
      <c r="N354" s="39" t="n"/>
      <c r="O354" s="46" t="n"/>
    </row>
    <row r="355">
      <c r="H355" s="47">
        <f>IF(AND(E355&lt;&gt;"",F355&lt;&gt;""), F355-E355, IF(G355&lt;&gt;"", G355, 0))</f>
        <v/>
      </c>
      <c r="I355" s="48">
        <f>H355*Settings!$B$5</f>
        <v/>
      </c>
      <c r="K355">
        <f>IF(AND(A355&lt;&gt;"",C355&lt;&gt;"",D355&lt;&gt;"",H355&gt;0),"✓","⚠ missing")</f>
        <v/>
      </c>
      <c r="L355" s="44" t="n"/>
      <c r="M355" s="45" t="n"/>
      <c r="N355" s="39" t="n"/>
      <c r="O355" s="46" t="n"/>
    </row>
    <row r="356">
      <c r="H356" s="47">
        <f>IF(AND(E356&lt;&gt;"",F356&lt;&gt;""), F356-E356, IF(G356&lt;&gt;"", G356, 0))</f>
        <v/>
      </c>
      <c r="I356" s="48">
        <f>H356*Settings!$B$5</f>
        <v/>
      </c>
      <c r="K356">
        <f>IF(AND(A356&lt;&gt;"",C356&lt;&gt;"",D356&lt;&gt;"",H356&gt;0),"✓","⚠ missing")</f>
        <v/>
      </c>
      <c r="L356" s="44" t="n"/>
      <c r="M356" s="45" t="n"/>
      <c r="N356" s="39" t="n"/>
      <c r="O356" s="46" t="n"/>
    </row>
    <row r="357">
      <c r="H357" s="47">
        <f>IF(AND(E357&lt;&gt;"",F357&lt;&gt;""), F357-E357, IF(G357&lt;&gt;"", G357, 0))</f>
        <v/>
      </c>
      <c r="I357" s="48">
        <f>H357*Settings!$B$5</f>
        <v/>
      </c>
      <c r="K357">
        <f>IF(AND(A357&lt;&gt;"",C357&lt;&gt;"",D357&lt;&gt;"",H357&gt;0),"✓","⚠ missing")</f>
        <v/>
      </c>
      <c r="L357" s="44" t="n"/>
      <c r="M357" s="45" t="n"/>
      <c r="N357" s="39" t="n"/>
      <c r="O357" s="46" t="n"/>
    </row>
    <row r="358">
      <c r="H358" s="47">
        <f>IF(AND(E358&lt;&gt;"",F358&lt;&gt;""), F358-E358, IF(G358&lt;&gt;"", G358, 0))</f>
        <v/>
      </c>
      <c r="I358" s="48">
        <f>H358*Settings!$B$5</f>
        <v/>
      </c>
      <c r="K358">
        <f>IF(AND(A358&lt;&gt;"",C358&lt;&gt;"",D358&lt;&gt;"",H358&gt;0),"✓","⚠ missing")</f>
        <v/>
      </c>
      <c r="L358" s="44" t="n"/>
      <c r="M358" s="45" t="n"/>
      <c r="N358" s="39" t="n"/>
      <c r="O358" s="46" t="n"/>
    </row>
    <row r="359">
      <c r="H359" s="47">
        <f>IF(AND(E359&lt;&gt;"",F359&lt;&gt;""), F359-E359, IF(G359&lt;&gt;"", G359, 0))</f>
        <v/>
      </c>
      <c r="I359" s="48">
        <f>H359*Settings!$B$5</f>
        <v/>
      </c>
      <c r="K359">
        <f>IF(AND(A359&lt;&gt;"",C359&lt;&gt;"",D359&lt;&gt;"",H359&gt;0),"✓","⚠ missing")</f>
        <v/>
      </c>
      <c r="L359" s="44" t="n"/>
      <c r="M359" s="45" t="n"/>
      <c r="N359" s="39" t="n"/>
      <c r="O359" s="46" t="n"/>
    </row>
    <row r="360">
      <c r="H360" s="47">
        <f>IF(AND(E360&lt;&gt;"",F360&lt;&gt;""), F360-E360, IF(G360&lt;&gt;"", G360, 0))</f>
        <v/>
      </c>
      <c r="I360" s="48">
        <f>H360*Settings!$B$5</f>
        <v/>
      </c>
      <c r="K360">
        <f>IF(AND(A360&lt;&gt;"",C360&lt;&gt;"",D360&lt;&gt;"",H360&gt;0),"✓","⚠ missing")</f>
        <v/>
      </c>
      <c r="L360" s="44" t="n"/>
      <c r="M360" s="45" t="n"/>
      <c r="N360" s="39" t="n"/>
      <c r="O360" s="46" t="n"/>
    </row>
    <row r="361">
      <c r="H361" s="47">
        <f>IF(AND(E361&lt;&gt;"",F361&lt;&gt;""), F361-E361, IF(G361&lt;&gt;"", G361, 0))</f>
        <v/>
      </c>
      <c r="I361" s="48">
        <f>H361*Settings!$B$5</f>
        <v/>
      </c>
      <c r="K361">
        <f>IF(AND(A361&lt;&gt;"",C361&lt;&gt;"",D361&lt;&gt;"",H361&gt;0),"✓","⚠ missing")</f>
        <v/>
      </c>
      <c r="L361" s="44" t="n"/>
      <c r="M361" s="45" t="n"/>
      <c r="N361" s="39" t="n"/>
      <c r="O361" s="46" t="n"/>
    </row>
    <row r="362">
      <c r="H362" s="47">
        <f>IF(AND(E362&lt;&gt;"",F362&lt;&gt;""), F362-E362, IF(G362&lt;&gt;"", G362, 0))</f>
        <v/>
      </c>
      <c r="I362" s="48">
        <f>H362*Settings!$B$5</f>
        <v/>
      </c>
      <c r="K362">
        <f>IF(AND(A362&lt;&gt;"",C362&lt;&gt;"",D362&lt;&gt;"",H362&gt;0),"✓","⚠ missing")</f>
        <v/>
      </c>
      <c r="L362" s="44" t="n"/>
      <c r="M362" s="45" t="n"/>
      <c r="N362" s="39" t="n"/>
      <c r="O362" s="46" t="n"/>
    </row>
    <row r="363">
      <c r="H363" s="47">
        <f>IF(AND(E363&lt;&gt;"",F363&lt;&gt;""), F363-E363, IF(G363&lt;&gt;"", G363, 0))</f>
        <v/>
      </c>
      <c r="I363" s="48">
        <f>H363*Settings!$B$5</f>
        <v/>
      </c>
      <c r="K363">
        <f>IF(AND(A363&lt;&gt;"",C363&lt;&gt;"",D363&lt;&gt;"",H363&gt;0),"✓","⚠ missing")</f>
        <v/>
      </c>
      <c r="L363" s="44" t="n"/>
      <c r="M363" s="45" t="n"/>
      <c r="N363" s="39" t="n"/>
      <c r="O363" s="46" t="n"/>
    </row>
    <row r="364">
      <c r="H364" s="47">
        <f>IF(AND(E364&lt;&gt;"",F364&lt;&gt;""), F364-E364, IF(G364&lt;&gt;"", G364, 0))</f>
        <v/>
      </c>
      <c r="I364" s="48">
        <f>H364*Settings!$B$5</f>
        <v/>
      </c>
      <c r="K364">
        <f>IF(AND(A364&lt;&gt;"",C364&lt;&gt;"",D364&lt;&gt;"",H364&gt;0),"✓","⚠ missing")</f>
        <v/>
      </c>
      <c r="L364" s="44" t="n"/>
      <c r="M364" s="45" t="n"/>
      <c r="N364" s="39" t="n"/>
      <c r="O364" s="46" t="n"/>
    </row>
    <row r="365">
      <c r="H365" s="47">
        <f>IF(AND(E365&lt;&gt;"",F365&lt;&gt;""), F365-E365, IF(G365&lt;&gt;"", G365, 0))</f>
        <v/>
      </c>
      <c r="I365" s="48">
        <f>H365*Settings!$B$5</f>
        <v/>
      </c>
      <c r="K365">
        <f>IF(AND(A365&lt;&gt;"",C365&lt;&gt;"",D365&lt;&gt;"",H365&gt;0),"✓","⚠ missing")</f>
        <v/>
      </c>
      <c r="L365" s="44" t="n"/>
      <c r="M365" s="45" t="n"/>
      <c r="N365" s="39" t="n"/>
      <c r="O365" s="46" t="n"/>
    </row>
    <row r="366">
      <c r="H366" s="47">
        <f>IF(AND(E366&lt;&gt;"",F366&lt;&gt;""), F366-E366, IF(G366&lt;&gt;"", G366, 0))</f>
        <v/>
      </c>
      <c r="I366" s="48">
        <f>H366*Settings!$B$5</f>
        <v/>
      </c>
      <c r="K366">
        <f>IF(AND(A366&lt;&gt;"",C366&lt;&gt;"",D366&lt;&gt;"",H366&gt;0),"✓","⚠ missing")</f>
        <v/>
      </c>
      <c r="L366" s="44" t="n"/>
      <c r="M366" s="45" t="n"/>
      <c r="N366" s="39" t="n"/>
      <c r="O366" s="46" t="n"/>
    </row>
    <row r="367">
      <c r="H367" s="47">
        <f>IF(AND(E367&lt;&gt;"",F367&lt;&gt;""), F367-E367, IF(G367&lt;&gt;"", G367, 0))</f>
        <v/>
      </c>
      <c r="I367" s="48">
        <f>H367*Settings!$B$5</f>
        <v/>
      </c>
      <c r="K367">
        <f>IF(AND(A367&lt;&gt;"",C367&lt;&gt;"",D367&lt;&gt;"",H367&gt;0),"✓","⚠ missing")</f>
        <v/>
      </c>
      <c r="L367" s="44" t="n"/>
      <c r="M367" s="45" t="n"/>
      <c r="N367" s="39" t="n"/>
      <c r="O367" s="46" t="n"/>
    </row>
    <row r="368">
      <c r="H368" s="47">
        <f>IF(AND(E368&lt;&gt;"",F368&lt;&gt;""), F368-E368, IF(G368&lt;&gt;"", G368, 0))</f>
        <v/>
      </c>
      <c r="I368" s="48">
        <f>H368*Settings!$B$5</f>
        <v/>
      </c>
      <c r="K368">
        <f>IF(AND(A368&lt;&gt;"",C368&lt;&gt;"",D368&lt;&gt;"",H368&gt;0),"✓","⚠ missing")</f>
        <v/>
      </c>
      <c r="L368" s="44" t="n"/>
      <c r="M368" s="45" t="n"/>
      <c r="N368" s="39" t="n"/>
      <c r="O368" s="46" t="n"/>
    </row>
    <row r="369">
      <c r="H369" s="47">
        <f>IF(AND(E369&lt;&gt;"",F369&lt;&gt;""), F369-E369, IF(G369&lt;&gt;"", G369, 0))</f>
        <v/>
      </c>
      <c r="I369" s="48">
        <f>H369*Settings!$B$5</f>
        <v/>
      </c>
      <c r="K369">
        <f>IF(AND(A369&lt;&gt;"",C369&lt;&gt;"",D369&lt;&gt;"",H369&gt;0),"✓","⚠ missing")</f>
        <v/>
      </c>
      <c r="L369" s="44" t="n"/>
      <c r="M369" s="45" t="n"/>
      <c r="N369" s="39" t="n"/>
      <c r="O369" s="46" t="n"/>
    </row>
    <row r="370">
      <c r="H370" s="47">
        <f>IF(AND(E370&lt;&gt;"",F370&lt;&gt;""), F370-E370, IF(G370&lt;&gt;"", G370, 0))</f>
        <v/>
      </c>
      <c r="I370" s="48">
        <f>H370*Settings!$B$5</f>
        <v/>
      </c>
      <c r="K370">
        <f>IF(AND(A370&lt;&gt;"",C370&lt;&gt;"",D370&lt;&gt;"",H370&gt;0),"✓","⚠ missing")</f>
        <v/>
      </c>
      <c r="L370" s="44" t="n"/>
      <c r="M370" s="45" t="n"/>
      <c r="N370" s="39" t="n"/>
      <c r="O370" s="46" t="n"/>
    </row>
    <row r="371">
      <c r="H371" s="47">
        <f>IF(AND(E371&lt;&gt;"",F371&lt;&gt;""), F371-E371, IF(G371&lt;&gt;"", G371, 0))</f>
        <v/>
      </c>
      <c r="I371" s="48">
        <f>H371*Settings!$B$5</f>
        <v/>
      </c>
      <c r="K371">
        <f>IF(AND(A371&lt;&gt;"",C371&lt;&gt;"",D371&lt;&gt;"",H371&gt;0),"✓","⚠ missing")</f>
        <v/>
      </c>
      <c r="L371" s="44" t="n"/>
      <c r="M371" s="45" t="n"/>
      <c r="N371" s="39" t="n"/>
      <c r="O371" s="46" t="n"/>
    </row>
    <row r="372">
      <c r="H372" s="47">
        <f>IF(AND(E372&lt;&gt;"",F372&lt;&gt;""), F372-E372, IF(G372&lt;&gt;"", G372, 0))</f>
        <v/>
      </c>
      <c r="I372" s="48">
        <f>H372*Settings!$B$5</f>
        <v/>
      </c>
      <c r="K372">
        <f>IF(AND(A372&lt;&gt;"",C372&lt;&gt;"",D372&lt;&gt;"",H372&gt;0),"✓","⚠ missing")</f>
        <v/>
      </c>
      <c r="L372" s="44" t="n"/>
      <c r="M372" s="45" t="n"/>
      <c r="N372" s="39" t="n"/>
      <c r="O372" s="46" t="n"/>
    </row>
    <row r="373">
      <c r="H373" s="47">
        <f>IF(AND(E373&lt;&gt;"",F373&lt;&gt;""), F373-E373, IF(G373&lt;&gt;"", G373, 0))</f>
        <v/>
      </c>
      <c r="I373" s="48">
        <f>H373*Settings!$B$5</f>
        <v/>
      </c>
      <c r="K373">
        <f>IF(AND(A373&lt;&gt;"",C373&lt;&gt;"",D373&lt;&gt;"",H373&gt;0),"✓","⚠ missing")</f>
        <v/>
      </c>
      <c r="L373" s="44" t="n"/>
      <c r="M373" s="45" t="n"/>
      <c r="N373" s="39" t="n"/>
      <c r="O373" s="46" t="n"/>
    </row>
    <row r="374">
      <c r="H374" s="47">
        <f>IF(AND(E374&lt;&gt;"",F374&lt;&gt;""), F374-E374, IF(G374&lt;&gt;"", G374, 0))</f>
        <v/>
      </c>
      <c r="I374" s="48">
        <f>H374*Settings!$B$5</f>
        <v/>
      </c>
      <c r="K374">
        <f>IF(AND(A374&lt;&gt;"",C374&lt;&gt;"",D374&lt;&gt;"",H374&gt;0),"✓","⚠ missing")</f>
        <v/>
      </c>
      <c r="L374" s="44" t="n"/>
      <c r="M374" s="45" t="n"/>
      <c r="N374" s="39" t="n"/>
      <c r="O374" s="46" t="n"/>
    </row>
    <row r="375">
      <c r="H375" s="47">
        <f>IF(AND(E375&lt;&gt;"",F375&lt;&gt;""), F375-E375, IF(G375&lt;&gt;"", G375, 0))</f>
        <v/>
      </c>
      <c r="I375" s="48">
        <f>H375*Settings!$B$5</f>
        <v/>
      </c>
      <c r="K375">
        <f>IF(AND(A375&lt;&gt;"",C375&lt;&gt;"",D375&lt;&gt;"",H375&gt;0),"✓","⚠ missing")</f>
        <v/>
      </c>
      <c r="L375" s="44" t="n"/>
      <c r="M375" s="45" t="n"/>
      <c r="N375" s="39" t="n"/>
      <c r="O375" s="46" t="n"/>
    </row>
    <row r="376">
      <c r="H376" s="47">
        <f>IF(AND(E376&lt;&gt;"",F376&lt;&gt;""), F376-E376, IF(G376&lt;&gt;"", G376, 0))</f>
        <v/>
      </c>
      <c r="I376" s="48">
        <f>H376*Settings!$B$5</f>
        <v/>
      </c>
      <c r="K376">
        <f>IF(AND(A376&lt;&gt;"",C376&lt;&gt;"",D376&lt;&gt;"",H376&gt;0),"✓","⚠ missing")</f>
        <v/>
      </c>
      <c r="L376" s="44" t="n"/>
      <c r="M376" s="45" t="n"/>
      <c r="N376" s="39" t="n"/>
      <c r="O376" s="46" t="n"/>
    </row>
    <row r="377">
      <c r="H377" s="47">
        <f>IF(AND(E377&lt;&gt;"",F377&lt;&gt;""), F377-E377, IF(G377&lt;&gt;"", G377, 0))</f>
        <v/>
      </c>
      <c r="I377" s="48">
        <f>H377*Settings!$B$5</f>
        <v/>
      </c>
      <c r="K377">
        <f>IF(AND(A377&lt;&gt;"",C377&lt;&gt;"",D377&lt;&gt;"",H377&gt;0),"✓","⚠ missing")</f>
        <v/>
      </c>
      <c r="L377" s="44" t="n"/>
      <c r="M377" s="45" t="n"/>
      <c r="N377" s="39" t="n"/>
      <c r="O377" s="46" t="n"/>
    </row>
    <row r="378">
      <c r="H378" s="47">
        <f>IF(AND(E378&lt;&gt;"",F378&lt;&gt;""), F378-E378, IF(G378&lt;&gt;"", G378, 0))</f>
        <v/>
      </c>
      <c r="I378" s="48">
        <f>H378*Settings!$B$5</f>
        <v/>
      </c>
      <c r="K378">
        <f>IF(AND(A378&lt;&gt;"",C378&lt;&gt;"",D378&lt;&gt;"",H378&gt;0),"✓","⚠ missing")</f>
        <v/>
      </c>
      <c r="L378" s="44" t="n"/>
      <c r="M378" s="45" t="n"/>
      <c r="N378" s="39" t="n"/>
      <c r="O378" s="46" t="n"/>
    </row>
    <row r="379">
      <c r="H379" s="47">
        <f>IF(AND(E379&lt;&gt;"",F379&lt;&gt;""), F379-E379, IF(G379&lt;&gt;"", G379, 0))</f>
        <v/>
      </c>
      <c r="I379" s="48">
        <f>H379*Settings!$B$5</f>
        <v/>
      </c>
      <c r="K379">
        <f>IF(AND(A379&lt;&gt;"",C379&lt;&gt;"",D379&lt;&gt;"",H379&gt;0),"✓","⚠ missing")</f>
        <v/>
      </c>
      <c r="L379" s="44" t="n"/>
      <c r="M379" s="45" t="n"/>
      <c r="N379" s="39" t="n"/>
      <c r="O379" s="46" t="n"/>
    </row>
    <row r="380">
      <c r="H380" s="47">
        <f>IF(AND(E380&lt;&gt;"",F380&lt;&gt;""), F380-E380, IF(G380&lt;&gt;"", G380, 0))</f>
        <v/>
      </c>
      <c r="I380" s="48">
        <f>H380*Settings!$B$5</f>
        <v/>
      </c>
      <c r="K380">
        <f>IF(AND(A380&lt;&gt;"",C380&lt;&gt;"",D380&lt;&gt;"",H380&gt;0),"✓","⚠ missing")</f>
        <v/>
      </c>
      <c r="L380" s="44" t="n"/>
      <c r="M380" s="45" t="n"/>
      <c r="N380" s="39" t="n"/>
      <c r="O380" s="46" t="n"/>
    </row>
    <row r="381">
      <c r="H381" s="47">
        <f>IF(AND(E381&lt;&gt;"",F381&lt;&gt;""), F381-E381, IF(G381&lt;&gt;"", G381, 0))</f>
        <v/>
      </c>
      <c r="I381" s="48">
        <f>H381*Settings!$B$5</f>
        <v/>
      </c>
      <c r="K381">
        <f>IF(AND(A381&lt;&gt;"",C381&lt;&gt;"",D381&lt;&gt;"",H381&gt;0),"✓","⚠ missing")</f>
        <v/>
      </c>
      <c r="L381" s="44" t="n"/>
      <c r="M381" s="45" t="n"/>
      <c r="N381" s="39" t="n"/>
      <c r="O381" s="46" t="n"/>
    </row>
    <row r="382">
      <c r="H382" s="47">
        <f>IF(AND(E382&lt;&gt;"",F382&lt;&gt;""), F382-E382, IF(G382&lt;&gt;"", G382, 0))</f>
        <v/>
      </c>
      <c r="I382" s="48">
        <f>H382*Settings!$B$5</f>
        <v/>
      </c>
      <c r="K382">
        <f>IF(AND(A382&lt;&gt;"",C382&lt;&gt;"",D382&lt;&gt;"",H382&gt;0),"✓","⚠ missing")</f>
        <v/>
      </c>
      <c r="L382" s="44" t="n"/>
      <c r="M382" s="45" t="n"/>
      <c r="N382" s="39" t="n"/>
      <c r="O382" s="46" t="n"/>
    </row>
    <row r="383">
      <c r="H383" s="47">
        <f>IF(AND(E383&lt;&gt;"",F383&lt;&gt;""), F383-E383, IF(G383&lt;&gt;"", G383, 0))</f>
        <v/>
      </c>
      <c r="I383" s="48">
        <f>H383*Settings!$B$5</f>
        <v/>
      </c>
      <c r="K383">
        <f>IF(AND(A383&lt;&gt;"",C383&lt;&gt;"",D383&lt;&gt;"",H383&gt;0),"✓","⚠ missing")</f>
        <v/>
      </c>
      <c r="L383" s="44" t="n"/>
      <c r="M383" s="45" t="n"/>
      <c r="N383" s="39" t="n"/>
      <c r="O383" s="46" t="n"/>
    </row>
    <row r="384">
      <c r="H384" s="47">
        <f>IF(AND(E384&lt;&gt;"",F384&lt;&gt;""), F384-E384, IF(G384&lt;&gt;"", G384, 0))</f>
        <v/>
      </c>
      <c r="I384" s="48">
        <f>H384*Settings!$B$5</f>
        <v/>
      </c>
      <c r="K384">
        <f>IF(AND(A384&lt;&gt;"",C384&lt;&gt;"",D384&lt;&gt;"",H384&gt;0),"✓","⚠ missing")</f>
        <v/>
      </c>
      <c r="L384" s="44" t="n"/>
      <c r="M384" s="45" t="n"/>
      <c r="N384" s="39" t="n"/>
      <c r="O384" s="46" t="n"/>
    </row>
    <row r="385">
      <c r="H385" s="47">
        <f>IF(AND(E385&lt;&gt;"",F385&lt;&gt;""), F385-E385, IF(G385&lt;&gt;"", G385, 0))</f>
        <v/>
      </c>
      <c r="I385" s="48">
        <f>H385*Settings!$B$5</f>
        <v/>
      </c>
      <c r="K385">
        <f>IF(AND(A385&lt;&gt;"",C385&lt;&gt;"",D385&lt;&gt;"",H385&gt;0),"✓","⚠ missing")</f>
        <v/>
      </c>
      <c r="L385" s="44" t="n"/>
      <c r="M385" s="45" t="n"/>
      <c r="N385" s="39" t="n"/>
      <c r="O385" s="46" t="n"/>
    </row>
    <row r="386">
      <c r="H386" s="47">
        <f>IF(AND(E386&lt;&gt;"",F386&lt;&gt;""), F386-E386, IF(G386&lt;&gt;"", G386, 0))</f>
        <v/>
      </c>
      <c r="I386" s="48">
        <f>H386*Settings!$B$5</f>
        <v/>
      </c>
      <c r="K386">
        <f>IF(AND(A386&lt;&gt;"",C386&lt;&gt;"",D386&lt;&gt;"",H386&gt;0),"✓","⚠ missing")</f>
        <v/>
      </c>
      <c r="L386" s="44" t="n"/>
      <c r="M386" s="45" t="n"/>
      <c r="N386" s="39" t="n"/>
      <c r="O386" s="46" t="n"/>
    </row>
    <row r="387">
      <c r="H387" s="47">
        <f>IF(AND(E387&lt;&gt;"",F387&lt;&gt;""), F387-E387, IF(G387&lt;&gt;"", G387, 0))</f>
        <v/>
      </c>
      <c r="I387" s="48">
        <f>H387*Settings!$B$5</f>
        <v/>
      </c>
      <c r="K387">
        <f>IF(AND(A387&lt;&gt;"",C387&lt;&gt;"",D387&lt;&gt;"",H387&gt;0),"✓","⚠ missing")</f>
        <v/>
      </c>
      <c r="L387" s="44" t="n"/>
      <c r="M387" s="45" t="n"/>
      <c r="N387" s="39" t="n"/>
      <c r="O387" s="46" t="n"/>
    </row>
    <row r="388">
      <c r="H388" s="47">
        <f>IF(AND(E388&lt;&gt;"",F388&lt;&gt;""), F388-E388, IF(G388&lt;&gt;"", G388, 0))</f>
        <v/>
      </c>
      <c r="I388" s="48">
        <f>H388*Settings!$B$5</f>
        <v/>
      </c>
      <c r="K388">
        <f>IF(AND(A388&lt;&gt;"",C388&lt;&gt;"",D388&lt;&gt;"",H388&gt;0),"✓","⚠ missing")</f>
        <v/>
      </c>
      <c r="L388" s="44" t="n"/>
      <c r="M388" s="45" t="n"/>
      <c r="N388" s="39" t="n"/>
      <c r="O388" s="46" t="n"/>
    </row>
    <row r="389">
      <c r="H389" s="47">
        <f>IF(AND(E389&lt;&gt;"",F389&lt;&gt;""), F389-E389, IF(G389&lt;&gt;"", G389, 0))</f>
        <v/>
      </c>
      <c r="I389" s="48">
        <f>H389*Settings!$B$5</f>
        <v/>
      </c>
      <c r="K389">
        <f>IF(AND(A389&lt;&gt;"",C389&lt;&gt;"",D389&lt;&gt;"",H389&gt;0),"✓","⚠ missing")</f>
        <v/>
      </c>
      <c r="L389" s="44" t="n"/>
      <c r="M389" s="45" t="n"/>
      <c r="N389" s="39" t="n"/>
      <c r="O389" s="46" t="n"/>
    </row>
    <row r="390">
      <c r="H390" s="47">
        <f>IF(AND(E390&lt;&gt;"",F390&lt;&gt;""), F390-E390, IF(G390&lt;&gt;"", G390, 0))</f>
        <v/>
      </c>
      <c r="I390" s="48">
        <f>H390*Settings!$B$5</f>
        <v/>
      </c>
      <c r="K390">
        <f>IF(AND(A390&lt;&gt;"",C390&lt;&gt;"",D390&lt;&gt;"",H390&gt;0),"✓","⚠ missing")</f>
        <v/>
      </c>
      <c r="L390" s="44" t="n"/>
      <c r="M390" s="45" t="n"/>
      <c r="N390" s="39" t="n"/>
      <c r="O390" s="46" t="n"/>
    </row>
    <row r="391">
      <c r="H391" s="47">
        <f>IF(AND(E391&lt;&gt;"",F391&lt;&gt;""), F391-E391, IF(G391&lt;&gt;"", G391, 0))</f>
        <v/>
      </c>
      <c r="I391" s="48">
        <f>H391*Settings!$B$5</f>
        <v/>
      </c>
      <c r="K391">
        <f>IF(AND(A391&lt;&gt;"",C391&lt;&gt;"",D391&lt;&gt;"",H391&gt;0),"✓","⚠ missing")</f>
        <v/>
      </c>
      <c r="L391" s="44" t="n"/>
      <c r="M391" s="45" t="n"/>
      <c r="N391" s="39" t="n"/>
      <c r="O391" s="46" t="n"/>
    </row>
    <row r="392">
      <c r="H392" s="47">
        <f>IF(AND(E392&lt;&gt;"",F392&lt;&gt;""), F392-E392, IF(G392&lt;&gt;"", G392, 0))</f>
        <v/>
      </c>
      <c r="I392" s="48">
        <f>H392*Settings!$B$5</f>
        <v/>
      </c>
      <c r="K392">
        <f>IF(AND(A392&lt;&gt;"",C392&lt;&gt;"",D392&lt;&gt;"",H392&gt;0),"✓","⚠ missing")</f>
        <v/>
      </c>
      <c r="L392" s="44" t="n"/>
      <c r="M392" s="45" t="n"/>
      <c r="N392" s="39" t="n"/>
      <c r="O392" s="46" t="n"/>
    </row>
    <row r="393">
      <c r="H393" s="47">
        <f>IF(AND(E393&lt;&gt;"",F393&lt;&gt;""), F393-E393, IF(G393&lt;&gt;"", G393, 0))</f>
        <v/>
      </c>
      <c r="I393" s="48">
        <f>H393*Settings!$B$5</f>
        <v/>
      </c>
      <c r="K393">
        <f>IF(AND(A393&lt;&gt;"",C393&lt;&gt;"",D393&lt;&gt;"",H393&gt;0),"✓","⚠ missing")</f>
        <v/>
      </c>
      <c r="L393" s="44" t="n"/>
      <c r="M393" s="45" t="n"/>
      <c r="N393" s="39" t="n"/>
      <c r="O393" s="46" t="n"/>
    </row>
    <row r="394">
      <c r="H394" s="47">
        <f>IF(AND(E394&lt;&gt;"",F394&lt;&gt;""), F394-E394, IF(G394&lt;&gt;"", G394, 0))</f>
        <v/>
      </c>
      <c r="I394" s="48">
        <f>H394*Settings!$B$5</f>
        <v/>
      </c>
      <c r="K394">
        <f>IF(AND(A394&lt;&gt;"",C394&lt;&gt;"",D394&lt;&gt;"",H394&gt;0),"✓","⚠ missing")</f>
        <v/>
      </c>
      <c r="L394" s="44" t="n"/>
      <c r="M394" s="45" t="n"/>
      <c r="N394" s="39" t="n"/>
      <c r="O394" s="46" t="n"/>
    </row>
    <row r="395">
      <c r="H395" s="47">
        <f>IF(AND(E395&lt;&gt;"",F395&lt;&gt;""), F395-E395, IF(G395&lt;&gt;"", G395, 0))</f>
        <v/>
      </c>
      <c r="I395" s="48">
        <f>H395*Settings!$B$5</f>
        <v/>
      </c>
      <c r="K395">
        <f>IF(AND(A395&lt;&gt;"",C395&lt;&gt;"",D395&lt;&gt;"",H395&gt;0),"✓","⚠ missing")</f>
        <v/>
      </c>
      <c r="L395" s="44" t="n"/>
      <c r="M395" s="45" t="n"/>
      <c r="N395" s="39" t="n"/>
      <c r="O395" s="46" t="n"/>
    </row>
    <row r="396">
      <c r="H396" s="47">
        <f>IF(AND(E396&lt;&gt;"",F396&lt;&gt;""), F396-E396, IF(G396&lt;&gt;"", G396, 0))</f>
        <v/>
      </c>
      <c r="I396" s="48">
        <f>H396*Settings!$B$5</f>
        <v/>
      </c>
      <c r="K396">
        <f>IF(AND(A396&lt;&gt;"",C396&lt;&gt;"",D396&lt;&gt;"",H396&gt;0),"✓","⚠ missing")</f>
        <v/>
      </c>
      <c r="L396" s="44" t="n"/>
      <c r="M396" s="45" t="n"/>
      <c r="N396" s="39" t="n"/>
      <c r="O396" s="46" t="n"/>
    </row>
    <row r="397">
      <c r="H397" s="47">
        <f>IF(AND(E397&lt;&gt;"",F397&lt;&gt;""), F397-E397, IF(G397&lt;&gt;"", G397, 0))</f>
        <v/>
      </c>
      <c r="I397" s="48">
        <f>H397*Settings!$B$5</f>
        <v/>
      </c>
      <c r="K397">
        <f>IF(AND(A397&lt;&gt;"",C397&lt;&gt;"",D397&lt;&gt;"",H397&gt;0),"✓","⚠ missing")</f>
        <v/>
      </c>
      <c r="L397" s="44" t="n"/>
      <c r="M397" s="45" t="n"/>
      <c r="N397" s="39" t="n"/>
      <c r="O397" s="46" t="n"/>
    </row>
    <row r="398">
      <c r="H398" s="47">
        <f>IF(AND(E398&lt;&gt;"",F398&lt;&gt;""), F398-E398, IF(G398&lt;&gt;"", G398, 0))</f>
        <v/>
      </c>
      <c r="I398" s="48">
        <f>H398*Settings!$B$5</f>
        <v/>
      </c>
      <c r="K398">
        <f>IF(AND(A398&lt;&gt;"",C398&lt;&gt;"",D398&lt;&gt;"",H398&gt;0),"✓","⚠ missing")</f>
        <v/>
      </c>
      <c r="L398" s="44" t="n"/>
      <c r="M398" s="45" t="n"/>
      <c r="N398" s="39" t="n"/>
      <c r="O398" s="46" t="n"/>
    </row>
    <row r="399">
      <c r="H399" s="47">
        <f>IF(AND(E399&lt;&gt;"",F399&lt;&gt;""), F399-E399, IF(G399&lt;&gt;"", G399, 0))</f>
        <v/>
      </c>
      <c r="I399" s="48">
        <f>H399*Settings!$B$5</f>
        <v/>
      </c>
      <c r="K399">
        <f>IF(AND(A399&lt;&gt;"",C399&lt;&gt;"",D399&lt;&gt;"",H399&gt;0),"✓","⚠ missing")</f>
        <v/>
      </c>
      <c r="L399" s="44" t="n"/>
      <c r="M399" s="45" t="n"/>
      <c r="N399" s="39" t="n"/>
      <c r="O399" s="46" t="n"/>
    </row>
    <row r="400">
      <c r="H400" s="47">
        <f>IF(AND(E400&lt;&gt;"",F400&lt;&gt;""), F400-E400, IF(G400&lt;&gt;"", G400, 0))</f>
        <v/>
      </c>
      <c r="I400" s="48">
        <f>H400*Settings!$B$5</f>
        <v/>
      </c>
      <c r="K400">
        <f>IF(AND(A400&lt;&gt;"",C400&lt;&gt;"",D400&lt;&gt;"",H400&gt;0),"✓","⚠ missing")</f>
        <v/>
      </c>
      <c r="L400" s="44" t="n"/>
      <c r="M400" s="45" t="n"/>
      <c r="N400" s="39" t="n"/>
      <c r="O400" s="46" t="n"/>
    </row>
    <row r="401">
      <c r="H401" s="47">
        <f>IF(AND(E401&lt;&gt;"",F401&lt;&gt;""), F401-E401, IF(G401&lt;&gt;"", G401, 0))</f>
        <v/>
      </c>
      <c r="I401" s="48">
        <f>H401*Settings!$B$5</f>
        <v/>
      </c>
      <c r="K401">
        <f>IF(AND(A401&lt;&gt;"",C401&lt;&gt;"",D401&lt;&gt;"",H401&gt;0),"✓","⚠ missing")</f>
        <v/>
      </c>
      <c r="L401" s="44" t="n"/>
      <c r="M401" s="45" t="n"/>
      <c r="N401" s="39" t="n"/>
      <c r="O401" s="46" t="n"/>
    </row>
    <row r="402">
      <c r="H402" s="47">
        <f>IF(AND(E402&lt;&gt;"",F402&lt;&gt;""), F402-E402, IF(G402&lt;&gt;"", G402, 0))</f>
        <v/>
      </c>
      <c r="I402" s="48">
        <f>H402*Settings!$B$5</f>
        <v/>
      </c>
      <c r="K402">
        <f>IF(AND(A402&lt;&gt;"",C402&lt;&gt;"",D402&lt;&gt;"",H402&gt;0),"✓","⚠ missing")</f>
        <v/>
      </c>
      <c r="L402" s="44" t="n"/>
      <c r="M402" s="45" t="n"/>
      <c r="N402" s="39" t="n"/>
      <c r="O402" s="46" t="n"/>
    </row>
    <row r="403">
      <c r="H403" s="47">
        <f>IF(AND(E403&lt;&gt;"",F403&lt;&gt;""), F403-E403, IF(G403&lt;&gt;"", G403, 0))</f>
        <v/>
      </c>
      <c r="I403" s="48">
        <f>H403*Settings!$B$5</f>
        <v/>
      </c>
      <c r="K403">
        <f>IF(AND(A403&lt;&gt;"",C403&lt;&gt;"",D403&lt;&gt;"",H403&gt;0),"✓","⚠ missing")</f>
        <v/>
      </c>
      <c r="L403" s="44" t="n"/>
      <c r="M403" s="45" t="n"/>
      <c r="N403" s="39" t="n"/>
      <c r="O403" s="46" t="n"/>
    </row>
    <row r="404">
      <c r="H404" s="47">
        <f>IF(AND(E404&lt;&gt;"",F404&lt;&gt;""), F404-E404, IF(G404&lt;&gt;"", G404, 0))</f>
        <v/>
      </c>
      <c r="I404" s="48">
        <f>H404*Settings!$B$5</f>
        <v/>
      </c>
      <c r="K404">
        <f>IF(AND(A404&lt;&gt;"",C404&lt;&gt;"",D404&lt;&gt;"",H404&gt;0),"✓","⚠ missing")</f>
        <v/>
      </c>
      <c r="L404" s="44" t="n"/>
      <c r="M404" s="45" t="n"/>
      <c r="N404" s="39" t="n"/>
      <c r="O404" s="46" t="n"/>
    </row>
    <row r="405">
      <c r="H405" s="47">
        <f>IF(AND(E405&lt;&gt;"",F405&lt;&gt;""), F405-E405, IF(G405&lt;&gt;"", G405, 0))</f>
        <v/>
      </c>
      <c r="I405" s="48">
        <f>H405*Settings!$B$5</f>
        <v/>
      </c>
      <c r="K405">
        <f>IF(AND(A405&lt;&gt;"",C405&lt;&gt;"",D405&lt;&gt;"",H405&gt;0),"✓","⚠ missing")</f>
        <v/>
      </c>
      <c r="L405" s="44" t="n"/>
      <c r="M405" s="45" t="n"/>
      <c r="N405" s="39" t="n"/>
      <c r="O405" s="46" t="n"/>
    </row>
    <row r="406">
      <c r="H406" s="47">
        <f>IF(AND(E406&lt;&gt;"",F406&lt;&gt;""), F406-E406, IF(G406&lt;&gt;"", G406, 0))</f>
        <v/>
      </c>
      <c r="I406" s="48">
        <f>H406*Settings!$B$5</f>
        <v/>
      </c>
      <c r="K406">
        <f>IF(AND(A406&lt;&gt;"",C406&lt;&gt;"",D406&lt;&gt;"",H406&gt;0),"✓","⚠ missing")</f>
        <v/>
      </c>
      <c r="L406" s="44" t="n"/>
      <c r="M406" s="45" t="n"/>
      <c r="N406" s="39" t="n"/>
      <c r="O406" s="46" t="n"/>
    </row>
    <row r="407">
      <c r="H407" s="47">
        <f>IF(AND(E407&lt;&gt;"",F407&lt;&gt;""), F407-E407, IF(G407&lt;&gt;"", G407, 0))</f>
        <v/>
      </c>
      <c r="I407" s="48">
        <f>H407*Settings!$B$5</f>
        <v/>
      </c>
      <c r="K407">
        <f>IF(AND(A407&lt;&gt;"",C407&lt;&gt;"",D407&lt;&gt;"",H407&gt;0),"✓","⚠ missing")</f>
        <v/>
      </c>
      <c r="L407" s="44" t="n"/>
      <c r="M407" s="45" t="n"/>
      <c r="N407" s="39" t="n"/>
      <c r="O407" s="46" t="n"/>
    </row>
    <row r="408">
      <c r="H408" s="47">
        <f>IF(AND(E408&lt;&gt;"",F408&lt;&gt;""), F408-E408, IF(G408&lt;&gt;"", G408, 0))</f>
        <v/>
      </c>
      <c r="I408" s="48">
        <f>H408*Settings!$B$5</f>
        <v/>
      </c>
      <c r="K408">
        <f>IF(AND(A408&lt;&gt;"",C408&lt;&gt;"",D408&lt;&gt;"",H408&gt;0),"✓","⚠ missing")</f>
        <v/>
      </c>
      <c r="L408" s="44" t="n"/>
      <c r="M408" s="45" t="n"/>
      <c r="N408" s="39" t="n"/>
      <c r="O408" s="46" t="n"/>
    </row>
    <row r="409">
      <c r="H409" s="47">
        <f>IF(AND(E409&lt;&gt;"",F409&lt;&gt;""), F409-E409, IF(G409&lt;&gt;"", G409, 0))</f>
        <v/>
      </c>
      <c r="I409" s="48">
        <f>H409*Settings!$B$5</f>
        <v/>
      </c>
      <c r="K409">
        <f>IF(AND(A409&lt;&gt;"",C409&lt;&gt;"",D409&lt;&gt;"",H409&gt;0),"✓","⚠ missing")</f>
        <v/>
      </c>
      <c r="L409" s="44" t="n"/>
      <c r="M409" s="45" t="n"/>
      <c r="N409" s="39" t="n"/>
      <c r="O409" s="46" t="n"/>
    </row>
    <row r="410">
      <c r="H410" s="47">
        <f>IF(AND(E410&lt;&gt;"",F410&lt;&gt;""), F410-E410, IF(G410&lt;&gt;"", G410, 0))</f>
        <v/>
      </c>
      <c r="I410" s="48">
        <f>H410*Settings!$B$5</f>
        <v/>
      </c>
      <c r="K410">
        <f>IF(AND(A410&lt;&gt;"",C410&lt;&gt;"",D410&lt;&gt;"",H410&gt;0),"✓","⚠ missing")</f>
        <v/>
      </c>
      <c r="L410" s="44" t="n"/>
      <c r="M410" s="45" t="n"/>
      <c r="N410" s="39" t="n"/>
      <c r="O410" s="46" t="n"/>
    </row>
    <row r="411">
      <c r="H411" s="47">
        <f>IF(AND(E411&lt;&gt;"",F411&lt;&gt;""), F411-E411, IF(G411&lt;&gt;"", G411, 0))</f>
        <v/>
      </c>
      <c r="I411" s="48">
        <f>H411*Settings!$B$5</f>
        <v/>
      </c>
      <c r="K411">
        <f>IF(AND(A411&lt;&gt;"",C411&lt;&gt;"",D411&lt;&gt;"",H411&gt;0),"✓","⚠ missing")</f>
        <v/>
      </c>
      <c r="L411" s="44" t="n"/>
      <c r="M411" s="45" t="n"/>
      <c r="N411" s="39" t="n"/>
      <c r="O411" s="46" t="n"/>
    </row>
    <row r="412">
      <c r="H412" s="47">
        <f>IF(AND(E412&lt;&gt;"",F412&lt;&gt;""), F412-E412, IF(G412&lt;&gt;"", G412, 0))</f>
        <v/>
      </c>
      <c r="I412" s="48">
        <f>H412*Settings!$B$5</f>
        <v/>
      </c>
      <c r="K412">
        <f>IF(AND(A412&lt;&gt;"",C412&lt;&gt;"",D412&lt;&gt;"",H412&gt;0),"✓","⚠ missing")</f>
        <v/>
      </c>
      <c r="L412" s="44" t="n"/>
      <c r="M412" s="45" t="n"/>
      <c r="N412" s="39" t="n"/>
      <c r="O412" s="46" t="n"/>
    </row>
    <row r="413">
      <c r="H413" s="47">
        <f>IF(AND(E413&lt;&gt;"",F413&lt;&gt;""), F413-E413, IF(G413&lt;&gt;"", G413, 0))</f>
        <v/>
      </c>
      <c r="I413" s="48">
        <f>H413*Settings!$B$5</f>
        <v/>
      </c>
      <c r="K413">
        <f>IF(AND(A413&lt;&gt;"",C413&lt;&gt;"",D413&lt;&gt;"",H413&gt;0),"✓","⚠ missing")</f>
        <v/>
      </c>
      <c r="L413" s="44" t="n"/>
      <c r="M413" s="45" t="n"/>
      <c r="N413" s="39" t="n"/>
      <c r="O413" s="46" t="n"/>
    </row>
    <row r="414">
      <c r="H414" s="47">
        <f>IF(AND(E414&lt;&gt;"",F414&lt;&gt;""), F414-E414, IF(G414&lt;&gt;"", G414, 0))</f>
        <v/>
      </c>
      <c r="I414" s="48">
        <f>H414*Settings!$B$5</f>
        <v/>
      </c>
      <c r="K414">
        <f>IF(AND(A414&lt;&gt;"",C414&lt;&gt;"",D414&lt;&gt;"",H414&gt;0),"✓","⚠ missing")</f>
        <v/>
      </c>
      <c r="L414" s="44" t="n"/>
      <c r="M414" s="45" t="n"/>
      <c r="N414" s="39" t="n"/>
      <c r="O414" s="46" t="n"/>
    </row>
    <row r="415">
      <c r="H415" s="47">
        <f>IF(AND(E415&lt;&gt;"",F415&lt;&gt;""), F415-E415, IF(G415&lt;&gt;"", G415, 0))</f>
        <v/>
      </c>
      <c r="I415" s="48">
        <f>H415*Settings!$B$5</f>
        <v/>
      </c>
      <c r="K415">
        <f>IF(AND(A415&lt;&gt;"",C415&lt;&gt;"",D415&lt;&gt;"",H415&gt;0),"✓","⚠ missing")</f>
        <v/>
      </c>
      <c r="L415" s="44" t="n"/>
      <c r="M415" s="45" t="n"/>
      <c r="N415" s="39" t="n"/>
      <c r="O415" s="46" t="n"/>
    </row>
    <row r="416">
      <c r="H416" s="47">
        <f>IF(AND(E416&lt;&gt;"",F416&lt;&gt;""), F416-E416, IF(G416&lt;&gt;"", G416, 0))</f>
        <v/>
      </c>
      <c r="I416" s="48">
        <f>H416*Settings!$B$5</f>
        <v/>
      </c>
      <c r="K416">
        <f>IF(AND(A416&lt;&gt;"",C416&lt;&gt;"",D416&lt;&gt;"",H416&gt;0),"✓","⚠ missing")</f>
        <v/>
      </c>
      <c r="L416" s="44" t="n"/>
      <c r="M416" s="45" t="n"/>
      <c r="N416" s="39" t="n"/>
      <c r="O416" s="46" t="n"/>
    </row>
    <row r="417">
      <c r="H417" s="47">
        <f>IF(AND(E417&lt;&gt;"",F417&lt;&gt;""), F417-E417, IF(G417&lt;&gt;"", G417, 0))</f>
        <v/>
      </c>
      <c r="I417" s="48">
        <f>H417*Settings!$B$5</f>
        <v/>
      </c>
      <c r="K417">
        <f>IF(AND(A417&lt;&gt;"",C417&lt;&gt;"",D417&lt;&gt;"",H417&gt;0),"✓","⚠ missing")</f>
        <v/>
      </c>
      <c r="L417" s="44" t="n"/>
      <c r="M417" s="45" t="n"/>
      <c r="N417" s="39" t="n"/>
      <c r="O417" s="46" t="n"/>
    </row>
    <row r="418">
      <c r="H418" s="47">
        <f>IF(AND(E418&lt;&gt;"",F418&lt;&gt;""), F418-E418, IF(G418&lt;&gt;"", G418, 0))</f>
        <v/>
      </c>
      <c r="I418" s="48">
        <f>H418*Settings!$B$5</f>
        <v/>
      </c>
      <c r="K418">
        <f>IF(AND(A418&lt;&gt;"",C418&lt;&gt;"",D418&lt;&gt;"",H418&gt;0),"✓","⚠ missing")</f>
        <v/>
      </c>
      <c r="L418" s="44" t="n"/>
      <c r="M418" s="45" t="n"/>
      <c r="N418" s="39" t="n"/>
      <c r="O418" s="46" t="n"/>
    </row>
    <row r="419">
      <c r="H419" s="47">
        <f>IF(AND(E419&lt;&gt;"",F419&lt;&gt;""), F419-E419, IF(G419&lt;&gt;"", G419, 0))</f>
        <v/>
      </c>
      <c r="I419" s="48">
        <f>H419*Settings!$B$5</f>
        <v/>
      </c>
      <c r="K419">
        <f>IF(AND(A419&lt;&gt;"",C419&lt;&gt;"",D419&lt;&gt;"",H419&gt;0),"✓","⚠ missing")</f>
        <v/>
      </c>
      <c r="L419" s="44" t="n"/>
      <c r="M419" s="45" t="n"/>
      <c r="N419" s="39" t="n"/>
      <c r="O419" s="46" t="n"/>
    </row>
    <row r="420">
      <c r="H420" s="47">
        <f>IF(AND(E420&lt;&gt;"",F420&lt;&gt;""), F420-E420, IF(G420&lt;&gt;"", G420, 0))</f>
        <v/>
      </c>
      <c r="I420" s="48">
        <f>H420*Settings!$B$5</f>
        <v/>
      </c>
      <c r="K420">
        <f>IF(AND(A420&lt;&gt;"",C420&lt;&gt;"",D420&lt;&gt;"",H420&gt;0),"✓","⚠ missing")</f>
        <v/>
      </c>
      <c r="L420" s="44" t="n"/>
      <c r="M420" s="45" t="n"/>
      <c r="N420" s="39" t="n"/>
      <c r="O420" s="46" t="n"/>
    </row>
    <row r="421">
      <c r="H421" s="47">
        <f>IF(AND(E421&lt;&gt;"",F421&lt;&gt;""), F421-E421, IF(G421&lt;&gt;"", G421, 0))</f>
        <v/>
      </c>
      <c r="I421" s="48">
        <f>H421*Settings!$B$5</f>
        <v/>
      </c>
      <c r="K421">
        <f>IF(AND(A421&lt;&gt;"",C421&lt;&gt;"",D421&lt;&gt;"",H421&gt;0),"✓","⚠ missing")</f>
        <v/>
      </c>
      <c r="L421" s="44" t="n"/>
      <c r="M421" s="45" t="n"/>
      <c r="N421" s="39" t="n"/>
      <c r="O421" s="46" t="n"/>
    </row>
    <row r="422">
      <c r="H422" s="47">
        <f>IF(AND(E422&lt;&gt;"",F422&lt;&gt;""), F422-E422, IF(G422&lt;&gt;"", G422, 0))</f>
        <v/>
      </c>
      <c r="I422" s="48">
        <f>H422*Settings!$B$5</f>
        <v/>
      </c>
      <c r="K422">
        <f>IF(AND(A422&lt;&gt;"",C422&lt;&gt;"",D422&lt;&gt;"",H422&gt;0),"✓","⚠ missing")</f>
        <v/>
      </c>
      <c r="L422" s="44" t="n"/>
      <c r="M422" s="45" t="n"/>
      <c r="N422" s="39" t="n"/>
      <c r="O422" s="46" t="n"/>
    </row>
    <row r="423">
      <c r="H423" s="47">
        <f>IF(AND(E423&lt;&gt;"",F423&lt;&gt;""), F423-E423, IF(G423&lt;&gt;"", G423, 0))</f>
        <v/>
      </c>
      <c r="I423" s="48">
        <f>H423*Settings!$B$5</f>
        <v/>
      </c>
      <c r="K423">
        <f>IF(AND(A423&lt;&gt;"",C423&lt;&gt;"",D423&lt;&gt;"",H423&gt;0),"✓","⚠ missing")</f>
        <v/>
      </c>
      <c r="L423" s="44" t="n"/>
      <c r="M423" s="45" t="n"/>
      <c r="N423" s="39" t="n"/>
      <c r="O423" s="46" t="n"/>
    </row>
    <row r="424">
      <c r="H424" s="47">
        <f>IF(AND(E424&lt;&gt;"",F424&lt;&gt;""), F424-E424, IF(G424&lt;&gt;"", G424, 0))</f>
        <v/>
      </c>
      <c r="I424" s="48">
        <f>H424*Settings!$B$5</f>
        <v/>
      </c>
      <c r="K424">
        <f>IF(AND(A424&lt;&gt;"",C424&lt;&gt;"",D424&lt;&gt;"",H424&gt;0),"✓","⚠ missing")</f>
        <v/>
      </c>
      <c r="L424" s="44" t="n"/>
      <c r="M424" s="45" t="n"/>
      <c r="N424" s="39" t="n"/>
      <c r="O424" s="46" t="n"/>
    </row>
    <row r="425">
      <c r="H425" s="47">
        <f>IF(AND(E425&lt;&gt;"",F425&lt;&gt;""), F425-E425, IF(G425&lt;&gt;"", G425, 0))</f>
        <v/>
      </c>
      <c r="I425" s="48">
        <f>H425*Settings!$B$5</f>
        <v/>
      </c>
      <c r="K425">
        <f>IF(AND(A425&lt;&gt;"",C425&lt;&gt;"",D425&lt;&gt;"",H425&gt;0),"✓","⚠ missing")</f>
        <v/>
      </c>
      <c r="L425" s="44" t="n"/>
      <c r="M425" s="45" t="n"/>
      <c r="N425" s="39" t="n"/>
      <c r="O425" s="46" t="n"/>
    </row>
    <row r="426">
      <c r="H426" s="47">
        <f>IF(AND(E426&lt;&gt;"",F426&lt;&gt;""), F426-E426, IF(G426&lt;&gt;"", G426, 0))</f>
        <v/>
      </c>
      <c r="I426" s="48">
        <f>H426*Settings!$B$5</f>
        <v/>
      </c>
      <c r="K426">
        <f>IF(AND(A426&lt;&gt;"",C426&lt;&gt;"",D426&lt;&gt;"",H426&gt;0),"✓","⚠ missing")</f>
        <v/>
      </c>
      <c r="L426" s="44" t="n"/>
      <c r="M426" s="45" t="n"/>
      <c r="N426" s="39" t="n"/>
      <c r="O426" s="46" t="n"/>
    </row>
    <row r="427">
      <c r="H427" s="47">
        <f>IF(AND(E427&lt;&gt;"",F427&lt;&gt;""), F427-E427, IF(G427&lt;&gt;"", G427, 0))</f>
        <v/>
      </c>
      <c r="I427" s="48">
        <f>H427*Settings!$B$5</f>
        <v/>
      </c>
      <c r="K427">
        <f>IF(AND(A427&lt;&gt;"",C427&lt;&gt;"",D427&lt;&gt;"",H427&gt;0),"✓","⚠ missing")</f>
        <v/>
      </c>
      <c r="L427" s="44" t="n"/>
      <c r="M427" s="45" t="n"/>
      <c r="N427" s="39" t="n"/>
      <c r="O427" s="46" t="n"/>
    </row>
    <row r="428">
      <c r="H428" s="47">
        <f>IF(AND(E428&lt;&gt;"",F428&lt;&gt;""), F428-E428, IF(G428&lt;&gt;"", G428, 0))</f>
        <v/>
      </c>
      <c r="I428" s="48">
        <f>H428*Settings!$B$5</f>
        <v/>
      </c>
      <c r="K428">
        <f>IF(AND(A428&lt;&gt;"",C428&lt;&gt;"",D428&lt;&gt;"",H428&gt;0),"✓","⚠ missing")</f>
        <v/>
      </c>
      <c r="L428" s="44" t="n"/>
      <c r="M428" s="45" t="n"/>
      <c r="N428" s="39" t="n"/>
      <c r="O428" s="46" t="n"/>
    </row>
    <row r="429">
      <c r="H429" s="47">
        <f>IF(AND(E429&lt;&gt;"",F429&lt;&gt;""), F429-E429, IF(G429&lt;&gt;"", G429, 0))</f>
        <v/>
      </c>
      <c r="I429" s="48">
        <f>H429*Settings!$B$5</f>
        <v/>
      </c>
      <c r="K429">
        <f>IF(AND(A429&lt;&gt;"",C429&lt;&gt;"",D429&lt;&gt;"",H429&gt;0),"✓","⚠ missing")</f>
        <v/>
      </c>
      <c r="L429" s="44" t="n"/>
      <c r="M429" s="45" t="n"/>
      <c r="N429" s="39" t="n"/>
      <c r="O429" s="46" t="n"/>
    </row>
    <row r="430">
      <c r="H430" s="47">
        <f>IF(AND(E430&lt;&gt;"",F430&lt;&gt;""), F430-E430, IF(G430&lt;&gt;"", G430, 0))</f>
        <v/>
      </c>
      <c r="I430" s="48">
        <f>H430*Settings!$B$5</f>
        <v/>
      </c>
      <c r="K430">
        <f>IF(AND(A430&lt;&gt;"",C430&lt;&gt;"",D430&lt;&gt;"",H430&gt;0),"✓","⚠ missing")</f>
        <v/>
      </c>
      <c r="L430" s="44" t="n"/>
      <c r="M430" s="45" t="n"/>
      <c r="N430" s="39" t="n"/>
      <c r="O430" s="46" t="n"/>
    </row>
    <row r="431">
      <c r="H431" s="47">
        <f>IF(AND(E431&lt;&gt;"",F431&lt;&gt;""), F431-E431, IF(G431&lt;&gt;"", G431, 0))</f>
        <v/>
      </c>
      <c r="I431" s="48">
        <f>H431*Settings!$B$5</f>
        <v/>
      </c>
      <c r="K431">
        <f>IF(AND(A431&lt;&gt;"",C431&lt;&gt;"",D431&lt;&gt;"",H431&gt;0),"✓","⚠ missing")</f>
        <v/>
      </c>
      <c r="L431" s="44" t="n"/>
      <c r="M431" s="45" t="n"/>
      <c r="N431" s="39" t="n"/>
      <c r="O431" s="46" t="n"/>
    </row>
    <row r="432">
      <c r="H432" s="47">
        <f>IF(AND(E432&lt;&gt;"",F432&lt;&gt;""), F432-E432, IF(G432&lt;&gt;"", G432, 0))</f>
        <v/>
      </c>
      <c r="I432" s="48">
        <f>H432*Settings!$B$5</f>
        <v/>
      </c>
      <c r="K432">
        <f>IF(AND(A432&lt;&gt;"",C432&lt;&gt;"",D432&lt;&gt;"",H432&gt;0),"✓","⚠ missing")</f>
        <v/>
      </c>
      <c r="L432" s="44" t="n"/>
      <c r="M432" s="45" t="n"/>
      <c r="N432" s="39" t="n"/>
      <c r="O432" s="46" t="n"/>
    </row>
    <row r="433">
      <c r="H433" s="47">
        <f>IF(AND(E433&lt;&gt;"",F433&lt;&gt;""), F433-E433, IF(G433&lt;&gt;"", G433, 0))</f>
        <v/>
      </c>
      <c r="I433" s="48">
        <f>H433*Settings!$B$5</f>
        <v/>
      </c>
      <c r="K433">
        <f>IF(AND(A433&lt;&gt;"",C433&lt;&gt;"",D433&lt;&gt;"",H433&gt;0),"✓","⚠ missing")</f>
        <v/>
      </c>
      <c r="L433" s="44" t="n"/>
      <c r="M433" s="45" t="n"/>
      <c r="N433" s="39" t="n"/>
      <c r="O433" s="46" t="n"/>
    </row>
    <row r="434">
      <c r="H434" s="47">
        <f>IF(AND(E434&lt;&gt;"",F434&lt;&gt;""), F434-E434, IF(G434&lt;&gt;"", G434, 0))</f>
        <v/>
      </c>
      <c r="I434" s="48">
        <f>H434*Settings!$B$5</f>
        <v/>
      </c>
      <c r="K434">
        <f>IF(AND(A434&lt;&gt;"",C434&lt;&gt;"",D434&lt;&gt;"",H434&gt;0),"✓","⚠ missing")</f>
        <v/>
      </c>
      <c r="L434" s="44" t="n"/>
      <c r="M434" s="45" t="n"/>
      <c r="N434" s="39" t="n"/>
      <c r="O434" s="46" t="n"/>
    </row>
    <row r="435">
      <c r="H435" s="47">
        <f>IF(AND(E435&lt;&gt;"",F435&lt;&gt;""), F435-E435, IF(G435&lt;&gt;"", G435, 0))</f>
        <v/>
      </c>
      <c r="I435" s="48">
        <f>H435*Settings!$B$5</f>
        <v/>
      </c>
      <c r="K435">
        <f>IF(AND(A435&lt;&gt;"",C435&lt;&gt;"",D435&lt;&gt;"",H435&gt;0),"✓","⚠ missing")</f>
        <v/>
      </c>
      <c r="L435" s="44" t="n"/>
      <c r="M435" s="45" t="n"/>
      <c r="N435" s="39" t="n"/>
      <c r="O435" s="46" t="n"/>
    </row>
    <row r="436">
      <c r="H436" s="47">
        <f>IF(AND(E436&lt;&gt;"",F436&lt;&gt;""), F436-E436, IF(G436&lt;&gt;"", G436, 0))</f>
        <v/>
      </c>
      <c r="I436" s="48">
        <f>H436*Settings!$B$5</f>
        <v/>
      </c>
      <c r="K436">
        <f>IF(AND(A436&lt;&gt;"",C436&lt;&gt;"",D436&lt;&gt;"",H436&gt;0),"✓","⚠ missing")</f>
        <v/>
      </c>
      <c r="L436" s="44" t="n"/>
      <c r="M436" s="45" t="n"/>
      <c r="N436" s="39" t="n"/>
      <c r="O436" s="46" t="n"/>
    </row>
    <row r="437">
      <c r="H437" s="47">
        <f>IF(AND(E437&lt;&gt;"",F437&lt;&gt;""), F437-E437, IF(G437&lt;&gt;"", G437, 0))</f>
        <v/>
      </c>
      <c r="I437" s="48">
        <f>H437*Settings!$B$5</f>
        <v/>
      </c>
      <c r="K437">
        <f>IF(AND(A437&lt;&gt;"",C437&lt;&gt;"",D437&lt;&gt;"",H437&gt;0),"✓","⚠ missing")</f>
        <v/>
      </c>
      <c r="L437" s="44" t="n"/>
      <c r="M437" s="45" t="n"/>
      <c r="N437" s="39" t="n"/>
      <c r="O437" s="46" t="n"/>
    </row>
    <row r="438">
      <c r="H438" s="47">
        <f>IF(AND(E438&lt;&gt;"",F438&lt;&gt;""), F438-E438, IF(G438&lt;&gt;"", G438, 0))</f>
        <v/>
      </c>
      <c r="I438" s="48">
        <f>H438*Settings!$B$5</f>
        <v/>
      </c>
      <c r="K438">
        <f>IF(AND(A438&lt;&gt;"",C438&lt;&gt;"",D438&lt;&gt;"",H438&gt;0),"✓","⚠ missing")</f>
        <v/>
      </c>
      <c r="L438" s="44" t="n"/>
      <c r="M438" s="45" t="n"/>
      <c r="N438" s="39" t="n"/>
      <c r="O438" s="46" t="n"/>
    </row>
    <row r="439">
      <c r="H439" s="47">
        <f>IF(AND(E439&lt;&gt;"",F439&lt;&gt;""), F439-E439, IF(G439&lt;&gt;"", G439, 0))</f>
        <v/>
      </c>
      <c r="I439" s="48">
        <f>H439*Settings!$B$5</f>
        <v/>
      </c>
      <c r="K439">
        <f>IF(AND(A439&lt;&gt;"",C439&lt;&gt;"",D439&lt;&gt;"",H439&gt;0),"✓","⚠ missing")</f>
        <v/>
      </c>
      <c r="L439" s="44" t="n"/>
      <c r="M439" s="45" t="n"/>
      <c r="N439" s="39" t="n"/>
      <c r="O439" s="46" t="n"/>
    </row>
    <row r="440">
      <c r="H440" s="47">
        <f>IF(AND(E440&lt;&gt;"",F440&lt;&gt;""), F440-E440, IF(G440&lt;&gt;"", G440, 0))</f>
        <v/>
      </c>
      <c r="I440" s="48">
        <f>H440*Settings!$B$5</f>
        <v/>
      </c>
      <c r="K440">
        <f>IF(AND(A440&lt;&gt;"",C440&lt;&gt;"",D440&lt;&gt;"",H440&gt;0),"✓","⚠ missing")</f>
        <v/>
      </c>
      <c r="L440" s="44" t="n"/>
      <c r="M440" s="45" t="n"/>
      <c r="N440" s="39" t="n"/>
      <c r="O440" s="46" t="n"/>
    </row>
    <row r="441">
      <c r="H441" s="47">
        <f>IF(AND(E441&lt;&gt;"",F441&lt;&gt;""), F441-E441, IF(G441&lt;&gt;"", G441, 0))</f>
        <v/>
      </c>
      <c r="I441" s="48">
        <f>H441*Settings!$B$5</f>
        <v/>
      </c>
      <c r="K441">
        <f>IF(AND(A441&lt;&gt;"",C441&lt;&gt;"",D441&lt;&gt;"",H441&gt;0),"✓","⚠ missing")</f>
        <v/>
      </c>
      <c r="L441" s="44" t="n"/>
      <c r="M441" s="45" t="n"/>
      <c r="N441" s="39" t="n"/>
      <c r="O441" s="46" t="n"/>
    </row>
    <row r="442">
      <c r="H442" s="47">
        <f>IF(AND(E442&lt;&gt;"",F442&lt;&gt;""), F442-E442, IF(G442&lt;&gt;"", G442, 0))</f>
        <v/>
      </c>
      <c r="I442" s="48">
        <f>H442*Settings!$B$5</f>
        <v/>
      </c>
      <c r="K442">
        <f>IF(AND(A442&lt;&gt;"",C442&lt;&gt;"",D442&lt;&gt;"",H442&gt;0),"✓","⚠ missing")</f>
        <v/>
      </c>
      <c r="L442" s="44" t="n"/>
      <c r="M442" s="45" t="n"/>
      <c r="N442" s="39" t="n"/>
      <c r="O442" s="46" t="n"/>
    </row>
    <row r="443">
      <c r="H443" s="47">
        <f>IF(AND(E443&lt;&gt;"",F443&lt;&gt;""), F443-E443, IF(G443&lt;&gt;"", G443, 0))</f>
        <v/>
      </c>
      <c r="I443" s="48">
        <f>H443*Settings!$B$5</f>
        <v/>
      </c>
      <c r="K443">
        <f>IF(AND(A443&lt;&gt;"",C443&lt;&gt;"",D443&lt;&gt;"",H443&gt;0),"✓","⚠ missing")</f>
        <v/>
      </c>
      <c r="L443" s="44" t="n"/>
      <c r="M443" s="45" t="n"/>
      <c r="N443" s="39" t="n"/>
      <c r="O443" s="46" t="n"/>
    </row>
    <row r="444">
      <c r="H444" s="47">
        <f>IF(AND(E444&lt;&gt;"",F444&lt;&gt;""), F444-E444, IF(G444&lt;&gt;"", G444, 0))</f>
        <v/>
      </c>
      <c r="I444" s="48">
        <f>H444*Settings!$B$5</f>
        <v/>
      </c>
      <c r="K444">
        <f>IF(AND(A444&lt;&gt;"",C444&lt;&gt;"",D444&lt;&gt;"",H444&gt;0),"✓","⚠ missing")</f>
        <v/>
      </c>
      <c r="L444" s="44" t="n"/>
      <c r="M444" s="45" t="n"/>
      <c r="N444" s="39" t="n"/>
      <c r="O444" s="46" t="n"/>
    </row>
    <row r="445">
      <c r="H445" s="47">
        <f>IF(AND(E445&lt;&gt;"",F445&lt;&gt;""), F445-E445, IF(G445&lt;&gt;"", G445, 0))</f>
        <v/>
      </c>
      <c r="I445" s="48">
        <f>H445*Settings!$B$5</f>
        <v/>
      </c>
      <c r="K445">
        <f>IF(AND(A445&lt;&gt;"",C445&lt;&gt;"",D445&lt;&gt;"",H445&gt;0),"✓","⚠ missing")</f>
        <v/>
      </c>
      <c r="L445" s="44" t="n"/>
      <c r="M445" s="45" t="n"/>
      <c r="N445" s="39" t="n"/>
      <c r="O445" s="46" t="n"/>
    </row>
    <row r="446">
      <c r="H446" s="47">
        <f>IF(AND(E446&lt;&gt;"",F446&lt;&gt;""), F446-E446, IF(G446&lt;&gt;"", G446, 0))</f>
        <v/>
      </c>
      <c r="I446" s="48">
        <f>H446*Settings!$B$5</f>
        <v/>
      </c>
      <c r="K446">
        <f>IF(AND(A446&lt;&gt;"",C446&lt;&gt;"",D446&lt;&gt;"",H446&gt;0),"✓","⚠ missing")</f>
        <v/>
      </c>
      <c r="L446" s="44" t="n"/>
      <c r="M446" s="45" t="n"/>
      <c r="N446" s="39" t="n"/>
      <c r="O446" s="46" t="n"/>
    </row>
    <row r="447">
      <c r="H447" s="47">
        <f>IF(AND(E447&lt;&gt;"",F447&lt;&gt;""), F447-E447, IF(G447&lt;&gt;"", G447, 0))</f>
        <v/>
      </c>
      <c r="I447" s="48">
        <f>H447*Settings!$B$5</f>
        <v/>
      </c>
      <c r="K447">
        <f>IF(AND(A447&lt;&gt;"",C447&lt;&gt;"",D447&lt;&gt;"",H447&gt;0),"✓","⚠ missing")</f>
        <v/>
      </c>
      <c r="L447" s="44" t="n"/>
      <c r="M447" s="45" t="n"/>
      <c r="N447" s="39" t="n"/>
      <c r="O447" s="46" t="n"/>
    </row>
    <row r="448">
      <c r="H448" s="47">
        <f>IF(AND(E448&lt;&gt;"",F448&lt;&gt;""), F448-E448, IF(G448&lt;&gt;"", G448, 0))</f>
        <v/>
      </c>
      <c r="I448" s="48">
        <f>H448*Settings!$B$5</f>
        <v/>
      </c>
      <c r="K448">
        <f>IF(AND(A448&lt;&gt;"",C448&lt;&gt;"",D448&lt;&gt;"",H448&gt;0),"✓","⚠ missing")</f>
        <v/>
      </c>
      <c r="L448" s="44" t="n"/>
      <c r="M448" s="45" t="n"/>
      <c r="N448" s="39" t="n"/>
      <c r="O448" s="46" t="n"/>
    </row>
    <row r="449">
      <c r="H449" s="47">
        <f>IF(AND(E449&lt;&gt;"",F449&lt;&gt;""), F449-E449, IF(G449&lt;&gt;"", G449, 0))</f>
        <v/>
      </c>
      <c r="I449" s="48">
        <f>H449*Settings!$B$5</f>
        <v/>
      </c>
      <c r="K449">
        <f>IF(AND(A449&lt;&gt;"",C449&lt;&gt;"",D449&lt;&gt;"",H449&gt;0),"✓","⚠ missing")</f>
        <v/>
      </c>
      <c r="L449" s="44" t="n"/>
      <c r="M449" s="45" t="n"/>
      <c r="N449" s="39" t="n"/>
      <c r="O449" s="46" t="n"/>
    </row>
    <row r="450">
      <c r="H450" s="47">
        <f>IF(AND(E450&lt;&gt;"",F450&lt;&gt;""), F450-E450, IF(G450&lt;&gt;"", G450, 0))</f>
        <v/>
      </c>
      <c r="I450" s="48">
        <f>H450*Settings!$B$5</f>
        <v/>
      </c>
      <c r="K450">
        <f>IF(AND(A450&lt;&gt;"",C450&lt;&gt;"",D450&lt;&gt;"",H450&gt;0),"✓","⚠ missing")</f>
        <v/>
      </c>
      <c r="L450" s="44" t="n"/>
      <c r="M450" s="45" t="n"/>
      <c r="N450" s="39" t="n"/>
      <c r="O450" s="46" t="n"/>
    </row>
    <row r="451">
      <c r="H451" s="47">
        <f>IF(AND(E451&lt;&gt;"",F451&lt;&gt;""), F451-E451, IF(G451&lt;&gt;"", G451, 0))</f>
        <v/>
      </c>
      <c r="I451" s="48">
        <f>H451*Settings!$B$5</f>
        <v/>
      </c>
      <c r="K451">
        <f>IF(AND(A451&lt;&gt;"",C451&lt;&gt;"",D451&lt;&gt;"",H451&gt;0),"✓","⚠ missing")</f>
        <v/>
      </c>
      <c r="L451" s="44" t="n"/>
      <c r="M451" s="45" t="n"/>
      <c r="N451" s="39" t="n"/>
      <c r="O451" s="46" t="n"/>
    </row>
    <row r="452">
      <c r="H452" s="47">
        <f>IF(AND(E452&lt;&gt;"",F452&lt;&gt;""), F452-E452, IF(G452&lt;&gt;"", G452, 0))</f>
        <v/>
      </c>
      <c r="I452" s="48">
        <f>H452*Settings!$B$5</f>
        <v/>
      </c>
      <c r="K452">
        <f>IF(AND(A452&lt;&gt;"",C452&lt;&gt;"",D452&lt;&gt;"",H452&gt;0),"✓","⚠ missing")</f>
        <v/>
      </c>
      <c r="L452" s="44" t="n"/>
      <c r="M452" s="45" t="n"/>
      <c r="N452" s="39" t="n"/>
      <c r="O452" s="46" t="n"/>
    </row>
    <row r="453">
      <c r="H453" s="47">
        <f>IF(AND(E453&lt;&gt;"",F453&lt;&gt;""), F453-E453, IF(G453&lt;&gt;"", G453, 0))</f>
        <v/>
      </c>
      <c r="I453" s="48">
        <f>H453*Settings!$B$5</f>
        <v/>
      </c>
      <c r="K453">
        <f>IF(AND(A453&lt;&gt;"",C453&lt;&gt;"",D453&lt;&gt;"",H453&gt;0),"✓","⚠ missing")</f>
        <v/>
      </c>
      <c r="L453" s="44" t="n"/>
      <c r="M453" s="45" t="n"/>
      <c r="N453" s="39" t="n"/>
      <c r="O453" s="46" t="n"/>
    </row>
    <row r="454">
      <c r="H454" s="47">
        <f>IF(AND(E454&lt;&gt;"",F454&lt;&gt;""), F454-E454, IF(G454&lt;&gt;"", G454, 0))</f>
        <v/>
      </c>
      <c r="I454" s="48">
        <f>H454*Settings!$B$5</f>
        <v/>
      </c>
      <c r="K454">
        <f>IF(AND(A454&lt;&gt;"",C454&lt;&gt;"",D454&lt;&gt;"",H454&gt;0),"✓","⚠ missing")</f>
        <v/>
      </c>
      <c r="L454" s="44" t="n"/>
      <c r="M454" s="45" t="n"/>
      <c r="N454" s="39" t="n"/>
      <c r="O454" s="46" t="n"/>
    </row>
    <row r="455">
      <c r="H455" s="47">
        <f>IF(AND(E455&lt;&gt;"",F455&lt;&gt;""), F455-E455, IF(G455&lt;&gt;"", G455, 0))</f>
        <v/>
      </c>
      <c r="I455" s="48">
        <f>H455*Settings!$B$5</f>
        <v/>
      </c>
      <c r="K455">
        <f>IF(AND(A455&lt;&gt;"",C455&lt;&gt;"",D455&lt;&gt;"",H455&gt;0),"✓","⚠ missing")</f>
        <v/>
      </c>
      <c r="L455" s="44" t="n"/>
      <c r="M455" s="45" t="n"/>
      <c r="N455" s="39" t="n"/>
      <c r="O455" s="46" t="n"/>
    </row>
    <row r="456">
      <c r="H456" s="47">
        <f>IF(AND(E456&lt;&gt;"",F456&lt;&gt;""), F456-E456, IF(G456&lt;&gt;"", G456, 0))</f>
        <v/>
      </c>
      <c r="I456" s="48">
        <f>H456*Settings!$B$5</f>
        <v/>
      </c>
      <c r="K456">
        <f>IF(AND(A456&lt;&gt;"",C456&lt;&gt;"",D456&lt;&gt;"",H456&gt;0),"✓","⚠ missing")</f>
        <v/>
      </c>
      <c r="L456" s="44" t="n"/>
      <c r="M456" s="45" t="n"/>
      <c r="N456" s="39" t="n"/>
      <c r="O456" s="46" t="n"/>
    </row>
    <row r="457">
      <c r="H457" s="47">
        <f>IF(AND(E457&lt;&gt;"",F457&lt;&gt;""), F457-E457, IF(G457&lt;&gt;"", G457, 0))</f>
        <v/>
      </c>
      <c r="I457" s="48">
        <f>H457*Settings!$B$5</f>
        <v/>
      </c>
      <c r="K457">
        <f>IF(AND(A457&lt;&gt;"",C457&lt;&gt;"",D457&lt;&gt;"",H457&gt;0),"✓","⚠ missing")</f>
        <v/>
      </c>
      <c r="L457" s="44" t="n"/>
      <c r="M457" s="45" t="n"/>
      <c r="N457" s="39" t="n"/>
      <c r="O457" s="46" t="n"/>
    </row>
    <row r="458">
      <c r="H458" s="47">
        <f>IF(AND(E458&lt;&gt;"",F458&lt;&gt;""), F458-E458, IF(G458&lt;&gt;"", G458, 0))</f>
        <v/>
      </c>
      <c r="I458" s="48">
        <f>H458*Settings!$B$5</f>
        <v/>
      </c>
      <c r="K458">
        <f>IF(AND(A458&lt;&gt;"",C458&lt;&gt;"",D458&lt;&gt;"",H458&gt;0),"✓","⚠ missing")</f>
        <v/>
      </c>
      <c r="L458" s="44" t="n"/>
      <c r="M458" s="45" t="n"/>
      <c r="N458" s="39" t="n"/>
      <c r="O458" s="46" t="n"/>
    </row>
    <row r="459">
      <c r="H459" s="47">
        <f>IF(AND(E459&lt;&gt;"",F459&lt;&gt;""), F459-E459, IF(G459&lt;&gt;"", G459, 0))</f>
        <v/>
      </c>
      <c r="I459" s="48">
        <f>H459*Settings!$B$5</f>
        <v/>
      </c>
      <c r="K459">
        <f>IF(AND(A459&lt;&gt;"",C459&lt;&gt;"",D459&lt;&gt;"",H459&gt;0),"✓","⚠ missing")</f>
        <v/>
      </c>
      <c r="L459" s="44" t="n"/>
      <c r="M459" s="45" t="n"/>
      <c r="N459" s="39" t="n"/>
      <c r="O459" s="46" t="n"/>
    </row>
    <row r="460">
      <c r="H460" s="47">
        <f>IF(AND(E460&lt;&gt;"",F460&lt;&gt;""), F460-E460, IF(G460&lt;&gt;"", G460, 0))</f>
        <v/>
      </c>
      <c r="I460" s="48">
        <f>H460*Settings!$B$5</f>
        <v/>
      </c>
      <c r="K460">
        <f>IF(AND(A460&lt;&gt;"",C460&lt;&gt;"",D460&lt;&gt;"",H460&gt;0),"✓","⚠ missing")</f>
        <v/>
      </c>
      <c r="L460" s="44" t="n"/>
      <c r="M460" s="45" t="n"/>
      <c r="N460" s="39" t="n"/>
      <c r="O460" s="46" t="n"/>
    </row>
    <row r="461">
      <c r="H461" s="47">
        <f>IF(AND(E461&lt;&gt;"",F461&lt;&gt;""), F461-E461, IF(G461&lt;&gt;"", G461, 0))</f>
        <v/>
      </c>
      <c r="I461" s="48">
        <f>H461*Settings!$B$5</f>
        <v/>
      </c>
      <c r="K461">
        <f>IF(AND(A461&lt;&gt;"",C461&lt;&gt;"",D461&lt;&gt;"",H461&gt;0),"✓","⚠ missing")</f>
        <v/>
      </c>
      <c r="L461" s="44" t="n"/>
      <c r="M461" s="45" t="n"/>
      <c r="N461" s="39" t="n"/>
      <c r="O461" s="46" t="n"/>
    </row>
    <row r="462">
      <c r="H462" s="47">
        <f>IF(AND(E462&lt;&gt;"",F462&lt;&gt;""), F462-E462, IF(G462&lt;&gt;"", G462, 0))</f>
        <v/>
      </c>
      <c r="I462" s="48">
        <f>H462*Settings!$B$5</f>
        <v/>
      </c>
      <c r="K462">
        <f>IF(AND(A462&lt;&gt;"",C462&lt;&gt;"",D462&lt;&gt;"",H462&gt;0),"✓","⚠ missing")</f>
        <v/>
      </c>
      <c r="L462" s="44" t="n"/>
      <c r="M462" s="45" t="n"/>
      <c r="N462" s="39" t="n"/>
      <c r="O462" s="46" t="n"/>
    </row>
    <row r="463">
      <c r="H463" s="47">
        <f>IF(AND(E463&lt;&gt;"",F463&lt;&gt;""), F463-E463, IF(G463&lt;&gt;"", G463, 0))</f>
        <v/>
      </c>
      <c r="I463" s="48">
        <f>H463*Settings!$B$5</f>
        <v/>
      </c>
      <c r="K463">
        <f>IF(AND(A463&lt;&gt;"",C463&lt;&gt;"",D463&lt;&gt;"",H463&gt;0),"✓","⚠ missing")</f>
        <v/>
      </c>
      <c r="L463" s="44" t="n"/>
      <c r="M463" s="45" t="n"/>
      <c r="N463" s="39" t="n"/>
      <c r="O463" s="46" t="n"/>
    </row>
    <row r="464">
      <c r="H464" s="47">
        <f>IF(AND(E464&lt;&gt;"",F464&lt;&gt;""), F464-E464, IF(G464&lt;&gt;"", G464, 0))</f>
        <v/>
      </c>
      <c r="I464" s="48">
        <f>H464*Settings!$B$5</f>
        <v/>
      </c>
      <c r="K464">
        <f>IF(AND(A464&lt;&gt;"",C464&lt;&gt;"",D464&lt;&gt;"",H464&gt;0),"✓","⚠ missing")</f>
        <v/>
      </c>
      <c r="L464" s="44" t="n"/>
      <c r="M464" s="45" t="n"/>
      <c r="N464" s="39" t="n"/>
      <c r="O464" s="46" t="n"/>
    </row>
    <row r="465">
      <c r="H465" s="47">
        <f>IF(AND(E465&lt;&gt;"",F465&lt;&gt;""), F465-E465, IF(G465&lt;&gt;"", G465, 0))</f>
        <v/>
      </c>
      <c r="I465" s="48">
        <f>H465*Settings!$B$5</f>
        <v/>
      </c>
      <c r="K465">
        <f>IF(AND(A465&lt;&gt;"",C465&lt;&gt;"",D465&lt;&gt;"",H465&gt;0),"✓","⚠ missing")</f>
        <v/>
      </c>
      <c r="L465" s="44" t="n"/>
      <c r="M465" s="45" t="n"/>
      <c r="N465" s="39" t="n"/>
      <c r="O465" s="46" t="n"/>
    </row>
    <row r="466">
      <c r="H466" s="47">
        <f>IF(AND(E466&lt;&gt;"",F466&lt;&gt;""), F466-E466, IF(G466&lt;&gt;"", G466, 0))</f>
        <v/>
      </c>
      <c r="I466" s="48">
        <f>H466*Settings!$B$5</f>
        <v/>
      </c>
      <c r="K466">
        <f>IF(AND(A466&lt;&gt;"",C466&lt;&gt;"",D466&lt;&gt;"",H466&gt;0),"✓","⚠ missing")</f>
        <v/>
      </c>
      <c r="L466" s="44" t="n"/>
      <c r="M466" s="45" t="n"/>
      <c r="N466" s="39" t="n"/>
      <c r="O466" s="46" t="n"/>
    </row>
    <row r="467">
      <c r="H467" s="47">
        <f>IF(AND(E467&lt;&gt;"",F467&lt;&gt;""), F467-E467, IF(G467&lt;&gt;"", G467, 0))</f>
        <v/>
      </c>
      <c r="I467" s="48">
        <f>H467*Settings!$B$5</f>
        <v/>
      </c>
      <c r="K467">
        <f>IF(AND(A467&lt;&gt;"",C467&lt;&gt;"",D467&lt;&gt;"",H467&gt;0),"✓","⚠ missing")</f>
        <v/>
      </c>
      <c r="L467" s="44" t="n"/>
      <c r="M467" s="45" t="n"/>
      <c r="N467" s="39" t="n"/>
      <c r="O467" s="46" t="n"/>
    </row>
    <row r="468">
      <c r="H468" s="47">
        <f>IF(AND(E468&lt;&gt;"",F468&lt;&gt;""), F468-E468, IF(G468&lt;&gt;"", G468, 0))</f>
        <v/>
      </c>
      <c r="I468" s="48">
        <f>H468*Settings!$B$5</f>
        <v/>
      </c>
      <c r="K468">
        <f>IF(AND(A468&lt;&gt;"",C468&lt;&gt;"",D468&lt;&gt;"",H468&gt;0),"✓","⚠ missing")</f>
        <v/>
      </c>
      <c r="L468" s="44" t="n"/>
      <c r="M468" s="45" t="n"/>
      <c r="N468" s="39" t="n"/>
      <c r="O468" s="46" t="n"/>
    </row>
    <row r="469">
      <c r="H469" s="47">
        <f>IF(AND(E469&lt;&gt;"",F469&lt;&gt;""), F469-E469, IF(G469&lt;&gt;"", G469, 0))</f>
        <v/>
      </c>
      <c r="I469" s="48">
        <f>H469*Settings!$B$5</f>
        <v/>
      </c>
      <c r="K469">
        <f>IF(AND(A469&lt;&gt;"",C469&lt;&gt;"",D469&lt;&gt;"",H469&gt;0),"✓","⚠ missing")</f>
        <v/>
      </c>
      <c r="L469" s="44" t="n"/>
      <c r="M469" s="45" t="n"/>
      <c r="N469" s="39" t="n"/>
      <c r="O469" s="46" t="n"/>
    </row>
    <row r="470">
      <c r="H470" s="47">
        <f>IF(AND(E470&lt;&gt;"",F470&lt;&gt;""), F470-E470, IF(G470&lt;&gt;"", G470, 0))</f>
        <v/>
      </c>
      <c r="I470" s="48">
        <f>H470*Settings!$B$5</f>
        <v/>
      </c>
      <c r="K470">
        <f>IF(AND(A470&lt;&gt;"",C470&lt;&gt;"",D470&lt;&gt;"",H470&gt;0),"✓","⚠ missing")</f>
        <v/>
      </c>
      <c r="L470" s="44" t="n"/>
      <c r="M470" s="45" t="n"/>
      <c r="N470" s="39" t="n"/>
      <c r="O470" s="46" t="n"/>
    </row>
    <row r="471">
      <c r="H471" s="47">
        <f>IF(AND(E471&lt;&gt;"",F471&lt;&gt;""), F471-E471, IF(G471&lt;&gt;"", G471, 0))</f>
        <v/>
      </c>
      <c r="I471" s="48">
        <f>H471*Settings!$B$5</f>
        <v/>
      </c>
      <c r="K471">
        <f>IF(AND(A471&lt;&gt;"",C471&lt;&gt;"",D471&lt;&gt;"",H471&gt;0),"✓","⚠ missing")</f>
        <v/>
      </c>
      <c r="L471" s="44" t="n"/>
      <c r="M471" s="45" t="n"/>
      <c r="N471" s="39" t="n"/>
      <c r="O471" s="46" t="n"/>
    </row>
    <row r="472">
      <c r="H472" s="47">
        <f>IF(AND(E472&lt;&gt;"",F472&lt;&gt;""), F472-E472, IF(G472&lt;&gt;"", G472, 0))</f>
        <v/>
      </c>
      <c r="I472" s="48">
        <f>H472*Settings!$B$5</f>
        <v/>
      </c>
      <c r="K472">
        <f>IF(AND(A472&lt;&gt;"",C472&lt;&gt;"",D472&lt;&gt;"",H472&gt;0),"✓","⚠ missing")</f>
        <v/>
      </c>
      <c r="L472" s="44" t="n"/>
      <c r="M472" s="45" t="n"/>
      <c r="N472" s="39" t="n"/>
      <c r="O472" s="46" t="n"/>
    </row>
    <row r="473">
      <c r="H473" s="47">
        <f>IF(AND(E473&lt;&gt;"",F473&lt;&gt;""), F473-E473, IF(G473&lt;&gt;"", G473, 0))</f>
        <v/>
      </c>
      <c r="I473" s="48">
        <f>H473*Settings!$B$5</f>
        <v/>
      </c>
      <c r="K473">
        <f>IF(AND(A473&lt;&gt;"",C473&lt;&gt;"",D473&lt;&gt;"",H473&gt;0),"✓","⚠ missing")</f>
        <v/>
      </c>
      <c r="L473" s="44" t="n"/>
      <c r="M473" s="45" t="n"/>
      <c r="N473" s="39" t="n"/>
      <c r="O473" s="46" t="n"/>
    </row>
    <row r="474">
      <c r="H474" s="47">
        <f>IF(AND(E474&lt;&gt;"",F474&lt;&gt;""), F474-E474, IF(G474&lt;&gt;"", G474, 0))</f>
        <v/>
      </c>
      <c r="I474" s="48">
        <f>H474*Settings!$B$5</f>
        <v/>
      </c>
      <c r="K474">
        <f>IF(AND(A474&lt;&gt;"",C474&lt;&gt;"",D474&lt;&gt;"",H474&gt;0),"✓","⚠ missing")</f>
        <v/>
      </c>
      <c r="L474" s="44" t="n"/>
      <c r="M474" s="45" t="n"/>
      <c r="N474" s="39" t="n"/>
      <c r="O474" s="46" t="n"/>
    </row>
    <row r="475">
      <c r="H475" s="47">
        <f>IF(AND(E475&lt;&gt;"",F475&lt;&gt;""), F475-E475, IF(G475&lt;&gt;"", G475, 0))</f>
        <v/>
      </c>
      <c r="I475" s="48">
        <f>H475*Settings!$B$5</f>
        <v/>
      </c>
      <c r="K475">
        <f>IF(AND(A475&lt;&gt;"",C475&lt;&gt;"",D475&lt;&gt;"",H475&gt;0),"✓","⚠ missing")</f>
        <v/>
      </c>
      <c r="L475" s="44" t="n"/>
      <c r="M475" s="45" t="n"/>
      <c r="N475" s="39" t="n"/>
      <c r="O475" s="46" t="n"/>
    </row>
    <row r="476">
      <c r="H476" s="47">
        <f>IF(AND(E476&lt;&gt;"",F476&lt;&gt;""), F476-E476, IF(G476&lt;&gt;"", G476, 0))</f>
        <v/>
      </c>
      <c r="I476" s="48">
        <f>H476*Settings!$B$5</f>
        <v/>
      </c>
      <c r="K476">
        <f>IF(AND(A476&lt;&gt;"",C476&lt;&gt;"",D476&lt;&gt;"",H476&gt;0),"✓","⚠ missing")</f>
        <v/>
      </c>
      <c r="L476" s="44" t="n"/>
      <c r="M476" s="45" t="n"/>
      <c r="N476" s="39" t="n"/>
      <c r="O476" s="46" t="n"/>
    </row>
    <row r="477">
      <c r="H477" s="47">
        <f>IF(AND(E477&lt;&gt;"",F477&lt;&gt;""), F477-E477, IF(G477&lt;&gt;"", G477, 0))</f>
        <v/>
      </c>
      <c r="I477" s="48">
        <f>H477*Settings!$B$5</f>
        <v/>
      </c>
      <c r="K477">
        <f>IF(AND(A477&lt;&gt;"",C477&lt;&gt;"",D477&lt;&gt;"",H477&gt;0),"✓","⚠ missing")</f>
        <v/>
      </c>
      <c r="L477" s="44" t="n"/>
      <c r="M477" s="45" t="n"/>
      <c r="N477" s="39" t="n"/>
      <c r="O477" s="46" t="n"/>
    </row>
    <row r="478">
      <c r="H478" s="47">
        <f>IF(AND(E478&lt;&gt;"",F478&lt;&gt;""), F478-E478, IF(G478&lt;&gt;"", G478, 0))</f>
        <v/>
      </c>
      <c r="I478" s="48">
        <f>H478*Settings!$B$5</f>
        <v/>
      </c>
      <c r="K478">
        <f>IF(AND(A478&lt;&gt;"",C478&lt;&gt;"",D478&lt;&gt;"",H478&gt;0),"✓","⚠ missing")</f>
        <v/>
      </c>
      <c r="L478" s="44" t="n"/>
      <c r="M478" s="45" t="n"/>
      <c r="N478" s="39" t="n"/>
      <c r="O478" s="46" t="n"/>
    </row>
    <row r="479">
      <c r="H479" s="47">
        <f>IF(AND(E479&lt;&gt;"",F479&lt;&gt;""), F479-E479, IF(G479&lt;&gt;"", G479, 0))</f>
        <v/>
      </c>
      <c r="I479" s="48">
        <f>H479*Settings!$B$5</f>
        <v/>
      </c>
      <c r="K479">
        <f>IF(AND(A479&lt;&gt;"",C479&lt;&gt;"",D479&lt;&gt;"",H479&gt;0),"✓","⚠ missing")</f>
        <v/>
      </c>
      <c r="L479" s="44" t="n"/>
      <c r="M479" s="45" t="n"/>
      <c r="N479" s="39" t="n"/>
      <c r="O479" s="46" t="n"/>
    </row>
    <row r="480">
      <c r="H480" s="47">
        <f>IF(AND(E480&lt;&gt;"",F480&lt;&gt;""), F480-E480, IF(G480&lt;&gt;"", G480, 0))</f>
        <v/>
      </c>
      <c r="I480" s="48">
        <f>H480*Settings!$B$5</f>
        <v/>
      </c>
      <c r="K480">
        <f>IF(AND(A480&lt;&gt;"",C480&lt;&gt;"",D480&lt;&gt;"",H480&gt;0),"✓","⚠ missing")</f>
        <v/>
      </c>
      <c r="L480" s="44" t="n"/>
      <c r="M480" s="45" t="n"/>
      <c r="N480" s="39" t="n"/>
      <c r="O480" s="46" t="n"/>
    </row>
    <row r="481">
      <c r="H481" s="47">
        <f>IF(AND(E481&lt;&gt;"",F481&lt;&gt;""), F481-E481, IF(G481&lt;&gt;"", G481, 0))</f>
        <v/>
      </c>
      <c r="I481" s="48">
        <f>H481*Settings!$B$5</f>
        <v/>
      </c>
      <c r="K481">
        <f>IF(AND(A481&lt;&gt;"",C481&lt;&gt;"",D481&lt;&gt;"",H481&gt;0),"✓","⚠ missing")</f>
        <v/>
      </c>
      <c r="L481" s="44" t="n"/>
      <c r="M481" s="45" t="n"/>
      <c r="N481" s="39" t="n"/>
      <c r="O481" s="46" t="n"/>
    </row>
    <row r="482">
      <c r="H482" s="47">
        <f>IF(AND(E482&lt;&gt;"",F482&lt;&gt;""), F482-E482, IF(G482&lt;&gt;"", G482, 0))</f>
        <v/>
      </c>
      <c r="I482" s="48">
        <f>H482*Settings!$B$5</f>
        <v/>
      </c>
      <c r="K482">
        <f>IF(AND(A482&lt;&gt;"",C482&lt;&gt;"",D482&lt;&gt;"",H482&gt;0),"✓","⚠ missing")</f>
        <v/>
      </c>
      <c r="L482" s="44" t="n"/>
      <c r="M482" s="45" t="n"/>
      <c r="N482" s="39" t="n"/>
      <c r="O482" s="46" t="n"/>
    </row>
    <row r="483">
      <c r="H483" s="47">
        <f>IF(AND(E483&lt;&gt;"",F483&lt;&gt;""), F483-E483, IF(G483&lt;&gt;"", G483, 0))</f>
        <v/>
      </c>
      <c r="I483" s="48">
        <f>H483*Settings!$B$5</f>
        <v/>
      </c>
      <c r="K483">
        <f>IF(AND(A483&lt;&gt;"",C483&lt;&gt;"",D483&lt;&gt;"",H483&gt;0),"✓","⚠ missing")</f>
        <v/>
      </c>
      <c r="L483" s="44" t="n"/>
      <c r="M483" s="45" t="n"/>
      <c r="N483" s="39" t="n"/>
      <c r="O483" s="46" t="n"/>
    </row>
    <row r="484">
      <c r="H484" s="47">
        <f>IF(AND(E484&lt;&gt;"",F484&lt;&gt;""), F484-E484, IF(G484&lt;&gt;"", G484, 0))</f>
        <v/>
      </c>
      <c r="I484" s="48">
        <f>H484*Settings!$B$5</f>
        <v/>
      </c>
      <c r="K484">
        <f>IF(AND(A484&lt;&gt;"",C484&lt;&gt;"",D484&lt;&gt;"",H484&gt;0),"✓","⚠ missing")</f>
        <v/>
      </c>
      <c r="L484" s="44" t="n"/>
      <c r="M484" s="45" t="n"/>
      <c r="N484" s="39" t="n"/>
      <c r="O484" s="46" t="n"/>
    </row>
    <row r="485">
      <c r="H485" s="47">
        <f>IF(AND(E485&lt;&gt;"",F485&lt;&gt;""), F485-E485, IF(G485&lt;&gt;"", G485, 0))</f>
        <v/>
      </c>
      <c r="I485" s="48">
        <f>H485*Settings!$B$5</f>
        <v/>
      </c>
      <c r="K485">
        <f>IF(AND(A485&lt;&gt;"",C485&lt;&gt;"",D485&lt;&gt;"",H485&gt;0),"✓","⚠ missing")</f>
        <v/>
      </c>
      <c r="L485" s="44" t="n"/>
      <c r="M485" s="45" t="n"/>
      <c r="N485" s="39" t="n"/>
      <c r="O485" s="46" t="n"/>
    </row>
    <row r="486">
      <c r="H486" s="47">
        <f>IF(AND(E486&lt;&gt;"",F486&lt;&gt;""), F486-E486, IF(G486&lt;&gt;"", G486, 0))</f>
        <v/>
      </c>
      <c r="I486" s="48">
        <f>H486*Settings!$B$5</f>
        <v/>
      </c>
      <c r="K486">
        <f>IF(AND(A486&lt;&gt;"",C486&lt;&gt;"",D486&lt;&gt;"",H486&gt;0),"✓","⚠ missing")</f>
        <v/>
      </c>
      <c r="L486" s="44" t="n"/>
      <c r="M486" s="45" t="n"/>
      <c r="N486" s="39" t="n"/>
      <c r="O486" s="46" t="n"/>
    </row>
    <row r="487">
      <c r="H487" s="47">
        <f>IF(AND(E487&lt;&gt;"",F487&lt;&gt;""), F487-E487, IF(G487&lt;&gt;"", G487, 0))</f>
        <v/>
      </c>
      <c r="I487" s="48">
        <f>H487*Settings!$B$5</f>
        <v/>
      </c>
      <c r="K487">
        <f>IF(AND(A487&lt;&gt;"",C487&lt;&gt;"",D487&lt;&gt;"",H487&gt;0),"✓","⚠ missing")</f>
        <v/>
      </c>
      <c r="L487" s="44" t="n"/>
      <c r="M487" s="45" t="n"/>
      <c r="N487" s="39" t="n"/>
      <c r="O487" s="46" t="n"/>
    </row>
    <row r="488">
      <c r="H488" s="47">
        <f>IF(AND(E488&lt;&gt;"",F488&lt;&gt;""), F488-E488, IF(G488&lt;&gt;"", G488, 0))</f>
        <v/>
      </c>
      <c r="I488" s="48">
        <f>H488*Settings!$B$5</f>
        <v/>
      </c>
      <c r="K488">
        <f>IF(AND(A488&lt;&gt;"",C488&lt;&gt;"",D488&lt;&gt;"",H488&gt;0),"✓","⚠ missing")</f>
        <v/>
      </c>
      <c r="L488" s="44" t="n"/>
      <c r="M488" s="45" t="n"/>
      <c r="N488" s="39" t="n"/>
      <c r="O488" s="46" t="n"/>
    </row>
    <row r="489">
      <c r="H489" s="47">
        <f>IF(AND(E489&lt;&gt;"",F489&lt;&gt;""), F489-E489, IF(G489&lt;&gt;"", G489, 0))</f>
        <v/>
      </c>
      <c r="I489" s="48">
        <f>H489*Settings!$B$5</f>
        <v/>
      </c>
      <c r="K489">
        <f>IF(AND(A489&lt;&gt;"",C489&lt;&gt;"",D489&lt;&gt;"",H489&gt;0),"✓","⚠ missing")</f>
        <v/>
      </c>
      <c r="L489" s="44" t="n"/>
      <c r="M489" s="45" t="n"/>
      <c r="N489" s="39" t="n"/>
      <c r="O489" s="46" t="n"/>
    </row>
    <row r="490">
      <c r="H490" s="47">
        <f>IF(AND(E490&lt;&gt;"",F490&lt;&gt;""), F490-E490, IF(G490&lt;&gt;"", G490, 0))</f>
        <v/>
      </c>
      <c r="I490" s="48">
        <f>H490*Settings!$B$5</f>
        <v/>
      </c>
      <c r="K490">
        <f>IF(AND(A490&lt;&gt;"",C490&lt;&gt;"",D490&lt;&gt;"",H490&gt;0),"✓","⚠ missing")</f>
        <v/>
      </c>
      <c r="L490" s="44" t="n"/>
      <c r="M490" s="45" t="n"/>
      <c r="N490" s="39" t="n"/>
      <c r="O490" s="46" t="n"/>
    </row>
    <row r="491">
      <c r="H491" s="47">
        <f>IF(AND(E491&lt;&gt;"",F491&lt;&gt;""), F491-E491, IF(G491&lt;&gt;"", G491, 0))</f>
        <v/>
      </c>
      <c r="I491" s="48">
        <f>H491*Settings!$B$5</f>
        <v/>
      </c>
      <c r="K491">
        <f>IF(AND(A491&lt;&gt;"",C491&lt;&gt;"",D491&lt;&gt;"",H491&gt;0),"✓","⚠ missing")</f>
        <v/>
      </c>
      <c r="L491" s="44" t="n"/>
      <c r="M491" s="45" t="n"/>
      <c r="N491" s="39" t="n"/>
      <c r="O491" s="46" t="n"/>
    </row>
    <row r="492">
      <c r="H492" s="47">
        <f>IF(AND(E492&lt;&gt;"",F492&lt;&gt;""), F492-E492, IF(G492&lt;&gt;"", G492, 0))</f>
        <v/>
      </c>
      <c r="I492" s="48">
        <f>H492*Settings!$B$5</f>
        <v/>
      </c>
      <c r="K492">
        <f>IF(AND(A492&lt;&gt;"",C492&lt;&gt;"",D492&lt;&gt;"",H492&gt;0),"✓","⚠ missing")</f>
        <v/>
      </c>
      <c r="L492" s="44" t="n"/>
      <c r="M492" s="45" t="n"/>
      <c r="N492" s="39" t="n"/>
      <c r="O492" s="46" t="n"/>
    </row>
    <row r="493">
      <c r="H493" s="47">
        <f>IF(AND(E493&lt;&gt;"",F493&lt;&gt;""), F493-E493, IF(G493&lt;&gt;"", G493, 0))</f>
        <v/>
      </c>
      <c r="I493" s="48">
        <f>H493*Settings!$B$5</f>
        <v/>
      </c>
      <c r="K493">
        <f>IF(AND(A493&lt;&gt;"",C493&lt;&gt;"",D493&lt;&gt;"",H493&gt;0),"✓","⚠ missing")</f>
        <v/>
      </c>
      <c r="L493" s="44" t="n"/>
      <c r="M493" s="45" t="n"/>
      <c r="N493" s="39" t="n"/>
      <c r="O493" s="46" t="n"/>
    </row>
    <row r="494">
      <c r="H494" s="47">
        <f>IF(AND(E494&lt;&gt;"",F494&lt;&gt;""), F494-E494, IF(G494&lt;&gt;"", G494, 0))</f>
        <v/>
      </c>
      <c r="I494" s="48">
        <f>H494*Settings!$B$5</f>
        <v/>
      </c>
      <c r="K494">
        <f>IF(AND(A494&lt;&gt;"",C494&lt;&gt;"",D494&lt;&gt;"",H494&gt;0),"✓","⚠ missing")</f>
        <v/>
      </c>
      <c r="L494" s="44" t="n"/>
      <c r="M494" s="45" t="n"/>
      <c r="N494" s="39" t="n"/>
      <c r="O494" s="46" t="n"/>
    </row>
    <row r="495">
      <c r="H495" s="47">
        <f>IF(AND(E495&lt;&gt;"",F495&lt;&gt;""), F495-E495, IF(G495&lt;&gt;"", G495, 0))</f>
        <v/>
      </c>
      <c r="I495" s="48">
        <f>H495*Settings!$B$5</f>
        <v/>
      </c>
      <c r="K495">
        <f>IF(AND(A495&lt;&gt;"",C495&lt;&gt;"",D495&lt;&gt;"",H495&gt;0),"✓","⚠ missing")</f>
        <v/>
      </c>
      <c r="L495" s="44" t="n"/>
      <c r="M495" s="45" t="n"/>
      <c r="N495" s="39" t="n"/>
      <c r="O495" s="46" t="n"/>
    </row>
    <row r="496">
      <c r="H496" s="47">
        <f>IF(AND(E496&lt;&gt;"",F496&lt;&gt;""), F496-E496, IF(G496&lt;&gt;"", G496, 0))</f>
        <v/>
      </c>
      <c r="I496" s="48">
        <f>H496*Settings!$B$5</f>
        <v/>
      </c>
      <c r="K496">
        <f>IF(AND(A496&lt;&gt;"",C496&lt;&gt;"",D496&lt;&gt;"",H496&gt;0),"✓","⚠ missing")</f>
        <v/>
      </c>
      <c r="L496" s="44" t="n"/>
      <c r="M496" s="45" t="n"/>
      <c r="N496" s="39" t="n"/>
      <c r="O496" s="46" t="n"/>
    </row>
    <row r="497">
      <c r="H497" s="47">
        <f>IF(AND(E497&lt;&gt;"",F497&lt;&gt;""), F497-E497, IF(G497&lt;&gt;"", G497, 0))</f>
        <v/>
      </c>
      <c r="I497" s="48">
        <f>H497*Settings!$B$5</f>
        <v/>
      </c>
      <c r="K497">
        <f>IF(AND(A497&lt;&gt;"",C497&lt;&gt;"",D497&lt;&gt;"",H497&gt;0),"✓","⚠ missing")</f>
        <v/>
      </c>
      <c r="L497" s="44" t="n"/>
      <c r="M497" s="45" t="n"/>
      <c r="N497" s="39" t="n"/>
      <c r="O497" s="46" t="n"/>
    </row>
    <row r="498">
      <c r="H498" s="47">
        <f>IF(AND(E498&lt;&gt;"",F498&lt;&gt;""), F498-E498, IF(G498&lt;&gt;"", G498, 0))</f>
        <v/>
      </c>
      <c r="I498" s="48">
        <f>H498*Settings!$B$5</f>
        <v/>
      </c>
      <c r="K498">
        <f>IF(AND(A498&lt;&gt;"",C498&lt;&gt;"",D498&lt;&gt;"",H498&gt;0),"✓","⚠ missing")</f>
        <v/>
      </c>
      <c r="L498" s="44" t="n"/>
      <c r="M498" s="45" t="n"/>
      <c r="N498" s="39" t="n"/>
      <c r="O498" s="46" t="n"/>
    </row>
    <row r="499">
      <c r="H499" s="47">
        <f>IF(AND(E499&lt;&gt;"",F499&lt;&gt;""), F499-E499, IF(G499&lt;&gt;"", G499, 0))</f>
        <v/>
      </c>
      <c r="I499" s="48">
        <f>H499*Settings!$B$5</f>
        <v/>
      </c>
      <c r="K499">
        <f>IF(AND(A499&lt;&gt;"",C499&lt;&gt;"",D499&lt;&gt;"",H499&gt;0),"✓","⚠ missing")</f>
        <v/>
      </c>
      <c r="L499" s="44" t="n"/>
      <c r="M499" s="45" t="n"/>
      <c r="N499" s="39" t="n"/>
      <c r="O499" s="46" t="n"/>
    </row>
    <row r="500">
      <c r="H500" s="47">
        <f>IF(AND(E500&lt;&gt;"",F500&lt;&gt;""), F500-E500, IF(G500&lt;&gt;"", G500, 0))</f>
        <v/>
      </c>
      <c r="I500" s="48">
        <f>H500*Settings!$B$5</f>
        <v/>
      </c>
      <c r="K500">
        <f>IF(AND(A500&lt;&gt;"",C500&lt;&gt;"",D500&lt;&gt;"",H500&gt;0),"✓","⚠ missing")</f>
        <v/>
      </c>
      <c r="L500" s="44" t="n"/>
      <c r="M500" s="45" t="n"/>
      <c r="N500" s="39" t="n"/>
      <c r="O500" s="46" t="n"/>
    </row>
    <row r="501">
      <c r="H501" s="47">
        <f>IF(AND(E501&lt;&gt;"",F501&lt;&gt;""), F501-E501, IF(G501&lt;&gt;"", G501, 0))</f>
        <v/>
      </c>
      <c r="I501" s="48">
        <f>H501*Settings!$B$5</f>
        <v/>
      </c>
      <c r="K501">
        <f>IF(AND(A501&lt;&gt;"",C501&lt;&gt;"",D501&lt;&gt;"",H501&gt;0),"✓","⚠ missing")</f>
        <v/>
      </c>
      <c r="L501" s="44" t="n"/>
      <c r="M501" s="45" t="n"/>
      <c r="N501" s="39" t="n"/>
      <c r="O501" s="46" t="n"/>
    </row>
    <row r="502">
      <c r="H502" s="47">
        <f>IF(AND(E502&lt;&gt;"",F502&lt;&gt;""), F502-E502, IF(G502&lt;&gt;"", G502, 0))</f>
        <v/>
      </c>
      <c r="I502" s="48">
        <f>H502*Settings!$B$5</f>
        <v/>
      </c>
      <c r="K502">
        <f>IF(AND(A502&lt;&gt;"",C502&lt;&gt;"",D502&lt;&gt;"",H502&gt;0),"✓","⚠ missing")</f>
        <v/>
      </c>
      <c r="L502" s="44" t="n"/>
      <c r="M502" s="45" t="n"/>
      <c r="N502" s="39" t="n"/>
      <c r="O502" s="46" t="n"/>
    </row>
    <row r="503">
      <c r="H503" s="47">
        <f>IF(AND(E503&lt;&gt;"",F503&lt;&gt;""), F503-E503, IF(G503&lt;&gt;"", G503, 0))</f>
        <v/>
      </c>
      <c r="I503" s="48">
        <f>H503*Settings!$B$5</f>
        <v/>
      </c>
      <c r="K503">
        <f>IF(AND(A503&lt;&gt;"",C503&lt;&gt;"",D503&lt;&gt;"",H503&gt;0),"✓","⚠ missing")</f>
        <v/>
      </c>
      <c r="L503" s="44" t="n"/>
      <c r="M503" s="45" t="n"/>
      <c r="N503" s="39" t="n"/>
      <c r="O503" s="46" t="n"/>
    </row>
    <row r="504">
      <c r="H504" s="47">
        <f>IF(AND(E504&lt;&gt;"",F504&lt;&gt;""), F504-E504, IF(G504&lt;&gt;"", G504, 0))</f>
        <v/>
      </c>
      <c r="I504" s="48">
        <f>H504*Settings!$B$5</f>
        <v/>
      </c>
      <c r="K504">
        <f>IF(AND(A504&lt;&gt;"",C504&lt;&gt;"",D504&lt;&gt;"",H504&gt;0),"✓","⚠ missing")</f>
        <v/>
      </c>
      <c r="L504" s="44" t="n"/>
      <c r="M504" s="45" t="n"/>
      <c r="N504" s="39" t="n"/>
      <c r="O504" s="46" t="n"/>
    </row>
    <row r="505">
      <c r="H505" s="47">
        <f>IF(AND(E505&lt;&gt;"",F505&lt;&gt;""), F505-E505, IF(G505&lt;&gt;"", G505, 0))</f>
        <v/>
      </c>
      <c r="I505" s="48">
        <f>H505*Settings!$B$5</f>
        <v/>
      </c>
      <c r="K505">
        <f>IF(AND(A505&lt;&gt;"",C505&lt;&gt;"",D505&lt;&gt;"",H505&gt;0),"✓","⚠ missing")</f>
        <v/>
      </c>
      <c r="L505" s="44" t="n"/>
      <c r="M505" s="45" t="n"/>
      <c r="N505" s="39" t="n"/>
      <c r="O505" s="46" t="n"/>
    </row>
    <row r="506">
      <c r="H506" s="47">
        <f>IF(AND(E506&lt;&gt;"",F506&lt;&gt;""), F506-E506, IF(G506&lt;&gt;"", G506, 0))</f>
        <v/>
      </c>
      <c r="I506" s="48">
        <f>H506*Settings!$B$5</f>
        <v/>
      </c>
      <c r="K506">
        <f>IF(AND(A506&lt;&gt;"",C506&lt;&gt;"",D506&lt;&gt;"",H506&gt;0),"✓","⚠ missing")</f>
        <v/>
      </c>
      <c r="L506" s="44" t="n"/>
      <c r="M506" s="45" t="n"/>
      <c r="N506" s="39" t="n"/>
      <c r="O506" s="46" t="n"/>
    </row>
    <row r="507">
      <c r="H507" s="47">
        <f>IF(AND(E507&lt;&gt;"",F507&lt;&gt;""), F507-E507, IF(G507&lt;&gt;"", G507, 0))</f>
        <v/>
      </c>
      <c r="I507" s="48">
        <f>H507*Settings!$B$5</f>
        <v/>
      </c>
      <c r="K507">
        <f>IF(AND(A507&lt;&gt;"",C507&lt;&gt;"",D507&lt;&gt;"",H507&gt;0),"✓","⚠ missing")</f>
        <v/>
      </c>
      <c r="L507" s="44" t="n"/>
      <c r="M507" s="45" t="n"/>
      <c r="N507" s="39" t="n"/>
      <c r="O507" s="46" t="n"/>
    </row>
    <row r="508">
      <c r="H508" s="47">
        <f>IF(AND(E508&lt;&gt;"",F508&lt;&gt;""), F508-E508, IF(G508&lt;&gt;"", G508, 0))</f>
        <v/>
      </c>
      <c r="I508" s="48">
        <f>H508*Settings!$B$5</f>
        <v/>
      </c>
      <c r="K508">
        <f>IF(AND(A508&lt;&gt;"",C508&lt;&gt;"",D508&lt;&gt;"",H508&gt;0),"✓","⚠ missing")</f>
        <v/>
      </c>
      <c r="L508" s="44" t="n"/>
      <c r="M508" s="45" t="n"/>
      <c r="N508" s="39" t="n"/>
      <c r="O508" s="46" t="n"/>
    </row>
    <row r="509">
      <c r="H509" s="47">
        <f>IF(AND(E509&lt;&gt;"",F509&lt;&gt;""), F509-E509, IF(G509&lt;&gt;"", G509, 0))</f>
        <v/>
      </c>
      <c r="I509" s="48">
        <f>H509*Settings!$B$5</f>
        <v/>
      </c>
      <c r="K509">
        <f>IF(AND(A509&lt;&gt;"",C509&lt;&gt;"",D509&lt;&gt;"",H509&gt;0),"✓","⚠ missing")</f>
        <v/>
      </c>
      <c r="L509" s="44" t="n"/>
      <c r="M509" s="45" t="n"/>
      <c r="N509" s="39" t="n"/>
      <c r="O509" s="46" t="n"/>
    </row>
    <row r="510">
      <c r="H510" s="47">
        <f>IF(AND(E510&lt;&gt;"",F510&lt;&gt;""), F510-E510, IF(G510&lt;&gt;"", G510, 0))</f>
        <v/>
      </c>
      <c r="I510" s="48">
        <f>H510*Settings!$B$5</f>
        <v/>
      </c>
      <c r="K510">
        <f>IF(AND(A510&lt;&gt;"",C510&lt;&gt;"",D510&lt;&gt;"",H510&gt;0),"✓","⚠ missing")</f>
        <v/>
      </c>
      <c r="L510" s="44" t="n"/>
      <c r="M510" s="45" t="n"/>
      <c r="N510" s="39" t="n"/>
      <c r="O510" s="46" t="n"/>
    </row>
    <row r="511">
      <c r="H511" s="47">
        <f>IF(AND(E511&lt;&gt;"",F511&lt;&gt;""), F511-E511, IF(G511&lt;&gt;"", G511, 0))</f>
        <v/>
      </c>
      <c r="I511" s="48">
        <f>H511*Settings!$B$5</f>
        <v/>
      </c>
      <c r="K511">
        <f>IF(AND(A511&lt;&gt;"",C511&lt;&gt;"",D511&lt;&gt;"",H511&gt;0),"✓","⚠ missing")</f>
        <v/>
      </c>
      <c r="L511" s="44" t="n"/>
      <c r="M511" s="45" t="n"/>
      <c r="N511" s="39" t="n"/>
      <c r="O511" s="46" t="n"/>
    </row>
    <row r="512">
      <c r="H512" s="47">
        <f>IF(AND(E512&lt;&gt;"",F512&lt;&gt;""), F512-E512, IF(G512&lt;&gt;"", G512, 0))</f>
        <v/>
      </c>
      <c r="I512" s="48">
        <f>H512*Settings!$B$5</f>
        <v/>
      </c>
      <c r="K512">
        <f>IF(AND(A512&lt;&gt;"",C512&lt;&gt;"",D512&lt;&gt;"",H512&gt;0),"✓","⚠ missing")</f>
        <v/>
      </c>
      <c r="L512" s="44" t="n"/>
      <c r="M512" s="45" t="n"/>
      <c r="N512" s="39" t="n"/>
      <c r="O512" s="46" t="n"/>
    </row>
    <row r="513">
      <c r="H513" s="47">
        <f>IF(AND(E513&lt;&gt;"",F513&lt;&gt;""), F513-E513, IF(G513&lt;&gt;"", G513, 0))</f>
        <v/>
      </c>
      <c r="I513" s="48">
        <f>H513*Settings!$B$5</f>
        <v/>
      </c>
      <c r="K513">
        <f>IF(AND(A513&lt;&gt;"",C513&lt;&gt;"",D513&lt;&gt;"",H513&gt;0),"✓","⚠ missing")</f>
        <v/>
      </c>
      <c r="L513" s="44" t="n"/>
      <c r="M513" s="45" t="n"/>
      <c r="N513" s="39" t="n"/>
      <c r="O513" s="46" t="n"/>
    </row>
    <row r="514">
      <c r="H514" s="47">
        <f>IF(AND(E514&lt;&gt;"",F514&lt;&gt;""), F514-E514, IF(G514&lt;&gt;"", G514, 0))</f>
        <v/>
      </c>
      <c r="I514" s="48">
        <f>H514*Settings!$B$5</f>
        <v/>
      </c>
      <c r="K514">
        <f>IF(AND(A514&lt;&gt;"",C514&lt;&gt;"",D514&lt;&gt;"",H514&gt;0),"✓","⚠ missing")</f>
        <v/>
      </c>
      <c r="L514" s="44" t="n"/>
      <c r="M514" s="45" t="n"/>
      <c r="N514" s="39" t="n"/>
      <c r="O514" s="46" t="n"/>
    </row>
    <row r="515">
      <c r="H515" s="47">
        <f>IF(AND(E515&lt;&gt;"",F515&lt;&gt;""), F515-E515, IF(G515&lt;&gt;"", G515, 0))</f>
        <v/>
      </c>
      <c r="I515" s="48">
        <f>H515*Settings!$B$5</f>
        <v/>
      </c>
      <c r="K515">
        <f>IF(AND(A515&lt;&gt;"",C515&lt;&gt;"",D515&lt;&gt;"",H515&gt;0),"✓","⚠ missing")</f>
        <v/>
      </c>
      <c r="L515" s="44" t="n"/>
      <c r="M515" s="45" t="n"/>
      <c r="N515" s="39" t="n"/>
      <c r="O515" s="46" t="n"/>
    </row>
    <row r="516">
      <c r="H516" s="47">
        <f>IF(AND(E516&lt;&gt;"",F516&lt;&gt;""), F516-E516, IF(G516&lt;&gt;"", G516, 0))</f>
        <v/>
      </c>
      <c r="I516" s="48">
        <f>H516*Settings!$B$5</f>
        <v/>
      </c>
      <c r="K516">
        <f>IF(AND(A516&lt;&gt;"",C516&lt;&gt;"",D516&lt;&gt;"",H516&gt;0),"✓","⚠ missing")</f>
        <v/>
      </c>
      <c r="L516" s="44" t="n"/>
      <c r="M516" s="45" t="n"/>
      <c r="N516" s="39" t="n"/>
      <c r="O516" s="46" t="n"/>
    </row>
    <row r="517">
      <c r="H517" s="47">
        <f>IF(AND(E517&lt;&gt;"",F517&lt;&gt;""), F517-E517, IF(G517&lt;&gt;"", G517, 0))</f>
        <v/>
      </c>
      <c r="I517" s="48">
        <f>H517*Settings!$B$5</f>
        <v/>
      </c>
      <c r="K517">
        <f>IF(AND(A517&lt;&gt;"",C517&lt;&gt;"",D517&lt;&gt;"",H517&gt;0),"✓","⚠ missing")</f>
        <v/>
      </c>
      <c r="L517" s="44" t="n"/>
      <c r="M517" s="45" t="n"/>
      <c r="N517" s="39" t="n"/>
      <c r="O517" s="46" t="n"/>
    </row>
    <row r="518">
      <c r="H518" s="47">
        <f>IF(AND(E518&lt;&gt;"",F518&lt;&gt;""), F518-E518, IF(G518&lt;&gt;"", G518, 0))</f>
        <v/>
      </c>
      <c r="I518" s="48">
        <f>H518*Settings!$B$5</f>
        <v/>
      </c>
      <c r="K518">
        <f>IF(AND(A518&lt;&gt;"",C518&lt;&gt;"",D518&lt;&gt;"",H518&gt;0),"✓","⚠ missing")</f>
        <v/>
      </c>
      <c r="L518" s="44" t="n"/>
      <c r="M518" s="45" t="n"/>
      <c r="N518" s="39" t="n"/>
      <c r="O518" s="46" t="n"/>
    </row>
    <row r="519">
      <c r="H519" s="47">
        <f>IF(AND(E519&lt;&gt;"",F519&lt;&gt;""), F519-E519, IF(G519&lt;&gt;"", G519, 0))</f>
        <v/>
      </c>
      <c r="I519" s="48">
        <f>H519*Settings!$B$5</f>
        <v/>
      </c>
      <c r="K519">
        <f>IF(AND(A519&lt;&gt;"",C519&lt;&gt;"",D519&lt;&gt;"",H519&gt;0),"✓","⚠ missing")</f>
        <v/>
      </c>
      <c r="L519" s="44" t="n"/>
      <c r="M519" s="45" t="n"/>
      <c r="N519" s="39" t="n"/>
      <c r="O519" s="46" t="n"/>
    </row>
    <row r="520">
      <c r="H520" s="47">
        <f>IF(AND(E520&lt;&gt;"",F520&lt;&gt;""), F520-E520, IF(G520&lt;&gt;"", G520, 0))</f>
        <v/>
      </c>
      <c r="I520" s="48">
        <f>H520*Settings!$B$5</f>
        <v/>
      </c>
      <c r="K520">
        <f>IF(AND(A520&lt;&gt;"",C520&lt;&gt;"",D520&lt;&gt;"",H520&gt;0),"✓","⚠ missing")</f>
        <v/>
      </c>
      <c r="L520" s="44" t="n"/>
      <c r="M520" s="45" t="n"/>
      <c r="N520" s="39" t="n"/>
      <c r="O520" s="46" t="n"/>
    </row>
    <row r="521">
      <c r="H521" s="47">
        <f>IF(AND(E521&lt;&gt;"",F521&lt;&gt;""), F521-E521, IF(G521&lt;&gt;"", G521, 0))</f>
        <v/>
      </c>
      <c r="I521" s="48">
        <f>H521*Settings!$B$5</f>
        <v/>
      </c>
      <c r="K521">
        <f>IF(AND(A521&lt;&gt;"",C521&lt;&gt;"",D521&lt;&gt;"",H521&gt;0),"✓","⚠ missing")</f>
        <v/>
      </c>
      <c r="L521" s="44" t="n"/>
      <c r="M521" s="45" t="n"/>
      <c r="N521" s="39" t="n"/>
      <c r="O521" s="46" t="n"/>
    </row>
    <row r="522">
      <c r="H522" s="47">
        <f>IF(AND(E522&lt;&gt;"",F522&lt;&gt;""), F522-E522, IF(G522&lt;&gt;"", G522, 0))</f>
        <v/>
      </c>
      <c r="I522" s="48">
        <f>H522*Settings!$B$5</f>
        <v/>
      </c>
      <c r="K522">
        <f>IF(AND(A522&lt;&gt;"",C522&lt;&gt;"",D522&lt;&gt;"",H522&gt;0),"✓","⚠ missing")</f>
        <v/>
      </c>
      <c r="L522" s="44" t="n"/>
      <c r="M522" s="45" t="n"/>
      <c r="N522" s="39" t="n"/>
      <c r="O522" s="46" t="n"/>
    </row>
    <row r="523">
      <c r="H523" s="47">
        <f>IF(AND(E523&lt;&gt;"",F523&lt;&gt;""), F523-E523, IF(G523&lt;&gt;"", G523, 0))</f>
        <v/>
      </c>
      <c r="I523" s="48">
        <f>H523*Settings!$B$5</f>
        <v/>
      </c>
      <c r="K523">
        <f>IF(AND(A523&lt;&gt;"",C523&lt;&gt;"",D523&lt;&gt;"",H523&gt;0),"✓","⚠ missing")</f>
        <v/>
      </c>
      <c r="L523" s="44" t="n"/>
      <c r="M523" s="45" t="n"/>
      <c r="N523" s="39" t="n"/>
      <c r="O523" s="46" t="n"/>
    </row>
    <row r="524">
      <c r="H524" s="47">
        <f>IF(AND(E524&lt;&gt;"",F524&lt;&gt;""), F524-E524, IF(G524&lt;&gt;"", G524, 0))</f>
        <v/>
      </c>
      <c r="I524" s="48">
        <f>H524*Settings!$B$5</f>
        <v/>
      </c>
      <c r="K524">
        <f>IF(AND(A524&lt;&gt;"",C524&lt;&gt;"",D524&lt;&gt;"",H524&gt;0),"✓","⚠ missing")</f>
        <v/>
      </c>
      <c r="L524" s="44" t="n"/>
      <c r="M524" s="45" t="n"/>
      <c r="N524" s="39" t="n"/>
      <c r="O524" s="46" t="n"/>
    </row>
    <row r="525">
      <c r="H525" s="47">
        <f>IF(AND(E525&lt;&gt;"",F525&lt;&gt;""), F525-E525, IF(G525&lt;&gt;"", G525, 0))</f>
        <v/>
      </c>
      <c r="I525" s="48">
        <f>H525*Settings!$B$5</f>
        <v/>
      </c>
      <c r="K525">
        <f>IF(AND(A525&lt;&gt;"",C525&lt;&gt;"",D525&lt;&gt;"",H525&gt;0),"✓","⚠ missing")</f>
        <v/>
      </c>
      <c r="L525" s="44" t="n"/>
      <c r="M525" s="45" t="n"/>
      <c r="N525" s="39" t="n"/>
      <c r="O525" s="46" t="n"/>
    </row>
    <row r="526">
      <c r="H526" s="47">
        <f>IF(AND(E526&lt;&gt;"",F526&lt;&gt;""), F526-E526, IF(G526&lt;&gt;"", G526, 0))</f>
        <v/>
      </c>
      <c r="I526" s="48">
        <f>H526*Settings!$B$5</f>
        <v/>
      </c>
      <c r="K526">
        <f>IF(AND(A526&lt;&gt;"",C526&lt;&gt;"",D526&lt;&gt;"",H526&gt;0),"✓","⚠ missing")</f>
        <v/>
      </c>
      <c r="L526" s="44" t="n"/>
      <c r="M526" s="45" t="n"/>
      <c r="N526" s="39" t="n"/>
      <c r="O526" s="46" t="n"/>
    </row>
    <row r="527">
      <c r="H527" s="47">
        <f>IF(AND(E527&lt;&gt;"",F527&lt;&gt;""), F527-E527, IF(G527&lt;&gt;"", G527, 0))</f>
        <v/>
      </c>
      <c r="I527" s="48">
        <f>H527*Settings!$B$5</f>
        <v/>
      </c>
      <c r="K527">
        <f>IF(AND(A527&lt;&gt;"",C527&lt;&gt;"",D527&lt;&gt;"",H527&gt;0),"✓","⚠ missing")</f>
        <v/>
      </c>
      <c r="L527" s="44" t="n"/>
      <c r="M527" s="45" t="n"/>
      <c r="N527" s="39" t="n"/>
      <c r="O527" s="46" t="n"/>
    </row>
    <row r="528">
      <c r="H528" s="47">
        <f>IF(AND(E528&lt;&gt;"",F528&lt;&gt;""), F528-E528, IF(G528&lt;&gt;"", G528, 0))</f>
        <v/>
      </c>
      <c r="I528" s="48">
        <f>H528*Settings!$B$5</f>
        <v/>
      </c>
      <c r="K528">
        <f>IF(AND(A528&lt;&gt;"",C528&lt;&gt;"",D528&lt;&gt;"",H528&gt;0),"✓","⚠ missing")</f>
        <v/>
      </c>
      <c r="L528" s="44" t="n"/>
      <c r="M528" s="45" t="n"/>
      <c r="N528" s="39" t="n"/>
      <c r="O528" s="46" t="n"/>
    </row>
    <row r="529">
      <c r="H529" s="47">
        <f>IF(AND(E529&lt;&gt;"",F529&lt;&gt;""), F529-E529, IF(G529&lt;&gt;"", G529, 0))</f>
        <v/>
      </c>
      <c r="I529" s="48">
        <f>H529*Settings!$B$5</f>
        <v/>
      </c>
      <c r="K529">
        <f>IF(AND(A529&lt;&gt;"",C529&lt;&gt;"",D529&lt;&gt;"",H529&gt;0),"✓","⚠ missing")</f>
        <v/>
      </c>
      <c r="L529" s="44" t="n"/>
      <c r="M529" s="45" t="n"/>
      <c r="N529" s="39" t="n"/>
      <c r="O529" s="46" t="n"/>
    </row>
    <row r="530">
      <c r="H530" s="47">
        <f>IF(AND(E530&lt;&gt;"",F530&lt;&gt;""), F530-E530, IF(G530&lt;&gt;"", G530, 0))</f>
        <v/>
      </c>
      <c r="I530" s="48">
        <f>H530*Settings!$B$5</f>
        <v/>
      </c>
      <c r="K530">
        <f>IF(AND(A530&lt;&gt;"",C530&lt;&gt;"",D530&lt;&gt;"",H530&gt;0),"✓","⚠ missing")</f>
        <v/>
      </c>
      <c r="L530" s="44" t="n"/>
      <c r="M530" s="45" t="n"/>
      <c r="N530" s="39" t="n"/>
      <c r="O530" s="46" t="n"/>
    </row>
    <row r="531">
      <c r="H531" s="47">
        <f>IF(AND(E531&lt;&gt;"",F531&lt;&gt;""), F531-E531, IF(G531&lt;&gt;"", G531, 0))</f>
        <v/>
      </c>
      <c r="I531" s="48">
        <f>H531*Settings!$B$5</f>
        <v/>
      </c>
      <c r="K531">
        <f>IF(AND(A531&lt;&gt;"",C531&lt;&gt;"",D531&lt;&gt;"",H531&gt;0),"✓","⚠ missing")</f>
        <v/>
      </c>
      <c r="L531" s="44" t="n"/>
      <c r="M531" s="45" t="n"/>
      <c r="N531" s="39" t="n"/>
      <c r="O531" s="46" t="n"/>
    </row>
    <row r="532">
      <c r="H532" s="47">
        <f>IF(AND(E532&lt;&gt;"",F532&lt;&gt;""), F532-E532, IF(G532&lt;&gt;"", G532, 0))</f>
        <v/>
      </c>
      <c r="I532" s="48">
        <f>H532*Settings!$B$5</f>
        <v/>
      </c>
      <c r="K532">
        <f>IF(AND(A532&lt;&gt;"",C532&lt;&gt;"",D532&lt;&gt;"",H532&gt;0),"✓","⚠ missing")</f>
        <v/>
      </c>
      <c r="L532" s="44" t="n"/>
      <c r="M532" s="45" t="n"/>
      <c r="N532" s="39" t="n"/>
      <c r="O532" s="46" t="n"/>
    </row>
    <row r="533">
      <c r="H533" s="47">
        <f>IF(AND(E533&lt;&gt;"",F533&lt;&gt;""), F533-E533, IF(G533&lt;&gt;"", G533, 0))</f>
        <v/>
      </c>
      <c r="I533" s="48">
        <f>H533*Settings!$B$5</f>
        <v/>
      </c>
      <c r="K533">
        <f>IF(AND(A533&lt;&gt;"",C533&lt;&gt;"",D533&lt;&gt;"",H533&gt;0),"✓","⚠ missing")</f>
        <v/>
      </c>
      <c r="L533" s="44" t="n"/>
      <c r="M533" s="45" t="n"/>
      <c r="N533" s="39" t="n"/>
      <c r="O533" s="46" t="n"/>
    </row>
    <row r="534">
      <c r="H534" s="47">
        <f>IF(AND(E534&lt;&gt;"",F534&lt;&gt;""), F534-E534, IF(G534&lt;&gt;"", G534, 0))</f>
        <v/>
      </c>
      <c r="I534" s="48">
        <f>H534*Settings!$B$5</f>
        <v/>
      </c>
      <c r="K534">
        <f>IF(AND(A534&lt;&gt;"",C534&lt;&gt;"",D534&lt;&gt;"",H534&gt;0),"✓","⚠ missing")</f>
        <v/>
      </c>
      <c r="L534" s="44" t="n"/>
      <c r="M534" s="45" t="n"/>
      <c r="N534" s="39" t="n"/>
      <c r="O534" s="46" t="n"/>
    </row>
    <row r="535">
      <c r="H535" s="47">
        <f>IF(AND(E535&lt;&gt;"",F535&lt;&gt;""), F535-E535, IF(G535&lt;&gt;"", G535, 0))</f>
        <v/>
      </c>
      <c r="I535" s="48">
        <f>H535*Settings!$B$5</f>
        <v/>
      </c>
      <c r="K535">
        <f>IF(AND(A535&lt;&gt;"",C535&lt;&gt;"",D535&lt;&gt;"",H535&gt;0),"✓","⚠ missing")</f>
        <v/>
      </c>
      <c r="L535" s="44" t="n"/>
      <c r="M535" s="45" t="n"/>
      <c r="N535" s="39" t="n"/>
      <c r="O535" s="46" t="n"/>
    </row>
    <row r="536">
      <c r="H536" s="47">
        <f>IF(AND(E536&lt;&gt;"",F536&lt;&gt;""), F536-E536, IF(G536&lt;&gt;"", G536, 0))</f>
        <v/>
      </c>
      <c r="I536" s="48">
        <f>H536*Settings!$B$5</f>
        <v/>
      </c>
      <c r="K536">
        <f>IF(AND(A536&lt;&gt;"",C536&lt;&gt;"",D536&lt;&gt;"",H536&gt;0),"✓","⚠ missing")</f>
        <v/>
      </c>
      <c r="L536" s="44" t="n"/>
      <c r="M536" s="45" t="n"/>
      <c r="N536" s="39" t="n"/>
      <c r="O536" s="46" t="n"/>
    </row>
    <row r="537">
      <c r="H537" s="47">
        <f>IF(AND(E537&lt;&gt;"",F537&lt;&gt;""), F537-E537, IF(G537&lt;&gt;"", G537, 0))</f>
        <v/>
      </c>
      <c r="I537" s="48">
        <f>H537*Settings!$B$5</f>
        <v/>
      </c>
      <c r="K537">
        <f>IF(AND(A537&lt;&gt;"",C537&lt;&gt;"",D537&lt;&gt;"",H537&gt;0),"✓","⚠ missing")</f>
        <v/>
      </c>
      <c r="L537" s="44" t="n"/>
      <c r="M537" s="45" t="n"/>
      <c r="N537" s="39" t="n"/>
      <c r="O537" s="46" t="n"/>
    </row>
    <row r="538">
      <c r="H538" s="47">
        <f>IF(AND(E538&lt;&gt;"",F538&lt;&gt;""), F538-E538, IF(G538&lt;&gt;"", G538, 0))</f>
        <v/>
      </c>
      <c r="I538" s="48">
        <f>H538*Settings!$B$5</f>
        <v/>
      </c>
      <c r="K538">
        <f>IF(AND(A538&lt;&gt;"",C538&lt;&gt;"",D538&lt;&gt;"",H538&gt;0),"✓","⚠ missing")</f>
        <v/>
      </c>
      <c r="L538" s="44" t="n"/>
      <c r="M538" s="45" t="n"/>
      <c r="N538" s="39" t="n"/>
      <c r="O538" s="46" t="n"/>
    </row>
    <row r="539">
      <c r="H539" s="47">
        <f>IF(AND(E539&lt;&gt;"",F539&lt;&gt;""), F539-E539, IF(G539&lt;&gt;"", G539, 0))</f>
        <v/>
      </c>
      <c r="I539" s="48">
        <f>H539*Settings!$B$5</f>
        <v/>
      </c>
      <c r="K539">
        <f>IF(AND(A539&lt;&gt;"",C539&lt;&gt;"",D539&lt;&gt;"",H539&gt;0),"✓","⚠ missing")</f>
        <v/>
      </c>
      <c r="L539" s="44" t="n"/>
      <c r="M539" s="45" t="n"/>
      <c r="N539" s="39" t="n"/>
      <c r="O539" s="46" t="n"/>
    </row>
    <row r="540">
      <c r="H540" s="47">
        <f>IF(AND(E540&lt;&gt;"",F540&lt;&gt;""), F540-E540, IF(G540&lt;&gt;"", G540, 0))</f>
        <v/>
      </c>
      <c r="I540" s="48">
        <f>H540*Settings!$B$5</f>
        <v/>
      </c>
      <c r="K540">
        <f>IF(AND(A540&lt;&gt;"",C540&lt;&gt;"",D540&lt;&gt;"",H540&gt;0),"✓","⚠ missing")</f>
        <v/>
      </c>
      <c r="L540" s="44" t="n"/>
      <c r="M540" s="45" t="n"/>
      <c r="N540" s="39" t="n"/>
      <c r="O540" s="46" t="n"/>
    </row>
    <row r="541">
      <c r="H541" s="47">
        <f>IF(AND(E541&lt;&gt;"",F541&lt;&gt;""), F541-E541, IF(G541&lt;&gt;"", G541, 0))</f>
        <v/>
      </c>
      <c r="I541" s="48">
        <f>H541*Settings!$B$5</f>
        <v/>
      </c>
      <c r="K541">
        <f>IF(AND(A541&lt;&gt;"",C541&lt;&gt;"",D541&lt;&gt;"",H541&gt;0),"✓","⚠ missing")</f>
        <v/>
      </c>
      <c r="L541" s="44" t="n"/>
      <c r="M541" s="45" t="n"/>
      <c r="N541" s="39" t="n"/>
      <c r="O541" s="46" t="n"/>
    </row>
    <row r="542">
      <c r="H542" s="47">
        <f>IF(AND(E542&lt;&gt;"",F542&lt;&gt;""), F542-E542, IF(G542&lt;&gt;"", G542, 0))</f>
        <v/>
      </c>
      <c r="I542" s="48">
        <f>H542*Settings!$B$5</f>
        <v/>
      </c>
      <c r="K542">
        <f>IF(AND(A542&lt;&gt;"",C542&lt;&gt;"",D542&lt;&gt;"",H542&gt;0),"✓","⚠ missing")</f>
        <v/>
      </c>
      <c r="L542" s="44" t="n"/>
      <c r="M542" s="45" t="n"/>
      <c r="N542" s="39" t="n"/>
      <c r="O542" s="46" t="n"/>
    </row>
    <row r="543">
      <c r="H543" s="47">
        <f>IF(AND(E543&lt;&gt;"",F543&lt;&gt;""), F543-E543, IF(G543&lt;&gt;"", G543, 0))</f>
        <v/>
      </c>
      <c r="I543" s="48">
        <f>H543*Settings!$B$5</f>
        <v/>
      </c>
      <c r="K543">
        <f>IF(AND(A543&lt;&gt;"",C543&lt;&gt;"",D543&lt;&gt;"",H543&gt;0),"✓","⚠ missing")</f>
        <v/>
      </c>
      <c r="L543" s="44" t="n"/>
      <c r="M543" s="45" t="n"/>
      <c r="N543" s="39" t="n"/>
      <c r="O543" s="46" t="n"/>
    </row>
    <row r="544">
      <c r="H544" s="47">
        <f>IF(AND(E544&lt;&gt;"",F544&lt;&gt;""), F544-E544, IF(G544&lt;&gt;"", G544, 0))</f>
        <v/>
      </c>
      <c r="I544" s="48">
        <f>H544*Settings!$B$5</f>
        <v/>
      </c>
      <c r="K544">
        <f>IF(AND(A544&lt;&gt;"",C544&lt;&gt;"",D544&lt;&gt;"",H544&gt;0),"✓","⚠ missing")</f>
        <v/>
      </c>
      <c r="L544" s="44" t="n"/>
      <c r="M544" s="45" t="n"/>
      <c r="N544" s="39" t="n"/>
      <c r="O544" s="46" t="n"/>
    </row>
    <row r="545">
      <c r="H545" s="47">
        <f>IF(AND(E545&lt;&gt;"",F545&lt;&gt;""), F545-E545, IF(G545&lt;&gt;"", G545, 0))</f>
        <v/>
      </c>
      <c r="I545" s="48">
        <f>H545*Settings!$B$5</f>
        <v/>
      </c>
      <c r="K545">
        <f>IF(AND(A545&lt;&gt;"",C545&lt;&gt;"",D545&lt;&gt;"",H545&gt;0),"✓","⚠ missing")</f>
        <v/>
      </c>
      <c r="L545" s="44" t="n"/>
      <c r="M545" s="45" t="n"/>
      <c r="N545" s="39" t="n"/>
      <c r="O545" s="46" t="n"/>
    </row>
    <row r="546">
      <c r="H546" s="47">
        <f>IF(AND(E546&lt;&gt;"",F546&lt;&gt;""), F546-E546, IF(G546&lt;&gt;"", G546, 0))</f>
        <v/>
      </c>
      <c r="I546" s="48">
        <f>H546*Settings!$B$5</f>
        <v/>
      </c>
      <c r="K546">
        <f>IF(AND(A546&lt;&gt;"",C546&lt;&gt;"",D546&lt;&gt;"",H546&gt;0),"✓","⚠ missing")</f>
        <v/>
      </c>
      <c r="L546" s="44" t="n"/>
      <c r="M546" s="45" t="n"/>
      <c r="N546" s="39" t="n"/>
      <c r="O546" s="46" t="n"/>
    </row>
    <row r="547">
      <c r="H547" s="47">
        <f>IF(AND(E547&lt;&gt;"",F547&lt;&gt;""), F547-E547, IF(G547&lt;&gt;"", G547, 0))</f>
        <v/>
      </c>
      <c r="I547" s="48">
        <f>H547*Settings!$B$5</f>
        <v/>
      </c>
      <c r="K547">
        <f>IF(AND(A547&lt;&gt;"",C547&lt;&gt;"",D547&lt;&gt;"",H547&gt;0),"✓","⚠ missing")</f>
        <v/>
      </c>
      <c r="L547" s="44" t="n"/>
      <c r="M547" s="45" t="n"/>
      <c r="N547" s="39" t="n"/>
      <c r="O547" s="46" t="n"/>
    </row>
    <row r="548">
      <c r="H548" s="47">
        <f>IF(AND(E548&lt;&gt;"",F548&lt;&gt;""), F548-E548, IF(G548&lt;&gt;"", G548, 0))</f>
        <v/>
      </c>
      <c r="I548" s="48">
        <f>H548*Settings!$B$5</f>
        <v/>
      </c>
      <c r="K548">
        <f>IF(AND(A548&lt;&gt;"",C548&lt;&gt;"",D548&lt;&gt;"",H548&gt;0),"✓","⚠ missing")</f>
        <v/>
      </c>
      <c r="L548" s="44" t="n"/>
      <c r="M548" s="45" t="n"/>
      <c r="N548" s="39" t="n"/>
      <c r="O548" s="46" t="n"/>
    </row>
    <row r="549">
      <c r="H549" s="47">
        <f>IF(AND(E549&lt;&gt;"",F549&lt;&gt;""), F549-E549, IF(G549&lt;&gt;"", G549, 0))</f>
        <v/>
      </c>
      <c r="I549" s="48">
        <f>H549*Settings!$B$5</f>
        <v/>
      </c>
      <c r="K549">
        <f>IF(AND(A549&lt;&gt;"",C549&lt;&gt;"",D549&lt;&gt;"",H549&gt;0),"✓","⚠ missing")</f>
        <v/>
      </c>
      <c r="L549" s="44" t="n"/>
      <c r="M549" s="45" t="n"/>
      <c r="N549" s="39" t="n"/>
      <c r="O549" s="46" t="n"/>
    </row>
    <row r="550">
      <c r="H550" s="47">
        <f>IF(AND(E550&lt;&gt;"",F550&lt;&gt;""), F550-E550, IF(G550&lt;&gt;"", G550, 0))</f>
        <v/>
      </c>
      <c r="I550" s="48">
        <f>H550*Settings!$B$5</f>
        <v/>
      </c>
      <c r="K550">
        <f>IF(AND(A550&lt;&gt;"",C550&lt;&gt;"",D550&lt;&gt;"",H550&gt;0),"✓","⚠ missing")</f>
        <v/>
      </c>
      <c r="L550" s="44" t="n"/>
      <c r="M550" s="45" t="n"/>
      <c r="N550" s="39" t="n"/>
      <c r="O550" s="46" t="n"/>
    </row>
    <row r="551">
      <c r="H551" s="47">
        <f>IF(AND(E551&lt;&gt;"",F551&lt;&gt;""), F551-E551, IF(G551&lt;&gt;"", G551, 0))</f>
        <v/>
      </c>
      <c r="I551" s="48">
        <f>H551*Settings!$B$5</f>
        <v/>
      </c>
      <c r="K551">
        <f>IF(AND(A551&lt;&gt;"",C551&lt;&gt;"",D551&lt;&gt;"",H551&gt;0),"✓","⚠ missing")</f>
        <v/>
      </c>
      <c r="L551" s="44" t="n"/>
      <c r="M551" s="45" t="n"/>
      <c r="N551" s="39" t="n"/>
      <c r="O551" s="46" t="n"/>
    </row>
    <row r="552">
      <c r="H552" s="47">
        <f>IF(AND(E552&lt;&gt;"",F552&lt;&gt;""), F552-E552, IF(G552&lt;&gt;"", G552, 0))</f>
        <v/>
      </c>
      <c r="I552" s="48">
        <f>H552*Settings!$B$5</f>
        <v/>
      </c>
      <c r="K552">
        <f>IF(AND(A552&lt;&gt;"",C552&lt;&gt;"",D552&lt;&gt;"",H552&gt;0),"✓","⚠ missing")</f>
        <v/>
      </c>
      <c r="L552" s="44" t="n"/>
      <c r="M552" s="45" t="n"/>
      <c r="N552" s="39" t="n"/>
      <c r="O552" s="46" t="n"/>
    </row>
    <row r="553">
      <c r="H553" s="47">
        <f>IF(AND(E553&lt;&gt;"",F553&lt;&gt;""), F553-E553, IF(G553&lt;&gt;"", G553, 0))</f>
        <v/>
      </c>
      <c r="I553" s="48">
        <f>H553*Settings!$B$5</f>
        <v/>
      </c>
      <c r="K553">
        <f>IF(AND(A553&lt;&gt;"",C553&lt;&gt;"",D553&lt;&gt;"",H553&gt;0),"✓","⚠ missing")</f>
        <v/>
      </c>
      <c r="L553" s="44" t="n"/>
      <c r="M553" s="45" t="n"/>
      <c r="N553" s="39" t="n"/>
      <c r="O553" s="46" t="n"/>
    </row>
    <row r="554">
      <c r="H554" s="47">
        <f>IF(AND(E554&lt;&gt;"",F554&lt;&gt;""), F554-E554, IF(G554&lt;&gt;"", G554, 0))</f>
        <v/>
      </c>
      <c r="I554" s="48">
        <f>H554*Settings!$B$5</f>
        <v/>
      </c>
      <c r="K554">
        <f>IF(AND(A554&lt;&gt;"",C554&lt;&gt;"",D554&lt;&gt;"",H554&gt;0),"✓","⚠ missing")</f>
        <v/>
      </c>
      <c r="L554" s="44" t="n"/>
      <c r="M554" s="45" t="n"/>
      <c r="N554" s="39" t="n"/>
      <c r="O554" s="46" t="n"/>
    </row>
    <row r="555">
      <c r="H555" s="47">
        <f>IF(AND(E555&lt;&gt;"",F555&lt;&gt;""), F555-E555, IF(G555&lt;&gt;"", G555, 0))</f>
        <v/>
      </c>
      <c r="I555" s="48">
        <f>H555*Settings!$B$5</f>
        <v/>
      </c>
      <c r="K555">
        <f>IF(AND(A555&lt;&gt;"",C555&lt;&gt;"",D555&lt;&gt;"",H555&gt;0),"✓","⚠ missing")</f>
        <v/>
      </c>
      <c r="L555" s="44" t="n"/>
      <c r="M555" s="45" t="n"/>
      <c r="N555" s="39" t="n"/>
      <c r="O555" s="46" t="n"/>
    </row>
    <row r="556">
      <c r="H556" s="47">
        <f>IF(AND(E556&lt;&gt;"",F556&lt;&gt;""), F556-E556, IF(G556&lt;&gt;"", G556, 0))</f>
        <v/>
      </c>
      <c r="I556" s="48">
        <f>H556*Settings!$B$5</f>
        <v/>
      </c>
      <c r="K556">
        <f>IF(AND(A556&lt;&gt;"",C556&lt;&gt;"",D556&lt;&gt;"",H556&gt;0),"✓","⚠ missing")</f>
        <v/>
      </c>
      <c r="L556" s="44" t="n"/>
      <c r="M556" s="45" t="n"/>
      <c r="N556" s="39" t="n"/>
      <c r="O556" s="46" t="n"/>
    </row>
    <row r="557">
      <c r="H557" s="47">
        <f>IF(AND(E557&lt;&gt;"",F557&lt;&gt;""), F557-E557, IF(G557&lt;&gt;"", G557, 0))</f>
        <v/>
      </c>
      <c r="I557" s="48">
        <f>H557*Settings!$B$5</f>
        <v/>
      </c>
      <c r="K557">
        <f>IF(AND(A557&lt;&gt;"",C557&lt;&gt;"",D557&lt;&gt;"",H557&gt;0),"✓","⚠ missing")</f>
        <v/>
      </c>
      <c r="L557" s="44" t="n"/>
      <c r="M557" s="45" t="n"/>
      <c r="N557" s="39" t="n"/>
      <c r="O557" s="46" t="n"/>
    </row>
    <row r="558">
      <c r="H558" s="47">
        <f>IF(AND(E558&lt;&gt;"",F558&lt;&gt;""), F558-E558, IF(G558&lt;&gt;"", G558, 0))</f>
        <v/>
      </c>
      <c r="I558" s="48">
        <f>H558*Settings!$B$5</f>
        <v/>
      </c>
      <c r="K558">
        <f>IF(AND(A558&lt;&gt;"",C558&lt;&gt;"",D558&lt;&gt;"",H558&gt;0),"✓","⚠ missing")</f>
        <v/>
      </c>
      <c r="L558" s="44" t="n"/>
      <c r="M558" s="45" t="n"/>
      <c r="N558" s="39" t="n"/>
      <c r="O558" s="46" t="n"/>
    </row>
    <row r="559">
      <c r="H559" s="47">
        <f>IF(AND(E559&lt;&gt;"",F559&lt;&gt;""), F559-E559, IF(G559&lt;&gt;"", G559, 0))</f>
        <v/>
      </c>
      <c r="I559" s="48">
        <f>H559*Settings!$B$5</f>
        <v/>
      </c>
      <c r="K559">
        <f>IF(AND(A559&lt;&gt;"",C559&lt;&gt;"",D559&lt;&gt;"",H559&gt;0),"✓","⚠ missing")</f>
        <v/>
      </c>
      <c r="L559" s="44" t="n"/>
      <c r="M559" s="45" t="n"/>
      <c r="N559" s="39" t="n"/>
      <c r="O559" s="46" t="n"/>
    </row>
    <row r="560">
      <c r="H560" s="47">
        <f>IF(AND(E560&lt;&gt;"",F560&lt;&gt;""), F560-E560, IF(G560&lt;&gt;"", G560, 0))</f>
        <v/>
      </c>
      <c r="I560" s="48">
        <f>H560*Settings!$B$5</f>
        <v/>
      </c>
      <c r="K560">
        <f>IF(AND(A560&lt;&gt;"",C560&lt;&gt;"",D560&lt;&gt;"",H560&gt;0),"✓","⚠ missing")</f>
        <v/>
      </c>
      <c r="L560" s="44" t="n"/>
      <c r="M560" s="45" t="n"/>
      <c r="N560" s="39" t="n"/>
      <c r="O560" s="46" t="n"/>
    </row>
    <row r="561">
      <c r="H561" s="47">
        <f>IF(AND(E561&lt;&gt;"",F561&lt;&gt;""), F561-E561, IF(G561&lt;&gt;"", G561, 0))</f>
        <v/>
      </c>
      <c r="I561" s="48">
        <f>H561*Settings!$B$5</f>
        <v/>
      </c>
      <c r="K561">
        <f>IF(AND(A561&lt;&gt;"",C561&lt;&gt;"",D561&lt;&gt;"",H561&gt;0),"✓","⚠ missing")</f>
        <v/>
      </c>
      <c r="L561" s="44" t="n"/>
      <c r="M561" s="45" t="n"/>
      <c r="N561" s="39" t="n"/>
      <c r="O561" s="46" t="n"/>
    </row>
    <row r="562">
      <c r="H562" s="47">
        <f>IF(AND(E562&lt;&gt;"",F562&lt;&gt;""), F562-E562, IF(G562&lt;&gt;"", G562, 0))</f>
        <v/>
      </c>
      <c r="I562" s="48">
        <f>H562*Settings!$B$5</f>
        <v/>
      </c>
      <c r="K562">
        <f>IF(AND(A562&lt;&gt;"",C562&lt;&gt;"",D562&lt;&gt;"",H562&gt;0),"✓","⚠ missing")</f>
        <v/>
      </c>
      <c r="L562" s="44" t="n"/>
      <c r="M562" s="45" t="n"/>
      <c r="N562" s="39" t="n"/>
      <c r="O562" s="46" t="n"/>
    </row>
    <row r="563">
      <c r="H563" s="47">
        <f>IF(AND(E563&lt;&gt;"",F563&lt;&gt;""), F563-E563, IF(G563&lt;&gt;"", G563, 0))</f>
        <v/>
      </c>
      <c r="I563" s="48">
        <f>H563*Settings!$B$5</f>
        <v/>
      </c>
      <c r="K563">
        <f>IF(AND(A563&lt;&gt;"",C563&lt;&gt;"",D563&lt;&gt;"",H563&gt;0),"✓","⚠ missing")</f>
        <v/>
      </c>
      <c r="L563" s="44" t="n"/>
      <c r="M563" s="45" t="n"/>
      <c r="N563" s="39" t="n"/>
      <c r="O563" s="46" t="n"/>
    </row>
    <row r="564">
      <c r="H564" s="47">
        <f>IF(AND(E564&lt;&gt;"",F564&lt;&gt;""), F564-E564, IF(G564&lt;&gt;"", G564, 0))</f>
        <v/>
      </c>
      <c r="I564" s="48">
        <f>H564*Settings!$B$5</f>
        <v/>
      </c>
      <c r="K564">
        <f>IF(AND(A564&lt;&gt;"",C564&lt;&gt;"",D564&lt;&gt;"",H564&gt;0),"✓","⚠ missing")</f>
        <v/>
      </c>
      <c r="L564" s="44" t="n"/>
      <c r="M564" s="45" t="n"/>
      <c r="N564" s="39" t="n"/>
      <c r="O564" s="46" t="n"/>
    </row>
    <row r="565">
      <c r="H565" s="47">
        <f>IF(AND(E565&lt;&gt;"",F565&lt;&gt;""), F565-E565, IF(G565&lt;&gt;"", G565, 0))</f>
        <v/>
      </c>
      <c r="I565" s="48">
        <f>H565*Settings!$B$5</f>
        <v/>
      </c>
      <c r="K565">
        <f>IF(AND(A565&lt;&gt;"",C565&lt;&gt;"",D565&lt;&gt;"",H565&gt;0),"✓","⚠ missing")</f>
        <v/>
      </c>
      <c r="L565" s="44" t="n"/>
      <c r="M565" s="45" t="n"/>
      <c r="N565" s="39" t="n"/>
      <c r="O565" s="46" t="n"/>
    </row>
    <row r="566">
      <c r="H566" s="47">
        <f>IF(AND(E566&lt;&gt;"",F566&lt;&gt;""), F566-E566, IF(G566&lt;&gt;"", G566, 0))</f>
        <v/>
      </c>
      <c r="I566" s="48">
        <f>H566*Settings!$B$5</f>
        <v/>
      </c>
      <c r="K566">
        <f>IF(AND(A566&lt;&gt;"",C566&lt;&gt;"",D566&lt;&gt;"",H566&gt;0),"✓","⚠ missing")</f>
        <v/>
      </c>
      <c r="L566" s="44" t="n"/>
      <c r="M566" s="45" t="n"/>
      <c r="N566" s="39" t="n"/>
      <c r="O566" s="46" t="n"/>
    </row>
    <row r="567">
      <c r="H567" s="47">
        <f>IF(AND(E567&lt;&gt;"",F567&lt;&gt;""), F567-E567, IF(G567&lt;&gt;"", G567, 0))</f>
        <v/>
      </c>
      <c r="I567" s="48">
        <f>H567*Settings!$B$5</f>
        <v/>
      </c>
      <c r="K567">
        <f>IF(AND(A567&lt;&gt;"",C567&lt;&gt;"",D567&lt;&gt;"",H567&gt;0),"✓","⚠ missing")</f>
        <v/>
      </c>
      <c r="L567" s="44" t="n"/>
      <c r="M567" s="45" t="n"/>
      <c r="N567" s="39" t="n"/>
      <c r="O567" s="46" t="n"/>
    </row>
    <row r="568">
      <c r="H568" s="47">
        <f>IF(AND(E568&lt;&gt;"",F568&lt;&gt;""), F568-E568, IF(G568&lt;&gt;"", G568, 0))</f>
        <v/>
      </c>
      <c r="I568" s="48">
        <f>H568*Settings!$B$5</f>
        <v/>
      </c>
      <c r="K568">
        <f>IF(AND(A568&lt;&gt;"",C568&lt;&gt;"",D568&lt;&gt;"",H568&gt;0),"✓","⚠ missing")</f>
        <v/>
      </c>
      <c r="L568" s="44" t="n"/>
      <c r="M568" s="45" t="n"/>
      <c r="N568" s="39" t="n"/>
      <c r="O568" s="46" t="n"/>
    </row>
    <row r="569">
      <c r="H569" s="47">
        <f>IF(AND(E569&lt;&gt;"",F569&lt;&gt;""), F569-E569, IF(G569&lt;&gt;"", G569, 0))</f>
        <v/>
      </c>
      <c r="I569" s="48">
        <f>H569*Settings!$B$5</f>
        <v/>
      </c>
      <c r="K569">
        <f>IF(AND(A569&lt;&gt;"",C569&lt;&gt;"",D569&lt;&gt;"",H569&gt;0),"✓","⚠ missing")</f>
        <v/>
      </c>
      <c r="L569" s="44" t="n"/>
      <c r="M569" s="45" t="n"/>
      <c r="N569" s="39" t="n"/>
      <c r="O569" s="46" t="n"/>
    </row>
    <row r="570">
      <c r="H570" s="47">
        <f>IF(AND(E570&lt;&gt;"",F570&lt;&gt;""), F570-E570, IF(G570&lt;&gt;"", G570, 0))</f>
        <v/>
      </c>
      <c r="I570" s="48">
        <f>H570*Settings!$B$5</f>
        <v/>
      </c>
      <c r="K570">
        <f>IF(AND(A570&lt;&gt;"",C570&lt;&gt;"",D570&lt;&gt;"",H570&gt;0),"✓","⚠ missing")</f>
        <v/>
      </c>
      <c r="L570" s="44" t="n"/>
      <c r="M570" s="45" t="n"/>
      <c r="N570" s="39" t="n"/>
      <c r="O570" s="46" t="n"/>
    </row>
    <row r="571">
      <c r="H571" s="47">
        <f>IF(AND(E571&lt;&gt;"",F571&lt;&gt;""), F571-E571, IF(G571&lt;&gt;"", G571, 0))</f>
        <v/>
      </c>
      <c r="I571" s="48">
        <f>H571*Settings!$B$5</f>
        <v/>
      </c>
      <c r="K571">
        <f>IF(AND(A571&lt;&gt;"",C571&lt;&gt;"",D571&lt;&gt;"",H571&gt;0),"✓","⚠ missing")</f>
        <v/>
      </c>
      <c r="L571" s="44" t="n"/>
      <c r="M571" s="45" t="n"/>
      <c r="N571" s="39" t="n"/>
      <c r="O571" s="46" t="n"/>
    </row>
    <row r="572">
      <c r="H572" s="47">
        <f>IF(AND(E572&lt;&gt;"",F572&lt;&gt;""), F572-E572, IF(G572&lt;&gt;"", G572, 0))</f>
        <v/>
      </c>
      <c r="I572" s="48">
        <f>H572*Settings!$B$5</f>
        <v/>
      </c>
      <c r="K572">
        <f>IF(AND(A572&lt;&gt;"",C572&lt;&gt;"",D572&lt;&gt;"",H572&gt;0),"✓","⚠ missing")</f>
        <v/>
      </c>
      <c r="L572" s="44" t="n"/>
      <c r="M572" s="45" t="n"/>
      <c r="N572" s="39" t="n"/>
      <c r="O572" s="46" t="n"/>
    </row>
    <row r="573">
      <c r="H573" s="47">
        <f>IF(AND(E573&lt;&gt;"",F573&lt;&gt;""), F573-E573, IF(G573&lt;&gt;"", G573, 0))</f>
        <v/>
      </c>
      <c r="I573" s="48">
        <f>H573*Settings!$B$5</f>
        <v/>
      </c>
      <c r="K573">
        <f>IF(AND(A573&lt;&gt;"",C573&lt;&gt;"",D573&lt;&gt;"",H573&gt;0),"✓","⚠ missing")</f>
        <v/>
      </c>
      <c r="L573" s="44" t="n"/>
      <c r="M573" s="45" t="n"/>
      <c r="N573" s="39" t="n"/>
      <c r="O573" s="46" t="n"/>
    </row>
    <row r="574">
      <c r="H574" s="47">
        <f>IF(AND(E574&lt;&gt;"",F574&lt;&gt;""), F574-E574, IF(G574&lt;&gt;"", G574, 0))</f>
        <v/>
      </c>
      <c r="I574" s="48">
        <f>H574*Settings!$B$5</f>
        <v/>
      </c>
      <c r="K574">
        <f>IF(AND(A574&lt;&gt;"",C574&lt;&gt;"",D574&lt;&gt;"",H574&gt;0),"✓","⚠ missing")</f>
        <v/>
      </c>
      <c r="L574" s="44" t="n"/>
      <c r="M574" s="45" t="n"/>
      <c r="N574" s="39" t="n"/>
      <c r="O574" s="46" t="n"/>
    </row>
    <row r="575">
      <c r="H575" s="47">
        <f>IF(AND(E575&lt;&gt;"",F575&lt;&gt;""), F575-E575, IF(G575&lt;&gt;"", G575, 0))</f>
        <v/>
      </c>
      <c r="I575" s="48">
        <f>H575*Settings!$B$5</f>
        <v/>
      </c>
      <c r="K575">
        <f>IF(AND(A575&lt;&gt;"",C575&lt;&gt;"",D575&lt;&gt;"",H575&gt;0),"✓","⚠ missing")</f>
        <v/>
      </c>
      <c r="L575" s="44" t="n"/>
      <c r="M575" s="45" t="n"/>
      <c r="N575" s="39" t="n"/>
      <c r="O575" s="46" t="n"/>
    </row>
    <row r="576">
      <c r="H576" s="47">
        <f>IF(AND(E576&lt;&gt;"",F576&lt;&gt;""), F576-E576, IF(G576&lt;&gt;"", G576, 0))</f>
        <v/>
      </c>
      <c r="I576" s="48">
        <f>H576*Settings!$B$5</f>
        <v/>
      </c>
      <c r="K576">
        <f>IF(AND(A576&lt;&gt;"",C576&lt;&gt;"",D576&lt;&gt;"",H576&gt;0),"✓","⚠ missing")</f>
        <v/>
      </c>
      <c r="L576" s="44" t="n"/>
      <c r="M576" s="45" t="n"/>
      <c r="N576" s="39" t="n"/>
      <c r="O576" s="46" t="n"/>
    </row>
    <row r="577">
      <c r="H577" s="47">
        <f>IF(AND(E577&lt;&gt;"",F577&lt;&gt;""), F577-E577, IF(G577&lt;&gt;"", G577, 0))</f>
        <v/>
      </c>
      <c r="I577" s="48">
        <f>H577*Settings!$B$5</f>
        <v/>
      </c>
      <c r="K577">
        <f>IF(AND(A577&lt;&gt;"",C577&lt;&gt;"",D577&lt;&gt;"",H577&gt;0),"✓","⚠ missing")</f>
        <v/>
      </c>
      <c r="L577" s="44" t="n"/>
      <c r="M577" s="45" t="n"/>
      <c r="N577" s="39" t="n"/>
      <c r="O577" s="46" t="n"/>
    </row>
    <row r="578">
      <c r="H578" s="47">
        <f>IF(AND(E578&lt;&gt;"",F578&lt;&gt;""), F578-E578, IF(G578&lt;&gt;"", G578, 0))</f>
        <v/>
      </c>
      <c r="I578" s="48">
        <f>H578*Settings!$B$5</f>
        <v/>
      </c>
      <c r="K578">
        <f>IF(AND(A578&lt;&gt;"",C578&lt;&gt;"",D578&lt;&gt;"",H578&gt;0),"✓","⚠ missing")</f>
        <v/>
      </c>
      <c r="L578" s="44" t="n"/>
      <c r="M578" s="45" t="n"/>
      <c r="N578" s="39" t="n"/>
      <c r="O578" s="46" t="n"/>
    </row>
    <row r="579">
      <c r="H579" s="47">
        <f>IF(AND(E579&lt;&gt;"",F579&lt;&gt;""), F579-E579, IF(G579&lt;&gt;"", G579, 0))</f>
        <v/>
      </c>
      <c r="I579" s="48">
        <f>H579*Settings!$B$5</f>
        <v/>
      </c>
      <c r="K579">
        <f>IF(AND(A579&lt;&gt;"",C579&lt;&gt;"",D579&lt;&gt;"",H579&gt;0),"✓","⚠ missing")</f>
        <v/>
      </c>
      <c r="L579" s="44" t="n"/>
      <c r="M579" s="45" t="n"/>
      <c r="N579" s="39" t="n"/>
      <c r="O579" s="46" t="n"/>
    </row>
    <row r="580">
      <c r="H580" s="47">
        <f>IF(AND(E580&lt;&gt;"",F580&lt;&gt;""), F580-E580, IF(G580&lt;&gt;"", G580, 0))</f>
        <v/>
      </c>
      <c r="I580" s="48">
        <f>H580*Settings!$B$5</f>
        <v/>
      </c>
      <c r="K580">
        <f>IF(AND(A580&lt;&gt;"",C580&lt;&gt;"",D580&lt;&gt;"",H580&gt;0),"✓","⚠ missing")</f>
        <v/>
      </c>
      <c r="L580" s="44" t="n"/>
      <c r="M580" s="45" t="n"/>
      <c r="N580" s="39" t="n"/>
      <c r="O580" s="46" t="n"/>
    </row>
    <row r="581">
      <c r="H581" s="47">
        <f>IF(AND(E581&lt;&gt;"",F581&lt;&gt;""), F581-E581, IF(G581&lt;&gt;"", G581, 0))</f>
        <v/>
      </c>
      <c r="I581" s="48">
        <f>H581*Settings!$B$5</f>
        <v/>
      </c>
      <c r="K581">
        <f>IF(AND(A581&lt;&gt;"",C581&lt;&gt;"",D581&lt;&gt;"",H581&gt;0),"✓","⚠ missing")</f>
        <v/>
      </c>
      <c r="L581" s="44" t="n"/>
      <c r="M581" s="45" t="n"/>
      <c r="N581" s="39" t="n"/>
      <c r="O581" s="46" t="n"/>
    </row>
    <row r="582">
      <c r="H582" s="47">
        <f>IF(AND(E582&lt;&gt;"",F582&lt;&gt;""), F582-E582, IF(G582&lt;&gt;"", G582, 0))</f>
        <v/>
      </c>
      <c r="I582" s="48">
        <f>H582*Settings!$B$5</f>
        <v/>
      </c>
      <c r="K582">
        <f>IF(AND(A582&lt;&gt;"",C582&lt;&gt;"",D582&lt;&gt;"",H582&gt;0),"✓","⚠ missing")</f>
        <v/>
      </c>
      <c r="L582" s="44" t="n"/>
      <c r="M582" s="45" t="n"/>
      <c r="N582" s="39" t="n"/>
      <c r="O582" s="46" t="n"/>
    </row>
    <row r="583">
      <c r="H583" s="47">
        <f>IF(AND(E583&lt;&gt;"",F583&lt;&gt;""), F583-E583, IF(G583&lt;&gt;"", G583, 0))</f>
        <v/>
      </c>
      <c r="I583" s="48">
        <f>H583*Settings!$B$5</f>
        <v/>
      </c>
      <c r="K583">
        <f>IF(AND(A583&lt;&gt;"",C583&lt;&gt;"",D583&lt;&gt;"",H583&gt;0),"✓","⚠ missing")</f>
        <v/>
      </c>
      <c r="L583" s="44" t="n"/>
      <c r="M583" s="45" t="n"/>
      <c r="N583" s="39" t="n"/>
      <c r="O583" s="46" t="n"/>
    </row>
    <row r="584">
      <c r="H584" s="47">
        <f>IF(AND(E584&lt;&gt;"",F584&lt;&gt;""), F584-E584, IF(G584&lt;&gt;"", G584, 0))</f>
        <v/>
      </c>
      <c r="I584" s="48">
        <f>H584*Settings!$B$5</f>
        <v/>
      </c>
      <c r="K584">
        <f>IF(AND(A584&lt;&gt;"",C584&lt;&gt;"",D584&lt;&gt;"",H584&gt;0),"✓","⚠ missing")</f>
        <v/>
      </c>
      <c r="L584" s="44" t="n"/>
      <c r="M584" s="45" t="n"/>
      <c r="N584" s="39" t="n"/>
      <c r="O584" s="46" t="n"/>
    </row>
    <row r="585">
      <c r="H585" s="47">
        <f>IF(AND(E585&lt;&gt;"",F585&lt;&gt;""), F585-E585, IF(G585&lt;&gt;"", G585, 0))</f>
        <v/>
      </c>
      <c r="I585" s="48">
        <f>H585*Settings!$B$5</f>
        <v/>
      </c>
      <c r="K585">
        <f>IF(AND(A585&lt;&gt;"",C585&lt;&gt;"",D585&lt;&gt;"",H585&gt;0),"✓","⚠ missing")</f>
        <v/>
      </c>
      <c r="L585" s="44" t="n"/>
      <c r="M585" s="45" t="n"/>
      <c r="N585" s="39" t="n"/>
      <c r="O585" s="46" t="n"/>
    </row>
    <row r="586">
      <c r="H586" s="47">
        <f>IF(AND(E586&lt;&gt;"",F586&lt;&gt;""), F586-E586, IF(G586&lt;&gt;"", G586, 0))</f>
        <v/>
      </c>
      <c r="I586" s="48">
        <f>H586*Settings!$B$5</f>
        <v/>
      </c>
      <c r="K586">
        <f>IF(AND(A586&lt;&gt;"",C586&lt;&gt;"",D586&lt;&gt;"",H586&gt;0),"✓","⚠ missing")</f>
        <v/>
      </c>
      <c r="L586" s="44" t="n"/>
      <c r="M586" s="45" t="n"/>
      <c r="N586" s="39" t="n"/>
      <c r="O586" s="46" t="n"/>
    </row>
    <row r="587">
      <c r="H587" s="47">
        <f>IF(AND(E587&lt;&gt;"",F587&lt;&gt;""), F587-E587, IF(G587&lt;&gt;"", G587, 0))</f>
        <v/>
      </c>
      <c r="I587" s="48">
        <f>H587*Settings!$B$5</f>
        <v/>
      </c>
      <c r="K587">
        <f>IF(AND(A587&lt;&gt;"",C587&lt;&gt;"",D587&lt;&gt;"",H587&gt;0),"✓","⚠ missing")</f>
        <v/>
      </c>
      <c r="L587" s="44" t="n"/>
      <c r="M587" s="45" t="n"/>
      <c r="N587" s="39" t="n"/>
      <c r="O587" s="46" t="n"/>
    </row>
    <row r="588">
      <c r="H588" s="47">
        <f>IF(AND(E588&lt;&gt;"",F588&lt;&gt;""), F588-E588, IF(G588&lt;&gt;"", G588, 0))</f>
        <v/>
      </c>
      <c r="I588" s="48">
        <f>H588*Settings!$B$5</f>
        <v/>
      </c>
      <c r="K588">
        <f>IF(AND(A588&lt;&gt;"",C588&lt;&gt;"",D588&lt;&gt;"",H588&gt;0),"✓","⚠ missing")</f>
        <v/>
      </c>
      <c r="L588" s="44" t="n"/>
      <c r="M588" s="45" t="n"/>
      <c r="N588" s="39" t="n"/>
      <c r="O588" s="46" t="n"/>
    </row>
    <row r="589">
      <c r="H589" s="47">
        <f>IF(AND(E589&lt;&gt;"",F589&lt;&gt;""), F589-E589, IF(G589&lt;&gt;"", G589, 0))</f>
        <v/>
      </c>
      <c r="I589" s="48">
        <f>H589*Settings!$B$5</f>
        <v/>
      </c>
      <c r="K589">
        <f>IF(AND(A589&lt;&gt;"",C589&lt;&gt;"",D589&lt;&gt;"",H589&gt;0),"✓","⚠ missing")</f>
        <v/>
      </c>
      <c r="L589" s="44" t="n"/>
      <c r="M589" s="45" t="n"/>
      <c r="N589" s="39" t="n"/>
      <c r="O589" s="46" t="n"/>
    </row>
    <row r="590">
      <c r="H590" s="47">
        <f>IF(AND(E590&lt;&gt;"",F590&lt;&gt;""), F590-E590, IF(G590&lt;&gt;"", G590, 0))</f>
        <v/>
      </c>
      <c r="I590" s="48">
        <f>H590*Settings!$B$5</f>
        <v/>
      </c>
      <c r="K590">
        <f>IF(AND(A590&lt;&gt;"",C590&lt;&gt;"",D590&lt;&gt;"",H590&gt;0),"✓","⚠ missing")</f>
        <v/>
      </c>
      <c r="L590" s="44" t="n"/>
      <c r="M590" s="45" t="n"/>
      <c r="N590" s="39" t="n"/>
      <c r="O590" s="46" t="n"/>
    </row>
    <row r="591">
      <c r="H591" s="47">
        <f>IF(AND(E591&lt;&gt;"",F591&lt;&gt;""), F591-E591, IF(G591&lt;&gt;"", G591, 0))</f>
        <v/>
      </c>
      <c r="I591" s="48">
        <f>H591*Settings!$B$5</f>
        <v/>
      </c>
      <c r="K591">
        <f>IF(AND(A591&lt;&gt;"",C591&lt;&gt;"",D591&lt;&gt;"",H591&gt;0),"✓","⚠ missing")</f>
        <v/>
      </c>
      <c r="L591" s="44" t="n"/>
      <c r="M591" s="45" t="n"/>
      <c r="N591" s="39" t="n"/>
      <c r="O591" s="46" t="n"/>
    </row>
    <row r="592">
      <c r="H592" s="47">
        <f>IF(AND(E592&lt;&gt;"",F592&lt;&gt;""), F592-E592, IF(G592&lt;&gt;"", G592, 0))</f>
        <v/>
      </c>
      <c r="I592" s="48">
        <f>H592*Settings!$B$5</f>
        <v/>
      </c>
      <c r="K592">
        <f>IF(AND(A592&lt;&gt;"",C592&lt;&gt;"",D592&lt;&gt;"",H592&gt;0),"✓","⚠ missing")</f>
        <v/>
      </c>
      <c r="L592" s="44" t="n"/>
      <c r="M592" s="45" t="n"/>
      <c r="N592" s="39" t="n"/>
      <c r="O592" s="46" t="n"/>
    </row>
    <row r="593">
      <c r="H593" s="47">
        <f>IF(AND(E593&lt;&gt;"",F593&lt;&gt;""), F593-E593, IF(G593&lt;&gt;"", G593, 0))</f>
        <v/>
      </c>
      <c r="I593" s="48">
        <f>H593*Settings!$B$5</f>
        <v/>
      </c>
      <c r="K593">
        <f>IF(AND(A593&lt;&gt;"",C593&lt;&gt;"",D593&lt;&gt;"",H593&gt;0),"✓","⚠ missing")</f>
        <v/>
      </c>
      <c r="L593" s="44" t="n"/>
      <c r="M593" s="45" t="n"/>
      <c r="N593" s="39" t="n"/>
      <c r="O593" s="46" t="n"/>
    </row>
    <row r="594">
      <c r="H594" s="47">
        <f>IF(AND(E594&lt;&gt;"",F594&lt;&gt;""), F594-E594, IF(G594&lt;&gt;"", G594, 0))</f>
        <v/>
      </c>
      <c r="I594" s="48">
        <f>H594*Settings!$B$5</f>
        <v/>
      </c>
      <c r="K594">
        <f>IF(AND(A594&lt;&gt;"",C594&lt;&gt;"",D594&lt;&gt;"",H594&gt;0),"✓","⚠ missing")</f>
        <v/>
      </c>
      <c r="L594" s="44" t="n"/>
      <c r="M594" s="45" t="n"/>
      <c r="N594" s="39" t="n"/>
      <c r="O594" s="46" t="n"/>
    </row>
    <row r="595">
      <c r="H595" s="47">
        <f>IF(AND(E595&lt;&gt;"",F595&lt;&gt;""), F595-E595, IF(G595&lt;&gt;"", G595, 0))</f>
        <v/>
      </c>
      <c r="I595" s="48">
        <f>H595*Settings!$B$5</f>
        <v/>
      </c>
      <c r="K595">
        <f>IF(AND(A595&lt;&gt;"",C595&lt;&gt;"",D595&lt;&gt;"",H595&gt;0),"✓","⚠ missing")</f>
        <v/>
      </c>
      <c r="L595" s="44" t="n"/>
      <c r="M595" s="45" t="n"/>
      <c r="N595" s="39" t="n"/>
      <c r="O595" s="46" t="n"/>
    </row>
    <row r="596">
      <c r="H596" s="47">
        <f>IF(AND(E596&lt;&gt;"",F596&lt;&gt;""), F596-E596, IF(G596&lt;&gt;"", G596, 0))</f>
        <v/>
      </c>
      <c r="I596" s="48">
        <f>H596*Settings!$B$5</f>
        <v/>
      </c>
      <c r="K596">
        <f>IF(AND(A596&lt;&gt;"",C596&lt;&gt;"",D596&lt;&gt;"",H596&gt;0),"✓","⚠ missing")</f>
        <v/>
      </c>
      <c r="L596" s="44" t="n"/>
      <c r="M596" s="45" t="n"/>
      <c r="N596" s="39" t="n"/>
      <c r="O596" s="46" t="n"/>
    </row>
    <row r="597">
      <c r="H597" s="47">
        <f>IF(AND(E597&lt;&gt;"",F597&lt;&gt;""), F597-E597, IF(G597&lt;&gt;"", G597, 0))</f>
        <v/>
      </c>
      <c r="I597" s="48">
        <f>H597*Settings!$B$5</f>
        <v/>
      </c>
      <c r="K597">
        <f>IF(AND(A597&lt;&gt;"",C597&lt;&gt;"",D597&lt;&gt;"",H597&gt;0),"✓","⚠ missing")</f>
        <v/>
      </c>
      <c r="L597" s="44" t="n"/>
      <c r="M597" s="45" t="n"/>
      <c r="N597" s="39" t="n"/>
      <c r="O597" s="46" t="n"/>
    </row>
    <row r="598">
      <c r="H598" s="47">
        <f>IF(AND(E598&lt;&gt;"",F598&lt;&gt;""), F598-E598, IF(G598&lt;&gt;"", G598, 0))</f>
        <v/>
      </c>
      <c r="I598" s="48">
        <f>H598*Settings!$B$5</f>
        <v/>
      </c>
      <c r="K598">
        <f>IF(AND(A598&lt;&gt;"",C598&lt;&gt;"",D598&lt;&gt;"",H598&gt;0),"✓","⚠ missing")</f>
        <v/>
      </c>
      <c r="L598" s="44" t="n"/>
      <c r="M598" s="45" t="n"/>
      <c r="N598" s="39" t="n"/>
      <c r="O598" s="46" t="n"/>
    </row>
    <row r="599">
      <c r="H599" s="47">
        <f>IF(AND(E599&lt;&gt;"",F599&lt;&gt;""), F599-E599, IF(G599&lt;&gt;"", G599, 0))</f>
        <v/>
      </c>
      <c r="I599" s="48">
        <f>H599*Settings!$B$5</f>
        <v/>
      </c>
      <c r="K599">
        <f>IF(AND(A599&lt;&gt;"",C599&lt;&gt;"",D599&lt;&gt;"",H599&gt;0),"✓","⚠ missing")</f>
        <v/>
      </c>
      <c r="L599" s="44" t="n"/>
      <c r="M599" s="45" t="n"/>
      <c r="N599" s="39" t="n"/>
      <c r="O599" s="46" t="n"/>
    </row>
    <row r="600">
      <c r="H600" s="47">
        <f>IF(AND(E600&lt;&gt;"",F600&lt;&gt;""), F600-E600, IF(G600&lt;&gt;"", G600, 0))</f>
        <v/>
      </c>
      <c r="I600" s="48">
        <f>H600*Settings!$B$5</f>
        <v/>
      </c>
      <c r="K600">
        <f>IF(AND(A600&lt;&gt;"",C600&lt;&gt;"",D600&lt;&gt;"",H600&gt;0),"✓","⚠ missing")</f>
        <v/>
      </c>
      <c r="L600" s="44" t="n"/>
      <c r="M600" s="45" t="n"/>
      <c r="N600" s="39" t="n"/>
      <c r="O600" s="46" t="n"/>
    </row>
    <row r="601">
      <c r="H601" s="47">
        <f>IF(AND(E601&lt;&gt;"",F601&lt;&gt;""), F601-E601, IF(G601&lt;&gt;"", G601, 0))</f>
        <v/>
      </c>
      <c r="I601" s="48">
        <f>H601*Settings!$B$5</f>
        <v/>
      </c>
      <c r="K601">
        <f>IF(AND(A601&lt;&gt;"",C601&lt;&gt;"",D601&lt;&gt;"",H601&gt;0),"✓","⚠ missing")</f>
        <v/>
      </c>
      <c r="L601" s="44" t="n"/>
      <c r="M601" s="45" t="n"/>
      <c r="N601" s="39" t="n"/>
      <c r="O601" s="46" t="n"/>
    </row>
    <row r="602">
      <c r="H602" s="47">
        <f>IF(AND(E602&lt;&gt;"",F602&lt;&gt;""), F602-E602, IF(G602&lt;&gt;"", G602, 0))</f>
        <v/>
      </c>
      <c r="I602" s="48">
        <f>H602*Settings!$B$5</f>
        <v/>
      </c>
      <c r="K602">
        <f>IF(AND(A602&lt;&gt;"",C602&lt;&gt;"",D602&lt;&gt;"",H602&gt;0),"✓","⚠ missing")</f>
        <v/>
      </c>
      <c r="L602" s="44" t="n"/>
      <c r="M602" s="45" t="n"/>
      <c r="N602" s="39" t="n"/>
      <c r="O602" s="46" t="n"/>
    </row>
    <row r="603">
      <c r="H603" s="47">
        <f>IF(AND(E603&lt;&gt;"",F603&lt;&gt;""), F603-E603, IF(G603&lt;&gt;"", G603, 0))</f>
        <v/>
      </c>
      <c r="I603" s="48">
        <f>H603*Settings!$B$5</f>
        <v/>
      </c>
      <c r="K603">
        <f>IF(AND(A603&lt;&gt;"",C603&lt;&gt;"",D603&lt;&gt;"",H603&gt;0),"✓","⚠ missing")</f>
        <v/>
      </c>
      <c r="L603" s="44" t="n"/>
      <c r="M603" s="45" t="n"/>
      <c r="N603" s="39" t="n"/>
      <c r="O603" s="46" t="n"/>
    </row>
    <row r="604">
      <c r="H604" s="47">
        <f>IF(AND(E604&lt;&gt;"",F604&lt;&gt;""), F604-E604, IF(G604&lt;&gt;"", G604, 0))</f>
        <v/>
      </c>
      <c r="I604" s="48">
        <f>H604*Settings!$B$5</f>
        <v/>
      </c>
      <c r="K604">
        <f>IF(AND(A604&lt;&gt;"",C604&lt;&gt;"",D604&lt;&gt;"",H604&gt;0),"✓","⚠ missing")</f>
        <v/>
      </c>
      <c r="L604" s="44" t="n"/>
      <c r="M604" s="45" t="n"/>
      <c r="N604" s="39" t="n"/>
      <c r="O604" s="46" t="n"/>
    </row>
    <row r="605">
      <c r="H605" s="47">
        <f>IF(AND(E605&lt;&gt;"",F605&lt;&gt;""), F605-E605, IF(G605&lt;&gt;"", G605, 0))</f>
        <v/>
      </c>
      <c r="I605" s="48">
        <f>H605*Settings!$B$5</f>
        <v/>
      </c>
      <c r="K605">
        <f>IF(AND(A605&lt;&gt;"",C605&lt;&gt;"",D605&lt;&gt;"",H605&gt;0),"✓","⚠ missing")</f>
        <v/>
      </c>
      <c r="L605" s="44" t="n"/>
      <c r="M605" s="45" t="n"/>
      <c r="N605" s="39" t="n"/>
      <c r="O605" s="46" t="n"/>
    </row>
    <row r="606">
      <c r="H606" s="47">
        <f>IF(AND(E606&lt;&gt;"",F606&lt;&gt;""), F606-E606, IF(G606&lt;&gt;"", G606, 0))</f>
        <v/>
      </c>
      <c r="I606" s="48">
        <f>H606*Settings!$B$5</f>
        <v/>
      </c>
      <c r="K606">
        <f>IF(AND(A606&lt;&gt;"",C606&lt;&gt;"",D606&lt;&gt;"",H606&gt;0),"✓","⚠ missing")</f>
        <v/>
      </c>
      <c r="L606" s="44" t="n"/>
      <c r="M606" s="45" t="n"/>
      <c r="N606" s="39" t="n"/>
      <c r="O606" s="46" t="n"/>
    </row>
    <row r="607">
      <c r="H607" s="47">
        <f>IF(AND(E607&lt;&gt;"",F607&lt;&gt;""), F607-E607, IF(G607&lt;&gt;"", G607, 0))</f>
        <v/>
      </c>
      <c r="I607" s="48">
        <f>H607*Settings!$B$5</f>
        <v/>
      </c>
      <c r="K607">
        <f>IF(AND(A607&lt;&gt;"",C607&lt;&gt;"",D607&lt;&gt;"",H607&gt;0),"✓","⚠ missing")</f>
        <v/>
      </c>
      <c r="L607" s="44" t="n"/>
      <c r="M607" s="45" t="n"/>
      <c r="N607" s="39" t="n"/>
      <c r="O607" s="46" t="n"/>
    </row>
    <row r="608">
      <c r="H608" s="47">
        <f>IF(AND(E608&lt;&gt;"",F608&lt;&gt;""), F608-E608, IF(G608&lt;&gt;"", G608, 0))</f>
        <v/>
      </c>
      <c r="I608" s="48">
        <f>H608*Settings!$B$5</f>
        <v/>
      </c>
      <c r="K608">
        <f>IF(AND(A608&lt;&gt;"",C608&lt;&gt;"",D608&lt;&gt;"",H608&gt;0),"✓","⚠ missing")</f>
        <v/>
      </c>
      <c r="L608" s="44" t="n"/>
      <c r="M608" s="45" t="n"/>
      <c r="N608" s="39" t="n"/>
      <c r="O608" s="46" t="n"/>
    </row>
    <row r="609">
      <c r="H609" s="47">
        <f>IF(AND(E609&lt;&gt;"",F609&lt;&gt;""), F609-E609, IF(G609&lt;&gt;"", G609, 0))</f>
        <v/>
      </c>
      <c r="I609" s="48">
        <f>H609*Settings!$B$5</f>
        <v/>
      </c>
      <c r="K609">
        <f>IF(AND(A609&lt;&gt;"",C609&lt;&gt;"",D609&lt;&gt;"",H609&gt;0),"✓","⚠ missing")</f>
        <v/>
      </c>
      <c r="L609" s="44" t="n"/>
      <c r="M609" s="45" t="n"/>
      <c r="N609" s="39" t="n"/>
      <c r="O609" s="46" t="n"/>
    </row>
    <row r="610">
      <c r="H610" s="47">
        <f>IF(AND(E610&lt;&gt;"",F610&lt;&gt;""), F610-E610, IF(G610&lt;&gt;"", G610, 0))</f>
        <v/>
      </c>
      <c r="I610" s="48">
        <f>H610*Settings!$B$5</f>
        <v/>
      </c>
      <c r="K610">
        <f>IF(AND(A610&lt;&gt;"",C610&lt;&gt;"",D610&lt;&gt;"",H610&gt;0),"✓","⚠ missing")</f>
        <v/>
      </c>
      <c r="L610" s="44" t="n"/>
      <c r="M610" s="45" t="n"/>
      <c r="N610" s="39" t="n"/>
      <c r="O610" s="46" t="n"/>
    </row>
    <row r="611">
      <c r="H611" s="47">
        <f>IF(AND(E611&lt;&gt;"",F611&lt;&gt;""), F611-E611, IF(G611&lt;&gt;"", G611, 0))</f>
        <v/>
      </c>
      <c r="I611" s="48">
        <f>H611*Settings!$B$5</f>
        <v/>
      </c>
      <c r="K611">
        <f>IF(AND(A611&lt;&gt;"",C611&lt;&gt;"",D611&lt;&gt;"",H611&gt;0),"✓","⚠ missing")</f>
        <v/>
      </c>
      <c r="L611" s="44" t="n"/>
      <c r="M611" s="45" t="n"/>
      <c r="N611" s="39" t="n"/>
      <c r="O611" s="46" t="n"/>
    </row>
    <row r="612">
      <c r="H612" s="47">
        <f>IF(AND(E612&lt;&gt;"",F612&lt;&gt;""), F612-E612, IF(G612&lt;&gt;"", G612, 0))</f>
        <v/>
      </c>
      <c r="I612" s="48">
        <f>H612*Settings!$B$5</f>
        <v/>
      </c>
      <c r="K612">
        <f>IF(AND(A612&lt;&gt;"",C612&lt;&gt;"",D612&lt;&gt;"",H612&gt;0),"✓","⚠ missing")</f>
        <v/>
      </c>
      <c r="L612" s="44" t="n"/>
      <c r="M612" s="45" t="n"/>
      <c r="N612" s="39" t="n"/>
      <c r="O612" s="46" t="n"/>
    </row>
    <row r="613">
      <c r="H613" s="47">
        <f>IF(AND(E613&lt;&gt;"",F613&lt;&gt;""), F613-E613, IF(G613&lt;&gt;"", G613, 0))</f>
        <v/>
      </c>
      <c r="I613" s="48">
        <f>H613*Settings!$B$5</f>
        <v/>
      </c>
      <c r="K613">
        <f>IF(AND(A613&lt;&gt;"",C613&lt;&gt;"",D613&lt;&gt;"",H613&gt;0),"✓","⚠ missing")</f>
        <v/>
      </c>
      <c r="L613" s="44" t="n"/>
      <c r="M613" s="45" t="n"/>
      <c r="N613" s="39" t="n"/>
      <c r="O613" s="46" t="n"/>
    </row>
    <row r="614">
      <c r="H614" s="47">
        <f>IF(AND(E614&lt;&gt;"",F614&lt;&gt;""), F614-E614, IF(G614&lt;&gt;"", G614, 0))</f>
        <v/>
      </c>
      <c r="I614" s="48">
        <f>H614*Settings!$B$5</f>
        <v/>
      </c>
      <c r="K614">
        <f>IF(AND(A614&lt;&gt;"",C614&lt;&gt;"",D614&lt;&gt;"",H614&gt;0),"✓","⚠ missing")</f>
        <v/>
      </c>
      <c r="L614" s="44" t="n"/>
      <c r="M614" s="45" t="n"/>
      <c r="N614" s="39" t="n"/>
      <c r="O614" s="46" t="n"/>
    </row>
    <row r="615">
      <c r="H615" s="47">
        <f>IF(AND(E615&lt;&gt;"",F615&lt;&gt;""), F615-E615, IF(G615&lt;&gt;"", G615, 0))</f>
        <v/>
      </c>
      <c r="I615" s="48">
        <f>H615*Settings!$B$5</f>
        <v/>
      </c>
      <c r="K615">
        <f>IF(AND(A615&lt;&gt;"",C615&lt;&gt;"",D615&lt;&gt;"",H615&gt;0),"✓","⚠ missing")</f>
        <v/>
      </c>
      <c r="L615" s="44" t="n"/>
      <c r="M615" s="45" t="n"/>
      <c r="N615" s="39" t="n"/>
      <c r="O615" s="46" t="n"/>
    </row>
    <row r="616">
      <c r="H616" s="47">
        <f>IF(AND(E616&lt;&gt;"",F616&lt;&gt;""), F616-E616, IF(G616&lt;&gt;"", G616, 0))</f>
        <v/>
      </c>
      <c r="I616" s="48">
        <f>H616*Settings!$B$5</f>
        <v/>
      </c>
      <c r="K616">
        <f>IF(AND(A616&lt;&gt;"",C616&lt;&gt;"",D616&lt;&gt;"",H616&gt;0),"✓","⚠ missing")</f>
        <v/>
      </c>
      <c r="L616" s="44" t="n"/>
      <c r="M616" s="45" t="n"/>
      <c r="N616" s="39" t="n"/>
      <c r="O616" s="46" t="n"/>
    </row>
    <row r="617">
      <c r="H617" s="47">
        <f>IF(AND(E617&lt;&gt;"",F617&lt;&gt;""), F617-E617, IF(G617&lt;&gt;"", G617, 0))</f>
        <v/>
      </c>
      <c r="I617" s="48">
        <f>H617*Settings!$B$5</f>
        <v/>
      </c>
      <c r="K617">
        <f>IF(AND(A617&lt;&gt;"",C617&lt;&gt;"",D617&lt;&gt;"",H617&gt;0),"✓","⚠ missing")</f>
        <v/>
      </c>
      <c r="L617" s="44" t="n"/>
      <c r="M617" s="45" t="n"/>
      <c r="N617" s="39" t="n"/>
      <c r="O617" s="46" t="n"/>
    </row>
    <row r="618">
      <c r="H618" s="47">
        <f>IF(AND(E618&lt;&gt;"",F618&lt;&gt;""), F618-E618, IF(G618&lt;&gt;"", G618, 0))</f>
        <v/>
      </c>
      <c r="I618" s="48">
        <f>H618*Settings!$B$5</f>
        <v/>
      </c>
      <c r="K618">
        <f>IF(AND(A618&lt;&gt;"",C618&lt;&gt;"",D618&lt;&gt;"",H618&gt;0),"✓","⚠ missing")</f>
        <v/>
      </c>
      <c r="L618" s="44" t="n"/>
      <c r="M618" s="45" t="n"/>
      <c r="N618" s="39" t="n"/>
      <c r="O618" s="46" t="n"/>
    </row>
    <row r="619">
      <c r="H619" s="47">
        <f>IF(AND(E619&lt;&gt;"",F619&lt;&gt;""), F619-E619, IF(G619&lt;&gt;"", G619, 0))</f>
        <v/>
      </c>
      <c r="I619" s="48">
        <f>H619*Settings!$B$5</f>
        <v/>
      </c>
      <c r="K619">
        <f>IF(AND(A619&lt;&gt;"",C619&lt;&gt;"",D619&lt;&gt;"",H619&gt;0),"✓","⚠ missing")</f>
        <v/>
      </c>
      <c r="L619" s="44" t="n"/>
      <c r="M619" s="45" t="n"/>
      <c r="N619" s="39" t="n"/>
      <c r="O619" s="46" t="n"/>
    </row>
    <row r="620">
      <c r="H620" s="47">
        <f>IF(AND(E620&lt;&gt;"",F620&lt;&gt;""), F620-E620, IF(G620&lt;&gt;"", G620, 0))</f>
        <v/>
      </c>
      <c r="I620" s="48">
        <f>H620*Settings!$B$5</f>
        <v/>
      </c>
      <c r="K620">
        <f>IF(AND(A620&lt;&gt;"",C620&lt;&gt;"",D620&lt;&gt;"",H620&gt;0),"✓","⚠ missing")</f>
        <v/>
      </c>
      <c r="L620" s="44" t="n"/>
      <c r="M620" s="45" t="n"/>
      <c r="N620" s="39" t="n"/>
      <c r="O620" s="46" t="n"/>
    </row>
    <row r="621">
      <c r="H621" s="47">
        <f>IF(AND(E621&lt;&gt;"",F621&lt;&gt;""), F621-E621, IF(G621&lt;&gt;"", G621, 0))</f>
        <v/>
      </c>
      <c r="I621" s="48">
        <f>H621*Settings!$B$5</f>
        <v/>
      </c>
      <c r="K621">
        <f>IF(AND(A621&lt;&gt;"",C621&lt;&gt;"",D621&lt;&gt;"",H621&gt;0),"✓","⚠ missing")</f>
        <v/>
      </c>
      <c r="L621" s="44" t="n"/>
      <c r="M621" s="45" t="n"/>
      <c r="N621" s="39" t="n"/>
      <c r="O621" s="46" t="n"/>
    </row>
    <row r="622">
      <c r="H622" s="47">
        <f>IF(AND(E622&lt;&gt;"",F622&lt;&gt;""), F622-E622, IF(G622&lt;&gt;"", G622, 0))</f>
        <v/>
      </c>
      <c r="I622" s="48">
        <f>H622*Settings!$B$5</f>
        <v/>
      </c>
      <c r="K622">
        <f>IF(AND(A622&lt;&gt;"",C622&lt;&gt;"",D622&lt;&gt;"",H622&gt;0),"✓","⚠ missing")</f>
        <v/>
      </c>
      <c r="L622" s="44" t="n"/>
      <c r="M622" s="45" t="n"/>
      <c r="N622" s="39" t="n"/>
      <c r="O622" s="46" t="n"/>
    </row>
    <row r="623">
      <c r="H623" s="47">
        <f>IF(AND(E623&lt;&gt;"",F623&lt;&gt;""), F623-E623, IF(G623&lt;&gt;"", G623, 0))</f>
        <v/>
      </c>
      <c r="I623" s="48">
        <f>H623*Settings!$B$5</f>
        <v/>
      </c>
      <c r="K623">
        <f>IF(AND(A623&lt;&gt;"",C623&lt;&gt;"",D623&lt;&gt;"",H623&gt;0),"✓","⚠ missing")</f>
        <v/>
      </c>
      <c r="L623" s="44" t="n"/>
      <c r="M623" s="45" t="n"/>
      <c r="N623" s="39" t="n"/>
      <c r="O623" s="46" t="n"/>
    </row>
    <row r="624">
      <c r="H624" s="47">
        <f>IF(AND(E624&lt;&gt;"",F624&lt;&gt;""), F624-E624, IF(G624&lt;&gt;"", G624, 0))</f>
        <v/>
      </c>
      <c r="I624" s="48">
        <f>H624*Settings!$B$5</f>
        <v/>
      </c>
      <c r="K624">
        <f>IF(AND(A624&lt;&gt;"",C624&lt;&gt;"",D624&lt;&gt;"",H624&gt;0),"✓","⚠ missing")</f>
        <v/>
      </c>
      <c r="L624" s="44" t="n"/>
      <c r="M624" s="45" t="n"/>
      <c r="N624" s="39" t="n"/>
      <c r="O624" s="46" t="n"/>
    </row>
    <row r="625">
      <c r="H625" s="47">
        <f>IF(AND(E625&lt;&gt;"",F625&lt;&gt;""), F625-E625, IF(G625&lt;&gt;"", G625, 0))</f>
        <v/>
      </c>
      <c r="I625" s="48">
        <f>H625*Settings!$B$5</f>
        <v/>
      </c>
      <c r="K625">
        <f>IF(AND(A625&lt;&gt;"",C625&lt;&gt;"",D625&lt;&gt;"",H625&gt;0),"✓","⚠ missing")</f>
        <v/>
      </c>
      <c r="L625" s="44" t="n"/>
      <c r="M625" s="45" t="n"/>
      <c r="N625" s="39" t="n"/>
      <c r="O625" s="46" t="n"/>
    </row>
    <row r="626">
      <c r="H626" s="47">
        <f>IF(AND(E626&lt;&gt;"",F626&lt;&gt;""), F626-E626, IF(G626&lt;&gt;"", G626, 0))</f>
        <v/>
      </c>
      <c r="I626" s="48">
        <f>H626*Settings!$B$5</f>
        <v/>
      </c>
      <c r="K626">
        <f>IF(AND(A626&lt;&gt;"",C626&lt;&gt;"",D626&lt;&gt;"",H626&gt;0),"✓","⚠ missing")</f>
        <v/>
      </c>
      <c r="L626" s="44" t="n"/>
      <c r="M626" s="45" t="n"/>
      <c r="N626" s="39" t="n"/>
      <c r="O626" s="46" t="n"/>
    </row>
    <row r="627">
      <c r="H627" s="47">
        <f>IF(AND(E627&lt;&gt;"",F627&lt;&gt;""), F627-E627, IF(G627&lt;&gt;"", G627, 0))</f>
        <v/>
      </c>
      <c r="I627" s="48">
        <f>H627*Settings!$B$5</f>
        <v/>
      </c>
      <c r="K627">
        <f>IF(AND(A627&lt;&gt;"",C627&lt;&gt;"",D627&lt;&gt;"",H627&gt;0),"✓","⚠ missing")</f>
        <v/>
      </c>
      <c r="L627" s="44" t="n"/>
      <c r="M627" s="45" t="n"/>
      <c r="N627" s="39" t="n"/>
      <c r="O627" s="46" t="n"/>
    </row>
    <row r="628">
      <c r="H628" s="47">
        <f>IF(AND(E628&lt;&gt;"",F628&lt;&gt;""), F628-E628, IF(G628&lt;&gt;"", G628, 0))</f>
        <v/>
      </c>
      <c r="I628" s="48">
        <f>H628*Settings!$B$5</f>
        <v/>
      </c>
      <c r="K628">
        <f>IF(AND(A628&lt;&gt;"",C628&lt;&gt;"",D628&lt;&gt;"",H628&gt;0),"✓","⚠ missing")</f>
        <v/>
      </c>
      <c r="L628" s="44" t="n"/>
      <c r="M628" s="45" t="n"/>
      <c r="N628" s="39" t="n"/>
      <c r="O628" s="46" t="n"/>
    </row>
    <row r="629">
      <c r="H629" s="47">
        <f>IF(AND(E629&lt;&gt;"",F629&lt;&gt;""), F629-E629, IF(G629&lt;&gt;"", G629, 0))</f>
        <v/>
      </c>
      <c r="I629" s="48">
        <f>H629*Settings!$B$5</f>
        <v/>
      </c>
      <c r="K629">
        <f>IF(AND(A629&lt;&gt;"",C629&lt;&gt;"",D629&lt;&gt;"",H629&gt;0),"✓","⚠ missing")</f>
        <v/>
      </c>
      <c r="L629" s="44" t="n"/>
      <c r="M629" s="45" t="n"/>
      <c r="N629" s="39" t="n"/>
      <c r="O629" s="46" t="n"/>
    </row>
    <row r="630">
      <c r="H630" s="47">
        <f>IF(AND(E630&lt;&gt;"",F630&lt;&gt;""), F630-E630, IF(G630&lt;&gt;"", G630, 0))</f>
        <v/>
      </c>
      <c r="I630" s="48">
        <f>H630*Settings!$B$5</f>
        <v/>
      </c>
      <c r="K630">
        <f>IF(AND(A630&lt;&gt;"",C630&lt;&gt;"",D630&lt;&gt;"",H630&gt;0),"✓","⚠ missing")</f>
        <v/>
      </c>
      <c r="L630" s="44" t="n"/>
      <c r="M630" s="45" t="n"/>
      <c r="N630" s="39" t="n"/>
      <c r="O630" s="46" t="n"/>
    </row>
    <row r="631">
      <c r="H631" s="47">
        <f>IF(AND(E631&lt;&gt;"",F631&lt;&gt;""), F631-E631, IF(G631&lt;&gt;"", G631, 0))</f>
        <v/>
      </c>
      <c r="I631" s="48">
        <f>H631*Settings!$B$5</f>
        <v/>
      </c>
      <c r="K631">
        <f>IF(AND(A631&lt;&gt;"",C631&lt;&gt;"",D631&lt;&gt;"",H631&gt;0),"✓","⚠ missing")</f>
        <v/>
      </c>
      <c r="L631" s="44" t="n"/>
      <c r="M631" s="45" t="n"/>
      <c r="N631" s="39" t="n"/>
      <c r="O631" s="46" t="n"/>
    </row>
    <row r="632">
      <c r="H632" s="47">
        <f>IF(AND(E632&lt;&gt;"",F632&lt;&gt;""), F632-E632, IF(G632&lt;&gt;"", G632, 0))</f>
        <v/>
      </c>
      <c r="I632" s="48">
        <f>H632*Settings!$B$5</f>
        <v/>
      </c>
      <c r="K632">
        <f>IF(AND(A632&lt;&gt;"",C632&lt;&gt;"",D632&lt;&gt;"",H632&gt;0),"✓","⚠ missing")</f>
        <v/>
      </c>
      <c r="L632" s="44" t="n"/>
      <c r="M632" s="45" t="n"/>
      <c r="N632" s="39" t="n"/>
      <c r="O632" s="46" t="n"/>
    </row>
    <row r="633">
      <c r="H633" s="47">
        <f>IF(AND(E633&lt;&gt;"",F633&lt;&gt;""), F633-E633, IF(G633&lt;&gt;"", G633, 0))</f>
        <v/>
      </c>
      <c r="I633" s="48">
        <f>H633*Settings!$B$5</f>
        <v/>
      </c>
      <c r="K633">
        <f>IF(AND(A633&lt;&gt;"",C633&lt;&gt;"",D633&lt;&gt;"",H633&gt;0),"✓","⚠ missing")</f>
        <v/>
      </c>
      <c r="L633" s="44" t="n"/>
      <c r="M633" s="45" t="n"/>
      <c r="N633" s="39" t="n"/>
      <c r="O633" s="46" t="n"/>
    </row>
    <row r="634">
      <c r="H634" s="47">
        <f>IF(AND(E634&lt;&gt;"",F634&lt;&gt;""), F634-E634, IF(G634&lt;&gt;"", G634, 0))</f>
        <v/>
      </c>
      <c r="I634" s="48">
        <f>H634*Settings!$B$5</f>
        <v/>
      </c>
      <c r="K634">
        <f>IF(AND(A634&lt;&gt;"",C634&lt;&gt;"",D634&lt;&gt;"",H634&gt;0),"✓","⚠ missing")</f>
        <v/>
      </c>
      <c r="L634" s="44" t="n"/>
      <c r="M634" s="45" t="n"/>
      <c r="N634" s="39" t="n"/>
      <c r="O634" s="46" t="n"/>
    </row>
    <row r="635">
      <c r="H635" s="47">
        <f>IF(AND(E635&lt;&gt;"",F635&lt;&gt;""), F635-E635, IF(G635&lt;&gt;"", G635, 0))</f>
        <v/>
      </c>
      <c r="I635" s="48">
        <f>H635*Settings!$B$5</f>
        <v/>
      </c>
      <c r="K635">
        <f>IF(AND(A635&lt;&gt;"",C635&lt;&gt;"",D635&lt;&gt;"",H635&gt;0),"✓","⚠ missing")</f>
        <v/>
      </c>
      <c r="L635" s="44" t="n"/>
      <c r="M635" s="45" t="n"/>
      <c r="N635" s="39" t="n"/>
      <c r="O635" s="46" t="n"/>
    </row>
    <row r="636">
      <c r="H636" s="47">
        <f>IF(AND(E636&lt;&gt;"",F636&lt;&gt;""), F636-E636, IF(G636&lt;&gt;"", G636, 0))</f>
        <v/>
      </c>
      <c r="I636" s="48">
        <f>H636*Settings!$B$5</f>
        <v/>
      </c>
      <c r="K636">
        <f>IF(AND(A636&lt;&gt;"",C636&lt;&gt;"",D636&lt;&gt;"",H636&gt;0),"✓","⚠ missing")</f>
        <v/>
      </c>
      <c r="L636" s="44" t="n"/>
      <c r="M636" s="45" t="n"/>
      <c r="N636" s="39" t="n"/>
      <c r="O636" s="46" t="n"/>
    </row>
    <row r="637">
      <c r="H637" s="47">
        <f>IF(AND(E637&lt;&gt;"",F637&lt;&gt;""), F637-E637, IF(G637&lt;&gt;"", G637, 0))</f>
        <v/>
      </c>
      <c r="I637" s="48">
        <f>H637*Settings!$B$5</f>
        <v/>
      </c>
      <c r="K637">
        <f>IF(AND(A637&lt;&gt;"",C637&lt;&gt;"",D637&lt;&gt;"",H637&gt;0),"✓","⚠ missing")</f>
        <v/>
      </c>
      <c r="L637" s="44" t="n"/>
      <c r="M637" s="45" t="n"/>
      <c r="N637" s="39" t="n"/>
      <c r="O637" s="46" t="n"/>
    </row>
    <row r="638">
      <c r="H638" s="47">
        <f>IF(AND(E638&lt;&gt;"",F638&lt;&gt;""), F638-E638, IF(G638&lt;&gt;"", G638, 0))</f>
        <v/>
      </c>
      <c r="I638" s="48">
        <f>H638*Settings!$B$5</f>
        <v/>
      </c>
      <c r="K638">
        <f>IF(AND(A638&lt;&gt;"",C638&lt;&gt;"",D638&lt;&gt;"",H638&gt;0),"✓","⚠ missing")</f>
        <v/>
      </c>
      <c r="L638" s="44" t="n"/>
      <c r="M638" s="45" t="n"/>
      <c r="N638" s="39" t="n"/>
      <c r="O638" s="46" t="n"/>
    </row>
    <row r="639">
      <c r="H639" s="47">
        <f>IF(AND(E639&lt;&gt;"",F639&lt;&gt;""), F639-E639, IF(G639&lt;&gt;"", G639, 0))</f>
        <v/>
      </c>
      <c r="I639" s="48">
        <f>H639*Settings!$B$5</f>
        <v/>
      </c>
      <c r="K639">
        <f>IF(AND(A639&lt;&gt;"",C639&lt;&gt;"",D639&lt;&gt;"",H639&gt;0),"✓","⚠ missing")</f>
        <v/>
      </c>
      <c r="L639" s="44" t="n"/>
      <c r="M639" s="45" t="n"/>
      <c r="N639" s="39" t="n"/>
      <c r="O639" s="46" t="n"/>
    </row>
    <row r="640">
      <c r="H640" s="47">
        <f>IF(AND(E640&lt;&gt;"",F640&lt;&gt;""), F640-E640, IF(G640&lt;&gt;"", G640, 0))</f>
        <v/>
      </c>
      <c r="I640" s="48">
        <f>H640*Settings!$B$5</f>
        <v/>
      </c>
      <c r="K640">
        <f>IF(AND(A640&lt;&gt;"",C640&lt;&gt;"",D640&lt;&gt;"",H640&gt;0),"✓","⚠ missing")</f>
        <v/>
      </c>
      <c r="L640" s="44" t="n"/>
      <c r="M640" s="45" t="n"/>
      <c r="N640" s="39" t="n"/>
      <c r="O640" s="46" t="n"/>
    </row>
    <row r="641">
      <c r="H641" s="47">
        <f>IF(AND(E641&lt;&gt;"",F641&lt;&gt;""), F641-E641, IF(G641&lt;&gt;"", G641, 0))</f>
        <v/>
      </c>
      <c r="I641" s="48">
        <f>H641*Settings!$B$5</f>
        <v/>
      </c>
      <c r="K641">
        <f>IF(AND(A641&lt;&gt;"",C641&lt;&gt;"",D641&lt;&gt;"",H641&gt;0),"✓","⚠ missing")</f>
        <v/>
      </c>
      <c r="L641" s="44" t="n"/>
      <c r="M641" s="45" t="n"/>
      <c r="N641" s="39" t="n"/>
      <c r="O641" s="46" t="n"/>
    </row>
    <row r="642">
      <c r="H642" s="47">
        <f>IF(AND(E642&lt;&gt;"",F642&lt;&gt;""), F642-E642, IF(G642&lt;&gt;"", G642, 0))</f>
        <v/>
      </c>
      <c r="I642" s="48">
        <f>H642*Settings!$B$5</f>
        <v/>
      </c>
      <c r="K642">
        <f>IF(AND(A642&lt;&gt;"",C642&lt;&gt;"",D642&lt;&gt;"",H642&gt;0),"✓","⚠ missing")</f>
        <v/>
      </c>
      <c r="L642" s="44" t="n"/>
      <c r="M642" s="45" t="n"/>
      <c r="N642" s="39" t="n"/>
      <c r="O642" s="46" t="n"/>
    </row>
    <row r="643">
      <c r="H643" s="47">
        <f>IF(AND(E643&lt;&gt;"",F643&lt;&gt;""), F643-E643, IF(G643&lt;&gt;"", G643, 0))</f>
        <v/>
      </c>
      <c r="I643" s="48">
        <f>H643*Settings!$B$5</f>
        <v/>
      </c>
      <c r="K643">
        <f>IF(AND(A643&lt;&gt;"",C643&lt;&gt;"",D643&lt;&gt;"",H643&gt;0),"✓","⚠ missing")</f>
        <v/>
      </c>
      <c r="L643" s="44" t="n"/>
      <c r="M643" s="45" t="n"/>
      <c r="N643" s="39" t="n"/>
      <c r="O643" s="46" t="n"/>
    </row>
    <row r="644">
      <c r="H644" s="47">
        <f>IF(AND(E644&lt;&gt;"",F644&lt;&gt;""), F644-E644, IF(G644&lt;&gt;"", G644, 0))</f>
        <v/>
      </c>
      <c r="I644" s="48">
        <f>H644*Settings!$B$5</f>
        <v/>
      </c>
      <c r="K644">
        <f>IF(AND(A644&lt;&gt;"",C644&lt;&gt;"",D644&lt;&gt;"",H644&gt;0),"✓","⚠ missing")</f>
        <v/>
      </c>
      <c r="L644" s="44" t="n"/>
      <c r="M644" s="45" t="n"/>
      <c r="N644" s="39" t="n"/>
      <c r="O644" s="46" t="n"/>
    </row>
    <row r="645">
      <c r="H645" s="47">
        <f>IF(AND(E645&lt;&gt;"",F645&lt;&gt;""), F645-E645, IF(G645&lt;&gt;"", G645, 0))</f>
        <v/>
      </c>
      <c r="I645" s="48">
        <f>H645*Settings!$B$5</f>
        <v/>
      </c>
      <c r="K645">
        <f>IF(AND(A645&lt;&gt;"",C645&lt;&gt;"",D645&lt;&gt;"",H645&gt;0),"✓","⚠ missing")</f>
        <v/>
      </c>
      <c r="L645" s="44" t="n"/>
      <c r="M645" s="45" t="n"/>
      <c r="N645" s="39" t="n"/>
      <c r="O645" s="46" t="n"/>
    </row>
    <row r="646">
      <c r="H646" s="47">
        <f>IF(AND(E646&lt;&gt;"",F646&lt;&gt;""), F646-E646, IF(G646&lt;&gt;"", G646, 0))</f>
        <v/>
      </c>
      <c r="I646" s="48">
        <f>H646*Settings!$B$5</f>
        <v/>
      </c>
      <c r="K646">
        <f>IF(AND(A646&lt;&gt;"",C646&lt;&gt;"",D646&lt;&gt;"",H646&gt;0),"✓","⚠ missing")</f>
        <v/>
      </c>
      <c r="L646" s="44" t="n"/>
      <c r="M646" s="45" t="n"/>
      <c r="N646" s="39" t="n"/>
      <c r="O646" s="46" t="n"/>
    </row>
    <row r="647">
      <c r="H647" s="47">
        <f>IF(AND(E647&lt;&gt;"",F647&lt;&gt;""), F647-E647, IF(G647&lt;&gt;"", G647, 0))</f>
        <v/>
      </c>
      <c r="I647" s="48">
        <f>H647*Settings!$B$5</f>
        <v/>
      </c>
      <c r="K647">
        <f>IF(AND(A647&lt;&gt;"",C647&lt;&gt;"",D647&lt;&gt;"",H647&gt;0),"✓","⚠ missing")</f>
        <v/>
      </c>
      <c r="L647" s="44" t="n"/>
      <c r="M647" s="45" t="n"/>
      <c r="N647" s="39" t="n"/>
      <c r="O647" s="46" t="n"/>
    </row>
    <row r="648">
      <c r="H648" s="47">
        <f>IF(AND(E648&lt;&gt;"",F648&lt;&gt;""), F648-E648, IF(G648&lt;&gt;"", G648, 0))</f>
        <v/>
      </c>
      <c r="I648" s="48">
        <f>H648*Settings!$B$5</f>
        <v/>
      </c>
      <c r="K648">
        <f>IF(AND(A648&lt;&gt;"",C648&lt;&gt;"",D648&lt;&gt;"",H648&gt;0),"✓","⚠ missing")</f>
        <v/>
      </c>
      <c r="L648" s="44" t="n"/>
      <c r="M648" s="45" t="n"/>
      <c r="N648" s="39" t="n"/>
      <c r="O648" s="46" t="n"/>
    </row>
    <row r="649">
      <c r="H649" s="47">
        <f>IF(AND(E649&lt;&gt;"",F649&lt;&gt;""), F649-E649, IF(G649&lt;&gt;"", G649, 0))</f>
        <v/>
      </c>
      <c r="I649" s="48">
        <f>H649*Settings!$B$5</f>
        <v/>
      </c>
      <c r="K649">
        <f>IF(AND(A649&lt;&gt;"",C649&lt;&gt;"",D649&lt;&gt;"",H649&gt;0),"✓","⚠ missing")</f>
        <v/>
      </c>
      <c r="L649" s="44" t="n"/>
      <c r="M649" s="45" t="n"/>
      <c r="N649" s="39" t="n"/>
      <c r="O649" s="46" t="n"/>
    </row>
    <row r="650">
      <c r="H650" s="47">
        <f>IF(AND(E650&lt;&gt;"",F650&lt;&gt;""), F650-E650, IF(G650&lt;&gt;"", G650, 0))</f>
        <v/>
      </c>
      <c r="I650" s="48">
        <f>H650*Settings!$B$5</f>
        <v/>
      </c>
      <c r="K650">
        <f>IF(AND(A650&lt;&gt;"",C650&lt;&gt;"",D650&lt;&gt;"",H650&gt;0),"✓","⚠ missing")</f>
        <v/>
      </c>
      <c r="L650" s="44" t="n"/>
      <c r="M650" s="45" t="n"/>
      <c r="N650" s="39" t="n"/>
      <c r="O650" s="46" t="n"/>
    </row>
    <row r="651">
      <c r="H651" s="47">
        <f>IF(AND(E651&lt;&gt;"",F651&lt;&gt;""), F651-E651, IF(G651&lt;&gt;"", G651, 0))</f>
        <v/>
      </c>
      <c r="I651" s="48">
        <f>H651*Settings!$B$5</f>
        <v/>
      </c>
      <c r="K651">
        <f>IF(AND(A651&lt;&gt;"",C651&lt;&gt;"",D651&lt;&gt;"",H651&gt;0),"✓","⚠ missing")</f>
        <v/>
      </c>
      <c r="L651" s="44" t="n"/>
      <c r="M651" s="45" t="n"/>
      <c r="N651" s="39" t="n"/>
      <c r="O651" s="46" t="n"/>
    </row>
    <row r="652">
      <c r="H652" s="47">
        <f>IF(AND(E652&lt;&gt;"",F652&lt;&gt;""), F652-E652, IF(G652&lt;&gt;"", G652, 0))</f>
        <v/>
      </c>
      <c r="I652" s="48">
        <f>H652*Settings!$B$5</f>
        <v/>
      </c>
      <c r="K652">
        <f>IF(AND(A652&lt;&gt;"",C652&lt;&gt;"",D652&lt;&gt;"",H652&gt;0),"✓","⚠ missing")</f>
        <v/>
      </c>
      <c r="L652" s="44" t="n"/>
      <c r="M652" s="45" t="n"/>
      <c r="N652" s="39" t="n"/>
      <c r="O652" s="46" t="n"/>
    </row>
    <row r="653">
      <c r="H653" s="47">
        <f>IF(AND(E653&lt;&gt;"",F653&lt;&gt;""), F653-E653, IF(G653&lt;&gt;"", G653, 0))</f>
        <v/>
      </c>
      <c r="I653" s="48">
        <f>H653*Settings!$B$5</f>
        <v/>
      </c>
      <c r="K653">
        <f>IF(AND(A653&lt;&gt;"",C653&lt;&gt;"",D653&lt;&gt;"",H653&gt;0),"✓","⚠ missing")</f>
        <v/>
      </c>
      <c r="L653" s="44" t="n"/>
      <c r="M653" s="45" t="n"/>
      <c r="N653" s="39" t="n"/>
      <c r="O653" s="46" t="n"/>
    </row>
    <row r="654">
      <c r="H654" s="47">
        <f>IF(AND(E654&lt;&gt;"",F654&lt;&gt;""), F654-E654, IF(G654&lt;&gt;"", G654, 0))</f>
        <v/>
      </c>
      <c r="I654" s="48">
        <f>H654*Settings!$B$5</f>
        <v/>
      </c>
      <c r="K654">
        <f>IF(AND(A654&lt;&gt;"",C654&lt;&gt;"",D654&lt;&gt;"",H654&gt;0),"✓","⚠ missing")</f>
        <v/>
      </c>
      <c r="L654" s="44" t="n"/>
      <c r="M654" s="45" t="n"/>
      <c r="N654" s="39" t="n"/>
      <c r="O654" s="46" t="n"/>
    </row>
    <row r="655">
      <c r="H655" s="47">
        <f>IF(AND(E655&lt;&gt;"",F655&lt;&gt;""), F655-E655, IF(G655&lt;&gt;"", G655, 0))</f>
        <v/>
      </c>
      <c r="I655" s="48">
        <f>H655*Settings!$B$5</f>
        <v/>
      </c>
      <c r="K655">
        <f>IF(AND(A655&lt;&gt;"",C655&lt;&gt;"",D655&lt;&gt;"",H655&gt;0),"✓","⚠ missing")</f>
        <v/>
      </c>
      <c r="L655" s="44" t="n"/>
      <c r="M655" s="45" t="n"/>
      <c r="N655" s="39" t="n"/>
      <c r="O655" s="46" t="n"/>
    </row>
    <row r="656">
      <c r="H656" s="47">
        <f>IF(AND(E656&lt;&gt;"",F656&lt;&gt;""), F656-E656, IF(G656&lt;&gt;"", G656, 0))</f>
        <v/>
      </c>
      <c r="I656" s="48">
        <f>H656*Settings!$B$5</f>
        <v/>
      </c>
      <c r="K656">
        <f>IF(AND(A656&lt;&gt;"",C656&lt;&gt;"",D656&lt;&gt;"",H656&gt;0),"✓","⚠ missing")</f>
        <v/>
      </c>
      <c r="L656" s="44" t="n"/>
      <c r="M656" s="45" t="n"/>
      <c r="N656" s="39" t="n"/>
      <c r="O656" s="46" t="n"/>
    </row>
    <row r="657">
      <c r="H657" s="47">
        <f>IF(AND(E657&lt;&gt;"",F657&lt;&gt;""), F657-E657, IF(G657&lt;&gt;"", G657, 0))</f>
        <v/>
      </c>
      <c r="I657" s="48">
        <f>H657*Settings!$B$5</f>
        <v/>
      </c>
      <c r="K657">
        <f>IF(AND(A657&lt;&gt;"",C657&lt;&gt;"",D657&lt;&gt;"",H657&gt;0),"✓","⚠ missing")</f>
        <v/>
      </c>
      <c r="L657" s="44" t="n"/>
      <c r="M657" s="45" t="n"/>
      <c r="N657" s="39" t="n"/>
      <c r="O657" s="46" t="n"/>
    </row>
    <row r="658">
      <c r="H658" s="47">
        <f>IF(AND(E658&lt;&gt;"",F658&lt;&gt;""), F658-E658, IF(G658&lt;&gt;"", G658, 0))</f>
        <v/>
      </c>
      <c r="I658" s="48">
        <f>H658*Settings!$B$5</f>
        <v/>
      </c>
      <c r="K658">
        <f>IF(AND(A658&lt;&gt;"",C658&lt;&gt;"",D658&lt;&gt;"",H658&gt;0),"✓","⚠ missing")</f>
        <v/>
      </c>
      <c r="L658" s="44" t="n"/>
      <c r="M658" s="45" t="n"/>
      <c r="N658" s="39" t="n"/>
      <c r="O658" s="46" t="n"/>
    </row>
    <row r="659">
      <c r="H659" s="47">
        <f>IF(AND(E659&lt;&gt;"",F659&lt;&gt;""), F659-E659, IF(G659&lt;&gt;"", G659, 0))</f>
        <v/>
      </c>
      <c r="I659" s="48">
        <f>H659*Settings!$B$5</f>
        <v/>
      </c>
      <c r="K659">
        <f>IF(AND(A659&lt;&gt;"",C659&lt;&gt;"",D659&lt;&gt;"",H659&gt;0),"✓","⚠ missing")</f>
        <v/>
      </c>
      <c r="L659" s="44" t="n"/>
      <c r="M659" s="45" t="n"/>
      <c r="N659" s="39" t="n"/>
      <c r="O659" s="46" t="n"/>
    </row>
    <row r="660">
      <c r="H660" s="47">
        <f>IF(AND(E660&lt;&gt;"",F660&lt;&gt;""), F660-E660, IF(G660&lt;&gt;"", G660, 0))</f>
        <v/>
      </c>
      <c r="I660" s="48">
        <f>H660*Settings!$B$5</f>
        <v/>
      </c>
      <c r="K660">
        <f>IF(AND(A660&lt;&gt;"",C660&lt;&gt;"",D660&lt;&gt;"",H660&gt;0),"✓","⚠ missing")</f>
        <v/>
      </c>
      <c r="L660" s="44" t="n"/>
      <c r="M660" s="45" t="n"/>
      <c r="N660" s="39" t="n"/>
      <c r="O660" s="46" t="n"/>
    </row>
    <row r="661">
      <c r="H661" s="47">
        <f>IF(AND(E661&lt;&gt;"",F661&lt;&gt;""), F661-E661, IF(G661&lt;&gt;"", G661, 0))</f>
        <v/>
      </c>
      <c r="I661" s="48">
        <f>H661*Settings!$B$5</f>
        <v/>
      </c>
      <c r="K661">
        <f>IF(AND(A661&lt;&gt;"",C661&lt;&gt;"",D661&lt;&gt;"",H661&gt;0),"✓","⚠ missing")</f>
        <v/>
      </c>
      <c r="L661" s="44" t="n"/>
      <c r="M661" s="45" t="n"/>
      <c r="N661" s="39" t="n"/>
      <c r="O661" s="46" t="n"/>
    </row>
    <row r="662">
      <c r="H662" s="47">
        <f>IF(AND(E662&lt;&gt;"",F662&lt;&gt;""), F662-E662, IF(G662&lt;&gt;"", G662, 0))</f>
        <v/>
      </c>
      <c r="I662" s="48">
        <f>H662*Settings!$B$5</f>
        <v/>
      </c>
      <c r="K662">
        <f>IF(AND(A662&lt;&gt;"",C662&lt;&gt;"",D662&lt;&gt;"",H662&gt;0),"✓","⚠ missing")</f>
        <v/>
      </c>
      <c r="L662" s="44" t="n"/>
      <c r="M662" s="45" t="n"/>
      <c r="N662" s="39" t="n"/>
      <c r="O662" s="46" t="n"/>
    </row>
    <row r="663">
      <c r="H663" s="47">
        <f>IF(AND(E663&lt;&gt;"",F663&lt;&gt;""), F663-E663, IF(G663&lt;&gt;"", G663, 0))</f>
        <v/>
      </c>
      <c r="I663" s="48">
        <f>H663*Settings!$B$5</f>
        <v/>
      </c>
      <c r="K663">
        <f>IF(AND(A663&lt;&gt;"",C663&lt;&gt;"",D663&lt;&gt;"",H663&gt;0),"✓","⚠ missing")</f>
        <v/>
      </c>
      <c r="L663" s="44" t="n"/>
      <c r="M663" s="45" t="n"/>
      <c r="N663" s="39" t="n"/>
      <c r="O663" s="46" t="n"/>
    </row>
    <row r="664">
      <c r="H664" s="47">
        <f>IF(AND(E664&lt;&gt;"",F664&lt;&gt;""), F664-E664, IF(G664&lt;&gt;"", G664, 0))</f>
        <v/>
      </c>
      <c r="I664" s="48">
        <f>H664*Settings!$B$5</f>
        <v/>
      </c>
      <c r="K664">
        <f>IF(AND(A664&lt;&gt;"",C664&lt;&gt;"",D664&lt;&gt;"",H664&gt;0),"✓","⚠ missing")</f>
        <v/>
      </c>
      <c r="L664" s="44" t="n"/>
      <c r="M664" s="45" t="n"/>
      <c r="N664" s="39" t="n"/>
      <c r="O664" s="46" t="n"/>
    </row>
    <row r="665">
      <c r="H665" s="47">
        <f>IF(AND(E665&lt;&gt;"",F665&lt;&gt;""), F665-E665, IF(G665&lt;&gt;"", G665, 0))</f>
        <v/>
      </c>
      <c r="I665" s="48">
        <f>H665*Settings!$B$5</f>
        <v/>
      </c>
      <c r="K665">
        <f>IF(AND(A665&lt;&gt;"",C665&lt;&gt;"",D665&lt;&gt;"",H665&gt;0),"✓","⚠ missing")</f>
        <v/>
      </c>
      <c r="L665" s="44" t="n"/>
      <c r="M665" s="45" t="n"/>
      <c r="N665" s="39" t="n"/>
      <c r="O665" s="46" t="n"/>
    </row>
    <row r="666">
      <c r="H666" s="47">
        <f>IF(AND(E666&lt;&gt;"",F666&lt;&gt;""), F666-E666, IF(G666&lt;&gt;"", G666, 0))</f>
        <v/>
      </c>
      <c r="I666" s="48">
        <f>H666*Settings!$B$5</f>
        <v/>
      </c>
      <c r="K666">
        <f>IF(AND(A666&lt;&gt;"",C666&lt;&gt;"",D666&lt;&gt;"",H666&gt;0),"✓","⚠ missing")</f>
        <v/>
      </c>
      <c r="L666" s="44" t="n"/>
      <c r="M666" s="45" t="n"/>
      <c r="N666" s="39" t="n"/>
      <c r="O666" s="46" t="n"/>
    </row>
    <row r="667">
      <c r="H667" s="47">
        <f>IF(AND(E667&lt;&gt;"",F667&lt;&gt;""), F667-E667, IF(G667&lt;&gt;"", G667, 0))</f>
        <v/>
      </c>
      <c r="I667" s="48">
        <f>H667*Settings!$B$5</f>
        <v/>
      </c>
      <c r="K667">
        <f>IF(AND(A667&lt;&gt;"",C667&lt;&gt;"",D667&lt;&gt;"",H667&gt;0),"✓","⚠ missing")</f>
        <v/>
      </c>
      <c r="L667" s="44" t="n"/>
      <c r="M667" s="45" t="n"/>
      <c r="N667" s="39" t="n"/>
      <c r="O667" s="46" t="n"/>
    </row>
    <row r="668">
      <c r="H668" s="47">
        <f>IF(AND(E668&lt;&gt;"",F668&lt;&gt;""), F668-E668, IF(G668&lt;&gt;"", G668, 0))</f>
        <v/>
      </c>
      <c r="I668" s="48">
        <f>H668*Settings!$B$5</f>
        <v/>
      </c>
      <c r="K668">
        <f>IF(AND(A668&lt;&gt;"",C668&lt;&gt;"",D668&lt;&gt;"",H668&gt;0),"✓","⚠ missing")</f>
        <v/>
      </c>
      <c r="L668" s="44" t="n"/>
      <c r="M668" s="45" t="n"/>
      <c r="N668" s="39" t="n"/>
      <c r="O668" s="46" t="n"/>
    </row>
    <row r="669">
      <c r="H669" s="47">
        <f>IF(AND(E669&lt;&gt;"",F669&lt;&gt;""), F669-E669, IF(G669&lt;&gt;"", G669, 0))</f>
        <v/>
      </c>
      <c r="I669" s="48">
        <f>H669*Settings!$B$5</f>
        <v/>
      </c>
      <c r="K669">
        <f>IF(AND(A669&lt;&gt;"",C669&lt;&gt;"",D669&lt;&gt;"",H669&gt;0),"✓","⚠ missing")</f>
        <v/>
      </c>
      <c r="L669" s="44" t="n"/>
      <c r="M669" s="45" t="n"/>
      <c r="N669" s="39" t="n"/>
      <c r="O669" s="46" t="n"/>
    </row>
    <row r="670">
      <c r="H670" s="47">
        <f>IF(AND(E670&lt;&gt;"",F670&lt;&gt;""), F670-E670, IF(G670&lt;&gt;"", G670, 0))</f>
        <v/>
      </c>
      <c r="I670" s="48">
        <f>H670*Settings!$B$5</f>
        <v/>
      </c>
      <c r="K670">
        <f>IF(AND(A670&lt;&gt;"",C670&lt;&gt;"",D670&lt;&gt;"",H670&gt;0),"✓","⚠ missing")</f>
        <v/>
      </c>
      <c r="L670" s="44" t="n"/>
      <c r="M670" s="45" t="n"/>
      <c r="N670" s="39" t="n"/>
      <c r="O670" s="46" t="n"/>
    </row>
    <row r="671">
      <c r="H671" s="47">
        <f>IF(AND(E671&lt;&gt;"",F671&lt;&gt;""), F671-E671, IF(G671&lt;&gt;"", G671, 0))</f>
        <v/>
      </c>
      <c r="I671" s="48">
        <f>H671*Settings!$B$5</f>
        <v/>
      </c>
      <c r="K671">
        <f>IF(AND(A671&lt;&gt;"",C671&lt;&gt;"",D671&lt;&gt;"",H671&gt;0),"✓","⚠ missing")</f>
        <v/>
      </c>
      <c r="L671" s="44" t="n"/>
      <c r="M671" s="45" t="n"/>
      <c r="N671" s="39" t="n"/>
      <c r="O671" s="46" t="n"/>
    </row>
    <row r="672">
      <c r="H672" s="47">
        <f>IF(AND(E672&lt;&gt;"",F672&lt;&gt;""), F672-E672, IF(G672&lt;&gt;"", G672, 0))</f>
        <v/>
      </c>
      <c r="I672" s="48">
        <f>H672*Settings!$B$5</f>
        <v/>
      </c>
      <c r="K672">
        <f>IF(AND(A672&lt;&gt;"",C672&lt;&gt;"",D672&lt;&gt;"",H672&gt;0),"✓","⚠ missing")</f>
        <v/>
      </c>
      <c r="L672" s="44" t="n"/>
      <c r="M672" s="45" t="n"/>
      <c r="N672" s="39" t="n"/>
      <c r="O672" s="46" t="n"/>
    </row>
    <row r="673">
      <c r="H673" s="47">
        <f>IF(AND(E673&lt;&gt;"",F673&lt;&gt;""), F673-E673, IF(G673&lt;&gt;"", G673, 0))</f>
        <v/>
      </c>
      <c r="I673" s="48">
        <f>H673*Settings!$B$5</f>
        <v/>
      </c>
      <c r="K673">
        <f>IF(AND(A673&lt;&gt;"",C673&lt;&gt;"",D673&lt;&gt;"",H673&gt;0),"✓","⚠ missing")</f>
        <v/>
      </c>
      <c r="L673" s="44" t="n"/>
      <c r="M673" s="45" t="n"/>
      <c r="N673" s="39" t="n"/>
      <c r="O673" s="46" t="n"/>
    </row>
    <row r="674">
      <c r="H674" s="47">
        <f>IF(AND(E674&lt;&gt;"",F674&lt;&gt;""), F674-E674, IF(G674&lt;&gt;"", G674, 0))</f>
        <v/>
      </c>
      <c r="I674" s="48">
        <f>H674*Settings!$B$5</f>
        <v/>
      </c>
      <c r="K674">
        <f>IF(AND(A674&lt;&gt;"",C674&lt;&gt;"",D674&lt;&gt;"",H674&gt;0),"✓","⚠ missing")</f>
        <v/>
      </c>
      <c r="L674" s="44" t="n"/>
      <c r="M674" s="45" t="n"/>
      <c r="N674" s="39" t="n"/>
      <c r="O674" s="46" t="n"/>
    </row>
    <row r="675">
      <c r="H675" s="47">
        <f>IF(AND(E675&lt;&gt;"",F675&lt;&gt;""), F675-E675, IF(G675&lt;&gt;"", G675, 0))</f>
        <v/>
      </c>
      <c r="I675" s="48">
        <f>H675*Settings!$B$5</f>
        <v/>
      </c>
      <c r="K675">
        <f>IF(AND(A675&lt;&gt;"",C675&lt;&gt;"",D675&lt;&gt;"",H675&gt;0),"✓","⚠ missing")</f>
        <v/>
      </c>
      <c r="L675" s="44" t="n"/>
      <c r="M675" s="45" t="n"/>
      <c r="N675" s="39" t="n"/>
      <c r="O675" s="46" t="n"/>
    </row>
    <row r="676">
      <c r="H676" s="47">
        <f>IF(AND(E676&lt;&gt;"",F676&lt;&gt;""), F676-E676, IF(G676&lt;&gt;"", G676, 0))</f>
        <v/>
      </c>
      <c r="I676" s="48">
        <f>H676*Settings!$B$5</f>
        <v/>
      </c>
      <c r="K676">
        <f>IF(AND(A676&lt;&gt;"",C676&lt;&gt;"",D676&lt;&gt;"",H676&gt;0),"✓","⚠ missing")</f>
        <v/>
      </c>
      <c r="L676" s="44" t="n"/>
      <c r="M676" s="45" t="n"/>
      <c r="N676" s="39" t="n"/>
      <c r="O676" s="46" t="n"/>
    </row>
    <row r="677">
      <c r="H677" s="47">
        <f>IF(AND(E677&lt;&gt;"",F677&lt;&gt;""), F677-E677, IF(G677&lt;&gt;"", G677, 0))</f>
        <v/>
      </c>
      <c r="I677" s="48">
        <f>H677*Settings!$B$5</f>
        <v/>
      </c>
      <c r="K677">
        <f>IF(AND(A677&lt;&gt;"",C677&lt;&gt;"",D677&lt;&gt;"",H677&gt;0),"✓","⚠ missing")</f>
        <v/>
      </c>
      <c r="L677" s="44" t="n"/>
      <c r="M677" s="45" t="n"/>
      <c r="N677" s="39" t="n"/>
      <c r="O677" s="46" t="n"/>
    </row>
    <row r="678">
      <c r="H678" s="47">
        <f>IF(AND(E678&lt;&gt;"",F678&lt;&gt;""), F678-E678, IF(G678&lt;&gt;"", G678, 0))</f>
        <v/>
      </c>
      <c r="I678" s="48">
        <f>H678*Settings!$B$5</f>
        <v/>
      </c>
      <c r="K678">
        <f>IF(AND(A678&lt;&gt;"",C678&lt;&gt;"",D678&lt;&gt;"",H678&gt;0),"✓","⚠ missing")</f>
        <v/>
      </c>
      <c r="L678" s="44" t="n"/>
      <c r="M678" s="45" t="n"/>
      <c r="N678" s="39" t="n"/>
      <c r="O678" s="46" t="n"/>
    </row>
    <row r="679">
      <c r="H679" s="47">
        <f>IF(AND(E679&lt;&gt;"",F679&lt;&gt;""), F679-E679, IF(G679&lt;&gt;"", G679, 0))</f>
        <v/>
      </c>
      <c r="I679" s="48">
        <f>H679*Settings!$B$5</f>
        <v/>
      </c>
      <c r="K679">
        <f>IF(AND(A679&lt;&gt;"",C679&lt;&gt;"",D679&lt;&gt;"",H679&gt;0),"✓","⚠ missing")</f>
        <v/>
      </c>
      <c r="L679" s="44" t="n"/>
      <c r="M679" s="45" t="n"/>
      <c r="N679" s="39" t="n"/>
      <c r="O679" s="46" t="n"/>
    </row>
    <row r="680">
      <c r="H680" s="47">
        <f>IF(AND(E680&lt;&gt;"",F680&lt;&gt;""), F680-E680, IF(G680&lt;&gt;"", G680, 0))</f>
        <v/>
      </c>
      <c r="I680" s="48">
        <f>H680*Settings!$B$5</f>
        <v/>
      </c>
      <c r="K680">
        <f>IF(AND(A680&lt;&gt;"",C680&lt;&gt;"",D680&lt;&gt;"",H680&gt;0),"✓","⚠ missing")</f>
        <v/>
      </c>
      <c r="L680" s="44" t="n"/>
      <c r="M680" s="45" t="n"/>
      <c r="N680" s="39" t="n"/>
      <c r="O680" s="46" t="n"/>
    </row>
    <row r="681">
      <c r="H681" s="47">
        <f>IF(AND(E681&lt;&gt;"",F681&lt;&gt;""), F681-E681, IF(G681&lt;&gt;"", G681, 0))</f>
        <v/>
      </c>
      <c r="I681" s="48">
        <f>H681*Settings!$B$5</f>
        <v/>
      </c>
      <c r="K681">
        <f>IF(AND(A681&lt;&gt;"",C681&lt;&gt;"",D681&lt;&gt;"",H681&gt;0),"✓","⚠ missing")</f>
        <v/>
      </c>
      <c r="L681" s="44" t="n"/>
      <c r="M681" s="45" t="n"/>
      <c r="N681" s="39" t="n"/>
      <c r="O681" s="46" t="n"/>
    </row>
    <row r="682">
      <c r="H682" s="47">
        <f>IF(AND(E682&lt;&gt;"",F682&lt;&gt;""), F682-E682, IF(G682&lt;&gt;"", G682, 0))</f>
        <v/>
      </c>
      <c r="I682" s="48">
        <f>H682*Settings!$B$5</f>
        <v/>
      </c>
      <c r="K682">
        <f>IF(AND(A682&lt;&gt;"",C682&lt;&gt;"",D682&lt;&gt;"",H682&gt;0),"✓","⚠ missing")</f>
        <v/>
      </c>
      <c r="L682" s="44" t="n"/>
      <c r="M682" s="45" t="n"/>
      <c r="N682" s="39" t="n"/>
      <c r="O682" s="46" t="n"/>
    </row>
    <row r="683">
      <c r="H683" s="47">
        <f>IF(AND(E683&lt;&gt;"",F683&lt;&gt;""), F683-E683, IF(G683&lt;&gt;"", G683, 0))</f>
        <v/>
      </c>
      <c r="I683" s="48">
        <f>H683*Settings!$B$5</f>
        <v/>
      </c>
      <c r="K683">
        <f>IF(AND(A683&lt;&gt;"",C683&lt;&gt;"",D683&lt;&gt;"",H683&gt;0),"✓","⚠ missing")</f>
        <v/>
      </c>
      <c r="L683" s="44" t="n"/>
      <c r="M683" s="45" t="n"/>
      <c r="N683" s="39" t="n"/>
      <c r="O683" s="46" t="n"/>
    </row>
    <row r="684">
      <c r="H684" s="47">
        <f>IF(AND(E684&lt;&gt;"",F684&lt;&gt;""), F684-E684, IF(G684&lt;&gt;"", G684, 0))</f>
        <v/>
      </c>
      <c r="I684" s="48">
        <f>H684*Settings!$B$5</f>
        <v/>
      </c>
      <c r="K684">
        <f>IF(AND(A684&lt;&gt;"",C684&lt;&gt;"",D684&lt;&gt;"",H684&gt;0),"✓","⚠ missing")</f>
        <v/>
      </c>
      <c r="L684" s="44" t="n"/>
      <c r="M684" s="45" t="n"/>
      <c r="N684" s="39" t="n"/>
      <c r="O684" s="46" t="n"/>
    </row>
    <row r="685">
      <c r="H685" s="47">
        <f>IF(AND(E685&lt;&gt;"",F685&lt;&gt;""), F685-E685, IF(G685&lt;&gt;"", G685, 0))</f>
        <v/>
      </c>
      <c r="I685" s="48">
        <f>H685*Settings!$B$5</f>
        <v/>
      </c>
      <c r="K685">
        <f>IF(AND(A685&lt;&gt;"",C685&lt;&gt;"",D685&lt;&gt;"",H685&gt;0),"✓","⚠ missing")</f>
        <v/>
      </c>
      <c r="L685" s="44" t="n"/>
      <c r="M685" s="45" t="n"/>
      <c r="N685" s="39" t="n"/>
      <c r="O685" s="46" t="n"/>
    </row>
    <row r="686">
      <c r="H686" s="47">
        <f>IF(AND(E686&lt;&gt;"",F686&lt;&gt;""), F686-E686, IF(G686&lt;&gt;"", G686, 0))</f>
        <v/>
      </c>
      <c r="I686" s="48">
        <f>H686*Settings!$B$5</f>
        <v/>
      </c>
      <c r="K686">
        <f>IF(AND(A686&lt;&gt;"",C686&lt;&gt;"",D686&lt;&gt;"",H686&gt;0),"✓","⚠ missing")</f>
        <v/>
      </c>
      <c r="L686" s="44" t="n"/>
      <c r="M686" s="45" t="n"/>
      <c r="N686" s="39" t="n"/>
      <c r="O686" s="46" t="n"/>
    </row>
    <row r="687">
      <c r="H687" s="47">
        <f>IF(AND(E687&lt;&gt;"",F687&lt;&gt;""), F687-E687, IF(G687&lt;&gt;"", G687, 0))</f>
        <v/>
      </c>
      <c r="I687" s="48">
        <f>H687*Settings!$B$5</f>
        <v/>
      </c>
      <c r="K687">
        <f>IF(AND(A687&lt;&gt;"",C687&lt;&gt;"",D687&lt;&gt;"",H687&gt;0),"✓","⚠ missing")</f>
        <v/>
      </c>
      <c r="L687" s="44" t="n"/>
      <c r="M687" s="45" t="n"/>
      <c r="N687" s="39" t="n"/>
      <c r="O687" s="46" t="n"/>
    </row>
    <row r="688">
      <c r="H688" s="47">
        <f>IF(AND(E688&lt;&gt;"",F688&lt;&gt;""), F688-E688, IF(G688&lt;&gt;"", G688, 0))</f>
        <v/>
      </c>
      <c r="I688" s="48">
        <f>H688*Settings!$B$5</f>
        <v/>
      </c>
      <c r="K688">
        <f>IF(AND(A688&lt;&gt;"",C688&lt;&gt;"",D688&lt;&gt;"",H688&gt;0),"✓","⚠ missing")</f>
        <v/>
      </c>
      <c r="L688" s="44" t="n"/>
      <c r="M688" s="45" t="n"/>
      <c r="N688" s="39" t="n"/>
      <c r="O688" s="46" t="n"/>
    </row>
    <row r="689">
      <c r="H689" s="47">
        <f>IF(AND(E689&lt;&gt;"",F689&lt;&gt;""), F689-E689, IF(G689&lt;&gt;"", G689, 0))</f>
        <v/>
      </c>
      <c r="I689" s="48">
        <f>H689*Settings!$B$5</f>
        <v/>
      </c>
      <c r="K689">
        <f>IF(AND(A689&lt;&gt;"",C689&lt;&gt;"",D689&lt;&gt;"",H689&gt;0),"✓","⚠ missing")</f>
        <v/>
      </c>
      <c r="L689" s="44" t="n"/>
      <c r="M689" s="45" t="n"/>
      <c r="N689" s="39" t="n"/>
      <c r="O689" s="46" t="n"/>
    </row>
    <row r="690">
      <c r="H690" s="47">
        <f>IF(AND(E690&lt;&gt;"",F690&lt;&gt;""), F690-E690, IF(G690&lt;&gt;"", G690, 0))</f>
        <v/>
      </c>
      <c r="I690" s="48">
        <f>H690*Settings!$B$5</f>
        <v/>
      </c>
      <c r="K690">
        <f>IF(AND(A690&lt;&gt;"",C690&lt;&gt;"",D690&lt;&gt;"",H690&gt;0),"✓","⚠ missing")</f>
        <v/>
      </c>
      <c r="L690" s="44" t="n"/>
      <c r="M690" s="45" t="n"/>
      <c r="N690" s="39" t="n"/>
      <c r="O690" s="46" t="n"/>
    </row>
    <row r="691">
      <c r="H691" s="47">
        <f>IF(AND(E691&lt;&gt;"",F691&lt;&gt;""), F691-E691, IF(G691&lt;&gt;"", G691, 0))</f>
        <v/>
      </c>
      <c r="I691" s="48">
        <f>H691*Settings!$B$5</f>
        <v/>
      </c>
      <c r="K691">
        <f>IF(AND(A691&lt;&gt;"",C691&lt;&gt;"",D691&lt;&gt;"",H691&gt;0),"✓","⚠ missing")</f>
        <v/>
      </c>
      <c r="L691" s="44" t="n"/>
      <c r="M691" s="45" t="n"/>
      <c r="N691" s="39" t="n"/>
      <c r="O691" s="46" t="n"/>
    </row>
    <row r="692">
      <c r="H692" s="47">
        <f>IF(AND(E692&lt;&gt;"",F692&lt;&gt;""), F692-E692, IF(G692&lt;&gt;"", G692, 0))</f>
        <v/>
      </c>
      <c r="I692" s="48">
        <f>H692*Settings!$B$5</f>
        <v/>
      </c>
      <c r="K692">
        <f>IF(AND(A692&lt;&gt;"",C692&lt;&gt;"",D692&lt;&gt;"",H692&gt;0),"✓","⚠ missing")</f>
        <v/>
      </c>
      <c r="L692" s="44" t="n"/>
      <c r="M692" s="45" t="n"/>
      <c r="N692" s="39" t="n"/>
      <c r="O692" s="46" t="n"/>
    </row>
    <row r="693">
      <c r="H693" s="47">
        <f>IF(AND(E693&lt;&gt;"",F693&lt;&gt;""), F693-E693, IF(G693&lt;&gt;"", G693, 0))</f>
        <v/>
      </c>
      <c r="I693" s="48">
        <f>H693*Settings!$B$5</f>
        <v/>
      </c>
      <c r="K693">
        <f>IF(AND(A693&lt;&gt;"",C693&lt;&gt;"",D693&lt;&gt;"",H693&gt;0),"✓","⚠ missing")</f>
        <v/>
      </c>
      <c r="L693" s="44" t="n"/>
      <c r="M693" s="45" t="n"/>
      <c r="N693" s="39" t="n"/>
      <c r="O693" s="46" t="n"/>
    </row>
    <row r="694">
      <c r="H694" s="47">
        <f>IF(AND(E694&lt;&gt;"",F694&lt;&gt;""), F694-E694, IF(G694&lt;&gt;"", G694, 0))</f>
        <v/>
      </c>
      <c r="I694" s="48">
        <f>H694*Settings!$B$5</f>
        <v/>
      </c>
      <c r="K694">
        <f>IF(AND(A694&lt;&gt;"",C694&lt;&gt;"",D694&lt;&gt;"",H694&gt;0),"✓","⚠ missing")</f>
        <v/>
      </c>
      <c r="L694" s="44" t="n"/>
      <c r="M694" s="45" t="n"/>
      <c r="N694" s="39" t="n"/>
      <c r="O694" s="46" t="n"/>
    </row>
    <row r="695">
      <c r="H695" s="47">
        <f>IF(AND(E695&lt;&gt;"",F695&lt;&gt;""), F695-E695, IF(G695&lt;&gt;"", G695, 0))</f>
        <v/>
      </c>
      <c r="I695" s="48">
        <f>H695*Settings!$B$5</f>
        <v/>
      </c>
      <c r="K695">
        <f>IF(AND(A695&lt;&gt;"",C695&lt;&gt;"",D695&lt;&gt;"",H695&gt;0),"✓","⚠ missing")</f>
        <v/>
      </c>
      <c r="L695" s="44" t="n"/>
      <c r="M695" s="45" t="n"/>
      <c r="N695" s="39" t="n"/>
      <c r="O695" s="46" t="n"/>
    </row>
    <row r="696">
      <c r="H696" s="47">
        <f>IF(AND(E696&lt;&gt;"",F696&lt;&gt;""), F696-E696, IF(G696&lt;&gt;"", G696, 0))</f>
        <v/>
      </c>
      <c r="I696" s="48">
        <f>H696*Settings!$B$5</f>
        <v/>
      </c>
      <c r="K696">
        <f>IF(AND(A696&lt;&gt;"",C696&lt;&gt;"",D696&lt;&gt;"",H696&gt;0),"✓","⚠ missing")</f>
        <v/>
      </c>
      <c r="L696" s="44" t="n"/>
      <c r="M696" s="45" t="n"/>
      <c r="N696" s="39" t="n"/>
      <c r="O696" s="46" t="n"/>
    </row>
    <row r="697">
      <c r="H697" s="47">
        <f>IF(AND(E697&lt;&gt;"",F697&lt;&gt;""), F697-E697, IF(G697&lt;&gt;"", G697, 0))</f>
        <v/>
      </c>
      <c r="I697" s="48">
        <f>H697*Settings!$B$5</f>
        <v/>
      </c>
      <c r="K697">
        <f>IF(AND(A697&lt;&gt;"",C697&lt;&gt;"",D697&lt;&gt;"",H697&gt;0),"✓","⚠ missing")</f>
        <v/>
      </c>
      <c r="L697" s="44" t="n"/>
      <c r="M697" s="45" t="n"/>
      <c r="N697" s="39" t="n"/>
      <c r="O697" s="46" t="n"/>
    </row>
    <row r="698">
      <c r="H698" s="47">
        <f>IF(AND(E698&lt;&gt;"",F698&lt;&gt;""), F698-E698, IF(G698&lt;&gt;"", G698, 0))</f>
        <v/>
      </c>
      <c r="I698" s="48">
        <f>H698*Settings!$B$5</f>
        <v/>
      </c>
      <c r="K698">
        <f>IF(AND(A698&lt;&gt;"",C698&lt;&gt;"",D698&lt;&gt;"",H698&gt;0),"✓","⚠ missing")</f>
        <v/>
      </c>
      <c r="L698" s="44" t="n"/>
      <c r="M698" s="45" t="n"/>
      <c r="N698" s="39" t="n"/>
      <c r="O698" s="46" t="n"/>
    </row>
    <row r="699">
      <c r="H699" s="47">
        <f>IF(AND(E699&lt;&gt;"",F699&lt;&gt;""), F699-E699, IF(G699&lt;&gt;"", G699, 0))</f>
        <v/>
      </c>
      <c r="I699" s="48">
        <f>H699*Settings!$B$5</f>
        <v/>
      </c>
      <c r="K699">
        <f>IF(AND(A699&lt;&gt;"",C699&lt;&gt;"",D699&lt;&gt;"",H699&gt;0),"✓","⚠ missing")</f>
        <v/>
      </c>
      <c r="L699" s="44" t="n"/>
      <c r="M699" s="45" t="n"/>
      <c r="N699" s="39" t="n"/>
      <c r="O699" s="46" t="n"/>
    </row>
    <row r="700">
      <c r="H700" s="47">
        <f>IF(AND(E700&lt;&gt;"",F700&lt;&gt;""), F700-E700, IF(G700&lt;&gt;"", G700, 0))</f>
        <v/>
      </c>
      <c r="I700" s="48">
        <f>H700*Settings!$B$5</f>
        <v/>
      </c>
      <c r="K700">
        <f>IF(AND(A700&lt;&gt;"",C700&lt;&gt;"",D700&lt;&gt;"",H700&gt;0),"✓","⚠ missing")</f>
        <v/>
      </c>
      <c r="L700" s="44" t="n"/>
      <c r="M700" s="45" t="n"/>
      <c r="N700" s="39" t="n"/>
      <c r="O700" s="46" t="n"/>
    </row>
    <row r="701">
      <c r="H701" s="47">
        <f>IF(AND(E701&lt;&gt;"",F701&lt;&gt;""), F701-E701, IF(G701&lt;&gt;"", G701, 0))</f>
        <v/>
      </c>
      <c r="I701" s="48">
        <f>H701*Settings!$B$5</f>
        <v/>
      </c>
      <c r="K701">
        <f>IF(AND(A701&lt;&gt;"",C701&lt;&gt;"",D701&lt;&gt;"",H701&gt;0),"✓","⚠ missing")</f>
        <v/>
      </c>
      <c r="L701" s="44" t="n"/>
      <c r="M701" s="45" t="n"/>
      <c r="N701" s="39" t="n"/>
      <c r="O701" s="46" t="n"/>
    </row>
    <row r="702">
      <c r="H702" s="47">
        <f>IF(AND(E702&lt;&gt;"",F702&lt;&gt;""), F702-E702, IF(G702&lt;&gt;"", G702, 0))</f>
        <v/>
      </c>
      <c r="I702" s="48">
        <f>H702*Settings!$B$5</f>
        <v/>
      </c>
      <c r="K702">
        <f>IF(AND(A702&lt;&gt;"",C702&lt;&gt;"",D702&lt;&gt;"",H702&gt;0),"✓","⚠ missing")</f>
        <v/>
      </c>
      <c r="L702" s="44" t="n"/>
      <c r="M702" s="45" t="n"/>
      <c r="N702" s="39" t="n"/>
      <c r="O702" s="46" t="n"/>
    </row>
    <row r="703">
      <c r="H703" s="47">
        <f>IF(AND(E703&lt;&gt;"",F703&lt;&gt;""), F703-E703, IF(G703&lt;&gt;"", G703, 0))</f>
        <v/>
      </c>
      <c r="I703" s="48">
        <f>H703*Settings!$B$5</f>
        <v/>
      </c>
      <c r="K703">
        <f>IF(AND(A703&lt;&gt;"",C703&lt;&gt;"",D703&lt;&gt;"",H703&gt;0),"✓","⚠ missing")</f>
        <v/>
      </c>
      <c r="L703" s="44" t="n"/>
      <c r="M703" s="45" t="n"/>
      <c r="N703" s="39" t="n"/>
      <c r="O703" s="46" t="n"/>
    </row>
    <row r="704">
      <c r="H704" s="47">
        <f>IF(AND(E704&lt;&gt;"",F704&lt;&gt;""), F704-E704, IF(G704&lt;&gt;"", G704, 0))</f>
        <v/>
      </c>
      <c r="I704" s="48">
        <f>H704*Settings!$B$5</f>
        <v/>
      </c>
      <c r="K704">
        <f>IF(AND(A704&lt;&gt;"",C704&lt;&gt;"",D704&lt;&gt;"",H704&gt;0),"✓","⚠ missing")</f>
        <v/>
      </c>
      <c r="L704" s="44" t="n"/>
      <c r="M704" s="45" t="n"/>
      <c r="N704" s="39" t="n"/>
      <c r="O704" s="46" t="n"/>
    </row>
    <row r="705">
      <c r="H705" s="47">
        <f>IF(AND(E705&lt;&gt;"",F705&lt;&gt;""), F705-E705, IF(G705&lt;&gt;"", G705, 0))</f>
        <v/>
      </c>
      <c r="I705" s="48">
        <f>H705*Settings!$B$5</f>
        <v/>
      </c>
      <c r="K705">
        <f>IF(AND(A705&lt;&gt;"",C705&lt;&gt;"",D705&lt;&gt;"",H705&gt;0),"✓","⚠ missing")</f>
        <v/>
      </c>
      <c r="L705" s="44" t="n"/>
      <c r="M705" s="45" t="n"/>
      <c r="N705" s="39" t="n"/>
      <c r="O705" s="46" t="n"/>
    </row>
    <row r="706">
      <c r="H706" s="47">
        <f>IF(AND(E706&lt;&gt;"",F706&lt;&gt;""), F706-E706, IF(G706&lt;&gt;"", G706, 0))</f>
        <v/>
      </c>
      <c r="I706" s="48">
        <f>H706*Settings!$B$5</f>
        <v/>
      </c>
      <c r="K706">
        <f>IF(AND(A706&lt;&gt;"",C706&lt;&gt;"",D706&lt;&gt;"",H706&gt;0),"✓","⚠ missing")</f>
        <v/>
      </c>
      <c r="L706" s="44" t="n"/>
      <c r="M706" s="45" t="n"/>
      <c r="N706" s="39" t="n"/>
      <c r="O706" s="46" t="n"/>
    </row>
    <row r="707">
      <c r="H707" s="47">
        <f>IF(AND(E707&lt;&gt;"",F707&lt;&gt;""), F707-E707, IF(G707&lt;&gt;"", G707, 0))</f>
        <v/>
      </c>
      <c r="I707" s="48">
        <f>H707*Settings!$B$5</f>
        <v/>
      </c>
      <c r="K707">
        <f>IF(AND(A707&lt;&gt;"",C707&lt;&gt;"",D707&lt;&gt;"",H707&gt;0),"✓","⚠ missing")</f>
        <v/>
      </c>
      <c r="L707" s="44" t="n"/>
      <c r="M707" s="45" t="n"/>
      <c r="N707" s="39" t="n"/>
      <c r="O707" s="46" t="n"/>
    </row>
    <row r="708">
      <c r="H708" s="47">
        <f>IF(AND(E708&lt;&gt;"",F708&lt;&gt;""), F708-E708, IF(G708&lt;&gt;"", G708, 0))</f>
        <v/>
      </c>
      <c r="I708" s="48">
        <f>H708*Settings!$B$5</f>
        <v/>
      </c>
      <c r="K708">
        <f>IF(AND(A708&lt;&gt;"",C708&lt;&gt;"",D708&lt;&gt;"",H708&gt;0),"✓","⚠ missing")</f>
        <v/>
      </c>
      <c r="L708" s="44" t="n"/>
      <c r="M708" s="45" t="n"/>
      <c r="N708" s="39" t="n"/>
      <c r="O708" s="46" t="n"/>
    </row>
    <row r="709">
      <c r="H709" s="47">
        <f>IF(AND(E709&lt;&gt;"",F709&lt;&gt;""), F709-E709, IF(G709&lt;&gt;"", G709, 0))</f>
        <v/>
      </c>
      <c r="I709" s="48">
        <f>H709*Settings!$B$5</f>
        <v/>
      </c>
      <c r="K709">
        <f>IF(AND(A709&lt;&gt;"",C709&lt;&gt;"",D709&lt;&gt;"",H709&gt;0),"✓","⚠ missing")</f>
        <v/>
      </c>
      <c r="L709" s="44" t="n"/>
      <c r="M709" s="45" t="n"/>
      <c r="N709" s="39" t="n"/>
      <c r="O709" s="46" t="n"/>
    </row>
    <row r="710">
      <c r="H710" s="47">
        <f>IF(AND(E710&lt;&gt;"",F710&lt;&gt;""), F710-E710, IF(G710&lt;&gt;"", G710, 0))</f>
        <v/>
      </c>
      <c r="I710" s="48">
        <f>H710*Settings!$B$5</f>
        <v/>
      </c>
      <c r="K710">
        <f>IF(AND(A710&lt;&gt;"",C710&lt;&gt;"",D710&lt;&gt;"",H710&gt;0),"✓","⚠ missing")</f>
        <v/>
      </c>
      <c r="L710" s="44" t="n"/>
      <c r="M710" s="45" t="n"/>
      <c r="N710" s="39" t="n"/>
      <c r="O710" s="46" t="n"/>
    </row>
    <row r="711">
      <c r="H711" s="47">
        <f>IF(AND(E711&lt;&gt;"",F711&lt;&gt;""), F711-E711, IF(G711&lt;&gt;"", G711, 0))</f>
        <v/>
      </c>
      <c r="I711" s="48">
        <f>H711*Settings!$B$5</f>
        <v/>
      </c>
      <c r="K711">
        <f>IF(AND(A711&lt;&gt;"",C711&lt;&gt;"",D711&lt;&gt;"",H711&gt;0),"✓","⚠ missing")</f>
        <v/>
      </c>
      <c r="L711" s="44" t="n"/>
      <c r="M711" s="45" t="n"/>
      <c r="N711" s="39" t="n"/>
      <c r="O711" s="46" t="n"/>
    </row>
    <row r="712">
      <c r="H712" s="47">
        <f>IF(AND(E712&lt;&gt;"",F712&lt;&gt;""), F712-E712, IF(G712&lt;&gt;"", G712, 0))</f>
        <v/>
      </c>
      <c r="I712" s="48">
        <f>H712*Settings!$B$5</f>
        <v/>
      </c>
      <c r="K712">
        <f>IF(AND(A712&lt;&gt;"",C712&lt;&gt;"",D712&lt;&gt;"",H712&gt;0),"✓","⚠ missing")</f>
        <v/>
      </c>
      <c r="L712" s="44" t="n"/>
      <c r="M712" s="45" t="n"/>
      <c r="N712" s="39" t="n"/>
      <c r="O712" s="46" t="n"/>
    </row>
    <row r="713">
      <c r="H713" s="47">
        <f>IF(AND(E713&lt;&gt;"",F713&lt;&gt;""), F713-E713, IF(G713&lt;&gt;"", G713, 0))</f>
        <v/>
      </c>
      <c r="I713" s="48">
        <f>H713*Settings!$B$5</f>
        <v/>
      </c>
      <c r="K713">
        <f>IF(AND(A713&lt;&gt;"",C713&lt;&gt;"",D713&lt;&gt;"",H713&gt;0),"✓","⚠ missing")</f>
        <v/>
      </c>
      <c r="L713" s="44" t="n"/>
      <c r="M713" s="45" t="n"/>
      <c r="N713" s="39" t="n"/>
      <c r="O713" s="46" t="n"/>
    </row>
    <row r="714">
      <c r="H714" s="47">
        <f>IF(AND(E714&lt;&gt;"",F714&lt;&gt;""), F714-E714, IF(G714&lt;&gt;"", G714, 0))</f>
        <v/>
      </c>
      <c r="I714" s="48">
        <f>H714*Settings!$B$5</f>
        <v/>
      </c>
      <c r="K714">
        <f>IF(AND(A714&lt;&gt;"",C714&lt;&gt;"",D714&lt;&gt;"",H714&gt;0),"✓","⚠ missing")</f>
        <v/>
      </c>
      <c r="L714" s="44" t="n"/>
      <c r="M714" s="45" t="n"/>
      <c r="N714" s="39" t="n"/>
      <c r="O714" s="46" t="n"/>
    </row>
    <row r="715">
      <c r="H715" s="47">
        <f>IF(AND(E715&lt;&gt;"",F715&lt;&gt;""), F715-E715, IF(G715&lt;&gt;"", G715, 0))</f>
        <v/>
      </c>
      <c r="I715" s="48">
        <f>H715*Settings!$B$5</f>
        <v/>
      </c>
      <c r="K715">
        <f>IF(AND(A715&lt;&gt;"",C715&lt;&gt;"",D715&lt;&gt;"",H715&gt;0),"✓","⚠ missing")</f>
        <v/>
      </c>
      <c r="L715" s="44" t="n"/>
      <c r="M715" s="45" t="n"/>
      <c r="N715" s="39" t="n"/>
      <c r="O715" s="46" t="n"/>
    </row>
    <row r="716">
      <c r="H716" s="47">
        <f>IF(AND(E716&lt;&gt;"",F716&lt;&gt;""), F716-E716, IF(G716&lt;&gt;"", G716, 0))</f>
        <v/>
      </c>
      <c r="I716" s="48">
        <f>H716*Settings!$B$5</f>
        <v/>
      </c>
      <c r="K716">
        <f>IF(AND(A716&lt;&gt;"",C716&lt;&gt;"",D716&lt;&gt;"",H716&gt;0),"✓","⚠ missing")</f>
        <v/>
      </c>
      <c r="L716" s="44" t="n"/>
      <c r="M716" s="45" t="n"/>
      <c r="N716" s="39" t="n"/>
      <c r="O716" s="46" t="n"/>
    </row>
    <row r="717">
      <c r="H717" s="47">
        <f>IF(AND(E717&lt;&gt;"",F717&lt;&gt;""), F717-E717, IF(G717&lt;&gt;"", G717, 0))</f>
        <v/>
      </c>
      <c r="I717" s="48">
        <f>H717*Settings!$B$5</f>
        <v/>
      </c>
      <c r="K717">
        <f>IF(AND(A717&lt;&gt;"",C717&lt;&gt;"",D717&lt;&gt;"",H717&gt;0),"✓","⚠ missing")</f>
        <v/>
      </c>
      <c r="L717" s="44" t="n"/>
      <c r="M717" s="45" t="n"/>
      <c r="N717" s="39" t="n"/>
      <c r="O717" s="46" t="n"/>
    </row>
    <row r="718">
      <c r="H718" s="47">
        <f>IF(AND(E718&lt;&gt;"",F718&lt;&gt;""), F718-E718, IF(G718&lt;&gt;"", G718, 0))</f>
        <v/>
      </c>
      <c r="I718" s="48">
        <f>H718*Settings!$B$5</f>
        <v/>
      </c>
      <c r="K718">
        <f>IF(AND(A718&lt;&gt;"",C718&lt;&gt;"",D718&lt;&gt;"",H718&gt;0),"✓","⚠ missing")</f>
        <v/>
      </c>
      <c r="L718" s="44" t="n"/>
      <c r="M718" s="45" t="n"/>
      <c r="N718" s="39" t="n"/>
      <c r="O718" s="46" t="n"/>
    </row>
    <row r="719">
      <c r="H719" s="47">
        <f>IF(AND(E719&lt;&gt;"",F719&lt;&gt;""), F719-E719, IF(G719&lt;&gt;"", G719, 0))</f>
        <v/>
      </c>
      <c r="I719" s="48">
        <f>H719*Settings!$B$5</f>
        <v/>
      </c>
      <c r="K719">
        <f>IF(AND(A719&lt;&gt;"",C719&lt;&gt;"",D719&lt;&gt;"",H719&gt;0),"✓","⚠ missing")</f>
        <v/>
      </c>
      <c r="L719" s="44" t="n"/>
      <c r="M719" s="45" t="n"/>
      <c r="N719" s="39" t="n"/>
      <c r="O719" s="46" t="n"/>
    </row>
    <row r="720">
      <c r="H720" s="47">
        <f>IF(AND(E720&lt;&gt;"",F720&lt;&gt;""), F720-E720, IF(G720&lt;&gt;"", G720, 0))</f>
        <v/>
      </c>
      <c r="I720" s="48">
        <f>H720*Settings!$B$5</f>
        <v/>
      </c>
      <c r="K720">
        <f>IF(AND(A720&lt;&gt;"",C720&lt;&gt;"",D720&lt;&gt;"",H720&gt;0),"✓","⚠ missing")</f>
        <v/>
      </c>
      <c r="L720" s="44" t="n"/>
      <c r="M720" s="45" t="n"/>
      <c r="N720" s="39" t="n"/>
      <c r="O720" s="46" t="n"/>
    </row>
    <row r="721">
      <c r="H721" s="47">
        <f>IF(AND(E721&lt;&gt;"",F721&lt;&gt;""), F721-E721, IF(G721&lt;&gt;"", G721, 0))</f>
        <v/>
      </c>
      <c r="I721" s="48">
        <f>H721*Settings!$B$5</f>
        <v/>
      </c>
      <c r="K721">
        <f>IF(AND(A721&lt;&gt;"",C721&lt;&gt;"",D721&lt;&gt;"",H721&gt;0),"✓","⚠ missing")</f>
        <v/>
      </c>
      <c r="L721" s="44" t="n"/>
      <c r="M721" s="45" t="n"/>
      <c r="N721" s="39" t="n"/>
      <c r="O721" s="46" t="n"/>
    </row>
    <row r="722">
      <c r="H722" s="47">
        <f>IF(AND(E722&lt;&gt;"",F722&lt;&gt;""), F722-E722, IF(G722&lt;&gt;"", G722, 0))</f>
        <v/>
      </c>
      <c r="I722" s="48">
        <f>H722*Settings!$B$5</f>
        <v/>
      </c>
      <c r="K722">
        <f>IF(AND(A722&lt;&gt;"",C722&lt;&gt;"",D722&lt;&gt;"",H722&gt;0),"✓","⚠ missing")</f>
        <v/>
      </c>
      <c r="L722" s="44" t="n"/>
      <c r="M722" s="45" t="n"/>
      <c r="N722" s="39" t="n"/>
      <c r="O722" s="46" t="n"/>
    </row>
    <row r="723">
      <c r="H723" s="47">
        <f>IF(AND(E723&lt;&gt;"",F723&lt;&gt;""), F723-E723, IF(G723&lt;&gt;"", G723, 0))</f>
        <v/>
      </c>
      <c r="I723" s="48">
        <f>H723*Settings!$B$5</f>
        <v/>
      </c>
      <c r="K723">
        <f>IF(AND(A723&lt;&gt;"",C723&lt;&gt;"",D723&lt;&gt;"",H723&gt;0),"✓","⚠ missing")</f>
        <v/>
      </c>
      <c r="L723" s="44" t="n"/>
      <c r="M723" s="45" t="n"/>
      <c r="N723" s="39" t="n"/>
      <c r="O723" s="46" t="n"/>
    </row>
    <row r="724">
      <c r="H724" s="47">
        <f>IF(AND(E724&lt;&gt;"",F724&lt;&gt;""), F724-E724, IF(G724&lt;&gt;"", G724, 0))</f>
        <v/>
      </c>
      <c r="I724" s="48">
        <f>H724*Settings!$B$5</f>
        <v/>
      </c>
      <c r="K724">
        <f>IF(AND(A724&lt;&gt;"",C724&lt;&gt;"",D724&lt;&gt;"",H724&gt;0),"✓","⚠ missing")</f>
        <v/>
      </c>
      <c r="L724" s="44" t="n"/>
      <c r="M724" s="45" t="n"/>
      <c r="N724" s="39" t="n"/>
      <c r="O724" s="46" t="n"/>
    </row>
    <row r="725">
      <c r="H725" s="47">
        <f>IF(AND(E725&lt;&gt;"",F725&lt;&gt;""), F725-E725, IF(G725&lt;&gt;"", G725, 0))</f>
        <v/>
      </c>
      <c r="I725" s="48">
        <f>H725*Settings!$B$5</f>
        <v/>
      </c>
      <c r="K725">
        <f>IF(AND(A725&lt;&gt;"",C725&lt;&gt;"",D725&lt;&gt;"",H725&gt;0),"✓","⚠ missing")</f>
        <v/>
      </c>
      <c r="L725" s="44" t="n"/>
      <c r="M725" s="45" t="n"/>
      <c r="N725" s="39" t="n"/>
      <c r="O725" s="46" t="n"/>
    </row>
    <row r="726">
      <c r="H726" s="47">
        <f>IF(AND(E726&lt;&gt;"",F726&lt;&gt;""), F726-E726, IF(G726&lt;&gt;"", G726, 0))</f>
        <v/>
      </c>
      <c r="I726" s="48">
        <f>H726*Settings!$B$5</f>
        <v/>
      </c>
      <c r="K726">
        <f>IF(AND(A726&lt;&gt;"",C726&lt;&gt;"",D726&lt;&gt;"",H726&gt;0),"✓","⚠ missing")</f>
        <v/>
      </c>
      <c r="L726" s="44" t="n"/>
      <c r="M726" s="45" t="n"/>
      <c r="N726" s="39" t="n"/>
      <c r="O726" s="46" t="n"/>
    </row>
    <row r="727">
      <c r="H727" s="47">
        <f>IF(AND(E727&lt;&gt;"",F727&lt;&gt;""), F727-E727, IF(G727&lt;&gt;"", G727, 0))</f>
        <v/>
      </c>
      <c r="I727" s="48">
        <f>H727*Settings!$B$5</f>
        <v/>
      </c>
      <c r="K727">
        <f>IF(AND(A727&lt;&gt;"",C727&lt;&gt;"",D727&lt;&gt;"",H727&gt;0),"✓","⚠ missing")</f>
        <v/>
      </c>
      <c r="L727" s="44" t="n"/>
      <c r="M727" s="45" t="n"/>
      <c r="N727" s="39" t="n"/>
      <c r="O727" s="46" t="n"/>
    </row>
    <row r="728">
      <c r="H728" s="47">
        <f>IF(AND(E728&lt;&gt;"",F728&lt;&gt;""), F728-E728, IF(G728&lt;&gt;"", G728, 0))</f>
        <v/>
      </c>
      <c r="I728" s="48">
        <f>H728*Settings!$B$5</f>
        <v/>
      </c>
      <c r="K728">
        <f>IF(AND(A728&lt;&gt;"",C728&lt;&gt;"",D728&lt;&gt;"",H728&gt;0),"✓","⚠ missing")</f>
        <v/>
      </c>
      <c r="L728" s="44" t="n"/>
      <c r="M728" s="45" t="n"/>
      <c r="N728" s="39" t="n"/>
      <c r="O728" s="46" t="n"/>
    </row>
    <row r="729">
      <c r="H729" s="47">
        <f>IF(AND(E729&lt;&gt;"",F729&lt;&gt;""), F729-E729, IF(G729&lt;&gt;"", G729, 0))</f>
        <v/>
      </c>
      <c r="I729" s="48">
        <f>H729*Settings!$B$5</f>
        <v/>
      </c>
      <c r="K729">
        <f>IF(AND(A729&lt;&gt;"",C729&lt;&gt;"",D729&lt;&gt;"",H729&gt;0),"✓","⚠ missing")</f>
        <v/>
      </c>
      <c r="L729" s="44" t="n"/>
      <c r="M729" s="45" t="n"/>
      <c r="N729" s="39" t="n"/>
      <c r="O729" s="46" t="n"/>
    </row>
    <row r="730">
      <c r="H730" s="47">
        <f>IF(AND(E730&lt;&gt;"",F730&lt;&gt;""), F730-E730, IF(G730&lt;&gt;"", G730, 0))</f>
        <v/>
      </c>
      <c r="I730" s="48">
        <f>H730*Settings!$B$5</f>
        <v/>
      </c>
      <c r="K730">
        <f>IF(AND(A730&lt;&gt;"",C730&lt;&gt;"",D730&lt;&gt;"",H730&gt;0),"✓","⚠ missing")</f>
        <v/>
      </c>
      <c r="L730" s="44" t="n"/>
      <c r="M730" s="45" t="n"/>
      <c r="N730" s="39" t="n"/>
      <c r="O730" s="46" t="n"/>
    </row>
    <row r="731">
      <c r="H731" s="47">
        <f>IF(AND(E731&lt;&gt;"",F731&lt;&gt;""), F731-E731, IF(G731&lt;&gt;"", G731, 0))</f>
        <v/>
      </c>
      <c r="I731" s="48">
        <f>H731*Settings!$B$5</f>
        <v/>
      </c>
      <c r="K731">
        <f>IF(AND(A731&lt;&gt;"",C731&lt;&gt;"",D731&lt;&gt;"",H731&gt;0),"✓","⚠ missing")</f>
        <v/>
      </c>
      <c r="L731" s="44" t="n"/>
      <c r="M731" s="45" t="n"/>
      <c r="N731" s="39" t="n"/>
      <c r="O731" s="46" t="n"/>
    </row>
    <row r="732">
      <c r="H732" s="47">
        <f>IF(AND(E732&lt;&gt;"",F732&lt;&gt;""), F732-E732, IF(G732&lt;&gt;"", G732, 0))</f>
        <v/>
      </c>
      <c r="I732" s="48">
        <f>H732*Settings!$B$5</f>
        <v/>
      </c>
      <c r="K732">
        <f>IF(AND(A732&lt;&gt;"",C732&lt;&gt;"",D732&lt;&gt;"",H732&gt;0),"✓","⚠ missing")</f>
        <v/>
      </c>
      <c r="L732" s="44" t="n"/>
      <c r="M732" s="45" t="n"/>
      <c r="N732" s="39" t="n"/>
      <c r="O732" s="46" t="n"/>
    </row>
    <row r="733">
      <c r="H733" s="47">
        <f>IF(AND(E733&lt;&gt;"",F733&lt;&gt;""), F733-E733, IF(G733&lt;&gt;"", G733, 0))</f>
        <v/>
      </c>
      <c r="I733" s="48">
        <f>H733*Settings!$B$5</f>
        <v/>
      </c>
      <c r="K733">
        <f>IF(AND(A733&lt;&gt;"",C733&lt;&gt;"",D733&lt;&gt;"",H733&gt;0),"✓","⚠ missing")</f>
        <v/>
      </c>
      <c r="L733" s="44" t="n"/>
      <c r="M733" s="45" t="n"/>
      <c r="N733" s="39" t="n"/>
      <c r="O733" s="46" t="n"/>
    </row>
    <row r="734">
      <c r="H734" s="47">
        <f>IF(AND(E734&lt;&gt;"",F734&lt;&gt;""), F734-E734, IF(G734&lt;&gt;"", G734, 0))</f>
        <v/>
      </c>
      <c r="I734" s="48">
        <f>H734*Settings!$B$5</f>
        <v/>
      </c>
      <c r="K734">
        <f>IF(AND(A734&lt;&gt;"",C734&lt;&gt;"",D734&lt;&gt;"",H734&gt;0),"✓","⚠ missing")</f>
        <v/>
      </c>
      <c r="L734" s="44" t="n"/>
      <c r="M734" s="45" t="n"/>
      <c r="N734" s="39" t="n"/>
      <c r="O734" s="46" t="n"/>
    </row>
    <row r="735">
      <c r="H735" s="47">
        <f>IF(AND(E735&lt;&gt;"",F735&lt;&gt;""), F735-E735, IF(G735&lt;&gt;"", G735, 0))</f>
        <v/>
      </c>
      <c r="I735" s="48">
        <f>H735*Settings!$B$5</f>
        <v/>
      </c>
      <c r="K735">
        <f>IF(AND(A735&lt;&gt;"",C735&lt;&gt;"",D735&lt;&gt;"",H735&gt;0),"✓","⚠ missing")</f>
        <v/>
      </c>
      <c r="L735" s="44" t="n"/>
      <c r="M735" s="45" t="n"/>
      <c r="N735" s="39" t="n"/>
      <c r="O735" s="46" t="n"/>
    </row>
    <row r="736">
      <c r="H736" s="47">
        <f>IF(AND(E736&lt;&gt;"",F736&lt;&gt;""), F736-E736, IF(G736&lt;&gt;"", G736, 0))</f>
        <v/>
      </c>
      <c r="I736" s="48">
        <f>H736*Settings!$B$5</f>
        <v/>
      </c>
      <c r="K736">
        <f>IF(AND(A736&lt;&gt;"",C736&lt;&gt;"",D736&lt;&gt;"",H736&gt;0),"✓","⚠ missing")</f>
        <v/>
      </c>
      <c r="L736" s="44" t="n"/>
      <c r="M736" s="45" t="n"/>
      <c r="N736" s="39" t="n"/>
      <c r="O736" s="46" t="n"/>
    </row>
    <row r="737">
      <c r="H737" s="47">
        <f>IF(AND(E737&lt;&gt;"",F737&lt;&gt;""), F737-E737, IF(G737&lt;&gt;"", G737, 0))</f>
        <v/>
      </c>
      <c r="I737" s="48">
        <f>H737*Settings!$B$5</f>
        <v/>
      </c>
      <c r="K737">
        <f>IF(AND(A737&lt;&gt;"",C737&lt;&gt;"",D737&lt;&gt;"",H737&gt;0),"✓","⚠ missing")</f>
        <v/>
      </c>
      <c r="L737" s="44" t="n"/>
      <c r="M737" s="45" t="n"/>
      <c r="N737" s="39" t="n"/>
      <c r="O737" s="46" t="n"/>
    </row>
    <row r="738">
      <c r="H738" s="47">
        <f>IF(AND(E738&lt;&gt;"",F738&lt;&gt;""), F738-E738, IF(G738&lt;&gt;"", G738, 0))</f>
        <v/>
      </c>
      <c r="I738" s="48">
        <f>H738*Settings!$B$5</f>
        <v/>
      </c>
      <c r="K738">
        <f>IF(AND(A738&lt;&gt;"",C738&lt;&gt;"",D738&lt;&gt;"",H738&gt;0),"✓","⚠ missing")</f>
        <v/>
      </c>
      <c r="L738" s="44" t="n"/>
      <c r="M738" s="45" t="n"/>
      <c r="N738" s="39" t="n"/>
      <c r="O738" s="46" t="n"/>
    </row>
    <row r="739">
      <c r="H739" s="47">
        <f>IF(AND(E739&lt;&gt;"",F739&lt;&gt;""), F739-E739, IF(G739&lt;&gt;"", G739, 0))</f>
        <v/>
      </c>
      <c r="I739" s="48">
        <f>H739*Settings!$B$5</f>
        <v/>
      </c>
      <c r="K739">
        <f>IF(AND(A739&lt;&gt;"",C739&lt;&gt;"",D739&lt;&gt;"",H739&gt;0),"✓","⚠ missing")</f>
        <v/>
      </c>
      <c r="L739" s="44" t="n"/>
      <c r="M739" s="45" t="n"/>
      <c r="N739" s="39" t="n"/>
      <c r="O739" s="46" t="n"/>
    </row>
    <row r="740">
      <c r="H740" s="47">
        <f>IF(AND(E740&lt;&gt;"",F740&lt;&gt;""), F740-E740, IF(G740&lt;&gt;"", G740, 0))</f>
        <v/>
      </c>
      <c r="I740" s="48">
        <f>H740*Settings!$B$5</f>
        <v/>
      </c>
      <c r="K740">
        <f>IF(AND(A740&lt;&gt;"",C740&lt;&gt;"",D740&lt;&gt;"",H740&gt;0),"✓","⚠ missing")</f>
        <v/>
      </c>
      <c r="L740" s="44" t="n"/>
      <c r="M740" s="45" t="n"/>
      <c r="N740" s="39" t="n"/>
      <c r="O740" s="46" t="n"/>
    </row>
    <row r="741">
      <c r="H741" s="47">
        <f>IF(AND(E741&lt;&gt;"",F741&lt;&gt;""), F741-E741, IF(G741&lt;&gt;"", G741, 0))</f>
        <v/>
      </c>
      <c r="I741" s="48">
        <f>H741*Settings!$B$5</f>
        <v/>
      </c>
      <c r="K741">
        <f>IF(AND(A741&lt;&gt;"",C741&lt;&gt;"",D741&lt;&gt;"",H741&gt;0),"✓","⚠ missing")</f>
        <v/>
      </c>
      <c r="L741" s="44" t="n"/>
      <c r="M741" s="45" t="n"/>
      <c r="N741" s="39" t="n"/>
      <c r="O741" s="46" t="n"/>
    </row>
    <row r="742">
      <c r="H742" s="47">
        <f>IF(AND(E742&lt;&gt;"",F742&lt;&gt;""), F742-E742, IF(G742&lt;&gt;"", G742, 0))</f>
        <v/>
      </c>
      <c r="I742" s="48">
        <f>H742*Settings!$B$5</f>
        <v/>
      </c>
      <c r="K742">
        <f>IF(AND(A742&lt;&gt;"",C742&lt;&gt;"",D742&lt;&gt;"",H742&gt;0),"✓","⚠ missing")</f>
        <v/>
      </c>
      <c r="L742" s="44" t="n"/>
      <c r="M742" s="45" t="n"/>
      <c r="N742" s="39" t="n"/>
      <c r="O742" s="46" t="n"/>
    </row>
    <row r="743">
      <c r="H743" s="47">
        <f>IF(AND(E743&lt;&gt;"",F743&lt;&gt;""), F743-E743, IF(G743&lt;&gt;"", G743, 0))</f>
        <v/>
      </c>
      <c r="I743" s="48">
        <f>H743*Settings!$B$5</f>
        <v/>
      </c>
      <c r="K743">
        <f>IF(AND(A743&lt;&gt;"",C743&lt;&gt;"",D743&lt;&gt;"",H743&gt;0),"✓","⚠ missing")</f>
        <v/>
      </c>
      <c r="L743" s="44" t="n"/>
      <c r="M743" s="45" t="n"/>
      <c r="N743" s="39" t="n"/>
      <c r="O743" s="46" t="n"/>
    </row>
    <row r="744">
      <c r="H744" s="47">
        <f>IF(AND(E744&lt;&gt;"",F744&lt;&gt;""), F744-E744, IF(G744&lt;&gt;"", G744, 0))</f>
        <v/>
      </c>
      <c r="I744" s="48">
        <f>H744*Settings!$B$5</f>
        <v/>
      </c>
      <c r="K744">
        <f>IF(AND(A744&lt;&gt;"",C744&lt;&gt;"",D744&lt;&gt;"",H744&gt;0),"✓","⚠ missing")</f>
        <v/>
      </c>
      <c r="L744" s="44" t="n"/>
      <c r="M744" s="45" t="n"/>
      <c r="N744" s="39" t="n"/>
      <c r="O744" s="46" t="n"/>
    </row>
    <row r="745">
      <c r="H745" s="47">
        <f>IF(AND(E745&lt;&gt;"",F745&lt;&gt;""), F745-E745, IF(G745&lt;&gt;"", G745, 0))</f>
        <v/>
      </c>
      <c r="I745" s="48">
        <f>H745*Settings!$B$5</f>
        <v/>
      </c>
      <c r="K745">
        <f>IF(AND(A745&lt;&gt;"",C745&lt;&gt;"",D745&lt;&gt;"",H745&gt;0),"✓","⚠ missing")</f>
        <v/>
      </c>
      <c r="L745" s="44" t="n"/>
      <c r="M745" s="45" t="n"/>
      <c r="N745" s="39" t="n"/>
      <c r="O745" s="46" t="n"/>
    </row>
    <row r="746">
      <c r="H746" s="47">
        <f>IF(AND(E746&lt;&gt;"",F746&lt;&gt;""), F746-E746, IF(G746&lt;&gt;"", G746, 0))</f>
        <v/>
      </c>
      <c r="I746" s="48">
        <f>H746*Settings!$B$5</f>
        <v/>
      </c>
      <c r="K746">
        <f>IF(AND(A746&lt;&gt;"",C746&lt;&gt;"",D746&lt;&gt;"",H746&gt;0),"✓","⚠ missing")</f>
        <v/>
      </c>
      <c r="L746" s="44" t="n"/>
      <c r="M746" s="45" t="n"/>
      <c r="N746" s="39" t="n"/>
      <c r="O746" s="46" t="n"/>
    </row>
    <row r="747">
      <c r="H747" s="47">
        <f>IF(AND(E747&lt;&gt;"",F747&lt;&gt;""), F747-E747, IF(G747&lt;&gt;"", G747, 0))</f>
        <v/>
      </c>
      <c r="I747" s="48">
        <f>H747*Settings!$B$5</f>
        <v/>
      </c>
      <c r="K747">
        <f>IF(AND(A747&lt;&gt;"",C747&lt;&gt;"",D747&lt;&gt;"",H747&gt;0),"✓","⚠ missing")</f>
        <v/>
      </c>
      <c r="L747" s="44" t="n"/>
      <c r="M747" s="45" t="n"/>
      <c r="N747" s="39" t="n"/>
      <c r="O747" s="46" t="n"/>
    </row>
    <row r="748">
      <c r="H748" s="47">
        <f>IF(AND(E748&lt;&gt;"",F748&lt;&gt;""), F748-E748, IF(G748&lt;&gt;"", G748, 0))</f>
        <v/>
      </c>
      <c r="I748" s="48">
        <f>H748*Settings!$B$5</f>
        <v/>
      </c>
      <c r="K748">
        <f>IF(AND(A748&lt;&gt;"",C748&lt;&gt;"",D748&lt;&gt;"",H748&gt;0),"✓","⚠ missing")</f>
        <v/>
      </c>
      <c r="L748" s="44" t="n"/>
      <c r="M748" s="45" t="n"/>
      <c r="N748" s="39" t="n"/>
      <c r="O748" s="46" t="n"/>
    </row>
    <row r="749">
      <c r="H749" s="47">
        <f>IF(AND(E749&lt;&gt;"",F749&lt;&gt;""), F749-E749, IF(G749&lt;&gt;"", G749, 0))</f>
        <v/>
      </c>
      <c r="I749" s="48">
        <f>H749*Settings!$B$5</f>
        <v/>
      </c>
      <c r="K749">
        <f>IF(AND(A749&lt;&gt;"",C749&lt;&gt;"",D749&lt;&gt;"",H749&gt;0),"✓","⚠ missing")</f>
        <v/>
      </c>
      <c r="L749" s="44" t="n"/>
      <c r="M749" s="45" t="n"/>
      <c r="N749" s="39" t="n"/>
      <c r="O749" s="46" t="n"/>
    </row>
    <row r="750">
      <c r="H750" s="47">
        <f>IF(AND(E750&lt;&gt;"",F750&lt;&gt;""), F750-E750, IF(G750&lt;&gt;"", G750, 0))</f>
        <v/>
      </c>
      <c r="I750" s="48">
        <f>H750*Settings!$B$5</f>
        <v/>
      </c>
      <c r="K750">
        <f>IF(AND(A750&lt;&gt;"",C750&lt;&gt;"",D750&lt;&gt;"",H750&gt;0),"✓","⚠ missing")</f>
        <v/>
      </c>
      <c r="L750" s="44" t="n"/>
      <c r="M750" s="45" t="n"/>
      <c r="N750" s="39" t="n"/>
      <c r="O750" s="46" t="n"/>
    </row>
    <row r="751">
      <c r="H751" s="47">
        <f>IF(AND(E751&lt;&gt;"",F751&lt;&gt;""), F751-E751, IF(G751&lt;&gt;"", G751, 0))</f>
        <v/>
      </c>
      <c r="I751" s="48">
        <f>H751*Settings!$B$5</f>
        <v/>
      </c>
      <c r="K751">
        <f>IF(AND(A751&lt;&gt;"",C751&lt;&gt;"",D751&lt;&gt;"",H751&gt;0),"✓","⚠ missing")</f>
        <v/>
      </c>
      <c r="L751" s="44" t="n"/>
      <c r="M751" s="45" t="n"/>
      <c r="N751" s="39" t="n"/>
      <c r="O751" s="46" t="n"/>
    </row>
    <row r="752">
      <c r="H752" s="47">
        <f>IF(AND(E752&lt;&gt;"",F752&lt;&gt;""), F752-E752, IF(G752&lt;&gt;"", G752, 0))</f>
        <v/>
      </c>
      <c r="I752" s="48">
        <f>H752*Settings!$B$5</f>
        <v/>
      </c>
      <c r="K752">
        <f>IF(AND(A752&lt;&gt;"",C752&lt;&gt;"",D752&lt;&gt;"",H752&gt;0),"✓","⚠ missing")</f>
        <v/>
      </c>
      <c r="L752" s="44" t="n"/>
      <c r="M752" s="45" t="n"/>
      <c r="N752" s="39" t="n"/>
      <c r="O752" s="46" t="n"/>
    </row>
    <row r="753">
      <c r="H753" s="47">
        <f>IF(AND(E753&lt;&gt;"",F753&lt;&gt;""), F753-E753, IF(G753&lt;&gt;"", G753, 0))</f>
        <v/>
      </c>
      <c r="I753" s="48">
        <f>H753*Settings!$B$5</f>
        <v/>
      </c>
      <c r="K753">
        <f>IF(AND(A753&lt;&gt;"",C753&lt;&gt;"",D753&lt;&gt;"",H753&gt;0),"✓","⚠ missing")</f>
        <v/>
      </c>
      <c r="L753" s="44" t="n"/>
      <c r="M753" s="45" t="n"/>
      <c r="N753" s="39" t="n"/>
      <c r="O753" s="46" t="n"/>
    </row>
    <row r="754">
      <c r="H754" s="47">
        <f>IF(AND(E754&lt;&gt;"",F754&lt;&gt;""), F754-E754, IF(G754&lt;&gt;"", G754, 0))</f>
        <v/>
      </c>
      <c r="I754" s="48">
        <f>H754*Settings!$B$5</f>
        <v/>
      </c>
      <c r="K754">
        <f>IF(AND(A754&lt;&gt;"",C754&lt;&gt;"",D754&lt;&gt;"",H754&gt;0),"✓","⚠ missing")</f>
        <v/>
      </c>
      <c r="L754" s="44" t="n"/>
      <c r="M754" s="45" t="n"/>
      <c r="N754" s="39" t="n"/>
      <c r="O754" s="46" t="n"/>
    </row>
    <row r="755">
      <c r="H755" s="47">
        <f>IF(AND(E755&lt;&gt;"",F755&lt;&gt;""), F755-E755, IF(G755&lt;&gt;"", G755, 0))</f>
        <v/>
      </c>
      <c r="I755" s="48">
        <f>H755*Settings!$B$5</f>
        <v/>
      </c>
      <c r="K755">
        <f>IF(AND(A755&lt;&gt;"",C755&lt;&gt;"",D755&lt;&gt;"",H755&gt;0),"✓","⚠ missing")</f>
        <v/>
      </c>
      <c r="L755" s="44" t="n"/>
      <c r="M755" s="45" t="n"/>
      <c r="N755" s="39" t="n"/>
      <c r="O755" s="46" t="n"/>
    </row>
    <row r="756">
      <c r="H756" s="47">
        <f>IF(AND(E756&lt;&gt;"",F756&lt;&gt;""), F756-E756, IF(G756&lt;&gt;"", G756, 0))</f>
        <v/>
      </c>
      <c r="I756" s="48">
        <f>H756*Settings!$B$5</f>
        <v/>
      </c>
      <c r="K756">
        <f>IF(AND(A756&lt;&gt;"",C756&lt;&gt;"",D756&lt;&gt;"",H756&gt;0),"✓","⚠ missing")</f>
        <v/>
      </c>
      <c r="L756" s="44" t="n"/>
      <c r="M756" s="45" t="n"/>
      <c r="N756" s="39" t="n"/>
      <c r="O756" s="46" t="n"/>
    </row>
    <row r="757">
      <c r="H757" s="47">
        <f>IF(AND(E757&lt;&gt;"",F757&lt;&gt;""), F757-E757, IF(G757&lt;&gt;"", G757, 0))</f>
        <v/>
      </c>
      <c r="I757" s="48">
        <f>H757*Settings!$B$5</f>
        <v/>
      </c>
      <c r="K757">
        <f>IF(AND(A757&lt;&gt;"",C757&lt;&gt;"",D757&lt;&gt;"",H757&gt;0),"✓","⚠ missing")</f>
        <v/>
      </c>
      <c r="L757" s="44" t="n"/>
      <c r="M757" s="45" t="n"/>
      <c r="N757" s="39" t="n"/>
      <c r="O757" s="46" t="n"/>
    </row>
    <row r="758">
      <c r="H758" s="47">
        <f>IF(AND(E758&lt;&gt;"",F758&lt;&gt;""), F758-E758, IF(G758&lt;&gt;"", G758, 0))</f>
        <v/>
      </c>
      <c r="I758" s="48">
        <f>H758*Settings!$B$5</f>
        <v/>
      </c>
      <c r="K758">
        <f>IF(AND(A758&lt;&gt;"",C758&lt;&gt;"",D758&lt;&gt;"",H758&gt;0),"✓","⚠ missing")</f>
        <v/>
      </c>
      <c r="L758" s="44" t="n"/>
      <c r="M758" s="45" t="n"/>
      <c r="N758" s="39" t="n"/>
      <c r="O758" s="46" t="n"/>
    </row>
    <row r="759">
      <c r="H759" s="47">
        <f>IF(AND(E759&lt;&gt;"",F759&lt;&gt;""), F759-E759, IF(G759&lt;&gt;"", G759, 0))</f>
        <v/>
      </c>
      <c r="I759" s="48">
        <f>H759*Settings!$B$5</f>
        <v/>
      </c>
      <c r="K759">
        <f>IF(AND(A759&lt;&gt;"",C759&lt;&gt;"",D759&lt;&gt;"",H759&gt;0),"✓","⚠ missing")</f>
        <v/>
      </c>
      <c r="L759" s="44" t="n"/>
      <c r="M759" s="45" t="n"/>
      <c r="N759" s="39" t="n"/>
      <c r="O759" s="46" t="n"/>
    </row>
    <row r="760">
      <c r="H760" s="47">
        <f>IF(AND(E760&lt;&gt;"",F760&lt;&gt;""), F760-E760, IF(G760&lt;&gt;"", G760, 0))</f>
        <v/>
      </c>
      <c r="I760" s="48">
        <f>H760*Settings!$B$5</f>
        <v/>
      </c>
      <c r="K760">
        <f>IF(AND(A760&lt;&gt;"",C760&lt;&gt;"",D760&lt;&gt;"",H760&gt;0),"✓","⚠ missing")</f>
        <v/>
      </c>
      <c r="L760" s="44" t="n"/>
      <c r="M760" s="45" t="n"/>
      <c r="N760" s="39" t="n"/>
      <c r="O760" s="46" t="n"/>
    </row>
    <row r="761">
      <c r="H761" s="47">
        <f>IF(AND(E761&lt;&gt;"",F761&lt;&gt;""), F761-E761, IF(G761&lt;&gt;"", G761, 0))</f>
        <v/>
      </c>
      <c r="I761" s="48">
        <f>H761*Settings!$B$5</f>
        <v/>
      </c>
      <c r="K761">
        <f>IF(AND(A761&lt;&gt;"",C761&lt;&gt;"",D761&lt;&gt;"",H761&gt;0),"✓","⚠ missing")</f>
        <v/>
      </c>
      <c r="L761" s="44" t="n"/>
      <c r="M761" s="45" t="n"/>
      <c r="N761" s="39" t="n"/>
      <c r="O761" s="46" t="n"/>
    </row>
    <row r="762">
      <c r="H762" s="47">
        <f>IF(AND(E762&lt;&gt;"",F762&lt;&gt;""), F762-E762, IF(G762&lt;&gt;"", G762, 0))</f>
        <v/>
      </c>
      <c r="I762" s="48">
        <f>H762*Settings!$B$5</f>
        <v/>
      </c>
      <c r="K762">
        <f>IF(AND(A762&lt;&gt;"",C762&lt;&gt;"",D762&lt;&gt;"",H762&gt;0),"✓","⚠ missing")</f>
        <v/>
      </c>
      <c r="L762" s="44" t="n"/>
      <c r="M762" s="45" t="n"/>
      <c r="N762" s="39" t="n"/>
      <c r="O762" s="46" t="n"/>
    </row>
    <row r="763">
      <c r="H763" s="47">
        <f>IF(AND(E763&lt;&gt;"",F763&lt;&gt;""), F763-E763, IF(G763&lt;&gt;"", G763, 0))</f>
        <v/>
      </c>
      <c r="I763" s="48">
        <f>H763*Settings!$B$5</f>
        <v/>
      </c>
      <c r="K763">
        <f>IF(AND(A763&lt;&gt;"",C763&lt;&gt;"",D763&lt;&gt;"",H763&gt;0),"✓","⚠ missing")</f>
        <v/>
      </c>
      <c r="L763" s="44" t="n"/>
      <c r="M763" s="45" t="n"/>
      <c r="N763" s="39" t="n"/>
      <c r="O763" s="46" t="n"/>
    </row>
    <row r="764">
      <c r="H764" s="47">
        <f>IF(AND(E764&lt;&gt;"",F764&lt;&gt;""), F764-E764, IF(G764&lt;&gt;"", G764, 0))</f>
        <v/>
      </c>
      <c r="I764" s="48">
        <f>H764*Settings!$B$5</f>
        <v/>
      </c>
      <c r="K764">
        <f>IF(AND(A764&lt;&gt;"",C764&lt;&gt;"",D764&lt;&gt;"",H764&gt;0),"✓","⚠ missing")</f>
        <v/>
      </c>
      <c r="L764" s="44" t="n"/>
      <c r="M764" s="45" t="n"/>
      <c r="N764" s="39" t="n"/>
      <c r="O764" s="46" t="n"/>
    </row>
    <row r="765">
      <c r="H765" s="47">
        <f>IF(AND(E765&lt;&gt;"",F765&lt;&gt;""), F765-E765, IF(G765&lt;&gt;"", G765, 0))</f>
        <v/>
      </c>
      <c r="I765" s="48">
        <f>H765*Settings!$B$5</f>
        <v/>
      </c>
      <c r="K765">
        <f>IF(AND(A765&lt;&gt;"",C765&lt;&gt;"",D765&lt;&gt;"",H765&gt;0),"✓","⚠ missing")</f>
        <v/>
      </c>
      <c r="L765" s="44" t="n"/>
      <c r="M765" s="45" t="n"/>
      <c r="N765" s="39" t="n"/>
      <c r="O765" s="46" t="n"/>
    </row>
    <row r="766">
      <c r="H766" s="47">
        <f>IF(AND(E766&lt;&gt;"",F766&lt;&gt;""), F766-E766, IF(G766&lt;&gt;"", G766, 0))</f>
        <v/>
      </c>
      <c r="I766" s="48">
        <f>H766*Settings!$B$5</f>
        <v/>
      </c>
      <c r="K766">
        <f>IF(AND(A766&lt;&gt;"",C766&lt;&gt;"",D766&lt;&gt;"",H766&gt;0),"✓","⚠ missing")</f>
        <v/>
      </c>
      <c r="L766" s="44" t="n"/>
      <c r="M766" s="45" t="n"/>
      <c r="N766" s="39" t="n"/>
      <c r="O766" s="46" t="n"/>
    </row>
    <row r="767">
      <c r="H767" s="47">
        <f>IF(AND(E767&lt;&gt;"",F767&lt;&gt;""), F767-E767, IF(G767&lt;&gt;"", G767, 0))</f>
        <v/>
      </c>
      <c r="I767" s="48">
        <f>H767*Settings!$B$5</f>
        <v/>
      </c>
      <c r="K767">
        <f>IF(AND(A767&lt;&gt;"",C767&lt;&gt;"",D767&lt;&gt;"",H767&gt;0),"✓","⚠ missing")</f>
        <v/>
      </c>
      <c r="L767" s="44" t="n"/>
      <c r="M767" s="45" t="n"/>
      <c r="N767" s="39" t="n"/>
      <c r="O767" s="46" t="n"/>
    </row>
    <row r="768">
      <c r="H768" s="47">
        <f>IF(AND(E768&lt;&gt;"",F768&lt;&gt;""), F768-E768, IF(G768&lt;&gt;"", G768, 0))</f>
        <v/>
      </c>
      <c r="I768" s="48">
        <f>H768*Settings!$B$5</f>
        <v/>
      </c>
      <c r="K768">
        <f>IF(AND(A768&lt;&gt;"",C768&lt;&gt;"",D768&lt;&gt;"",H768&gt;0),"✓","⚠ missing")</f>
        <v/>
      </c>
      <c r="L768" s="44" t="n"/>
      <c r="M768" s="45" t="n"/>
      <c r="N768" s="39" t="n"/>
      <c r="O768" s="46" t="n"/>
    </row>
    <row r="769">
      <c r="H769" s="47">
        <f>IF(AND(E769&lt;&gt;"",F769&lt;&gt;""), F769-E769, IF(G769&lt;&gt;"", G769, 0))</f>
        <v/>
      </c>
      <c r="I769" s="48">
        <f>H769*Settings!$B$5</f>
        <v/>
      </c>
      <c r="K769">
        <f>IF(AND(A769&lt;&gt;"",C769&lt;&gt;"",D769&lt;&gt;"",H769&gt;0),"✓","⚠ missing")</f>
        <v/>
      </c>
      <c r="L769" s="44" t="n"/>
      <c r="M769" s="45" t="n"/>
      <c r="N769" s="39" t="n"/>
      <c r="O769" s="46" t="n"/>
    </row>
    <row r="770">
      <c r="H770" s="47">
        <f>IF(AND(E770&lt;&gt;"",F770&lt;&gt;""), F770-E770, IF(G770&lt;&gt;"", G770, 0))</f>
        <v/>
      </c>
      <c r="I770" s="48">
        <f>H770*Settings!$B$5</f>
        <v/>
      </c>
      <c r="K770">
        <f>IF(AND(A770&lt;&gt;"",C770&lt;&gt;"",D770&lt;&gt;"",H770&gt;0),"✓","⚠ missing")</f>
        <v/>
      </c>
      <c r="L770" s="44" t="n"/>
      <c r="M770" s="45" t="n"/>
      <c r="N770" s="39" t="n"/>
      <c r="O770" s="46" t="n"/>
    </row>
    <row r="771">
      <c r="H771" s="47">
        <f>IF(AND(E771&lt;&gt;"",F771&lt;&gt;""), F771-E771, IF(G771&lt;&gt;"", G771, 0))</f>
        <v/>
      </c>
      <c r="I771" s="48">
        <f>H771*Settings!$B$5</f>
        <v/>
      </c>
      <c r="K771">
        <f>IF(AND(A771&lt;&gt;"",C771&lt;&gt;"",D771&lt;&gt;"",H771&gt;0),"✓","⚠ missing")</f>
        <v/>
      </c>
      <c r="L771" s="44" t="n"/>
      <c r="M771" s="45" t="n"/>
      <c r="N771" s="39" t="n"/>
      <c r="O771" s="46" t="n"/>
    </row>
    <row r="772">
      <c r="H772" s="47">
        <f>IF(AND(E772&lt;&gt;"",F772&lt;&gt;""), F772-E772, IF(G772&lt;&gt;"", G772, 0))</f>
        <v/>
      </c>
      <c r="I772" s="48">
        <f>H772*Settings!$B$5</f>
        <v/>
      </c>
      <c r="K772">
        <f>IF(AND(A772&lt;&gt;"",C772&lt;&gt;"",D772&lt;&gt;"",H772&gt;0),"✓","⚠ missing")</f>
        <v/>
      </c>
      <c r="L772" s="44" t="n"/>
      <c r="M772" s="45" t="n"/>
      <c r="N772" s="39" t="n"/>
      <c r="O772" s="46" t="n"/>
    </row>
    <row r="773">
      <c r="H773" s="47">
        <f>IF(AND(E773&lt;&gt;"",F773&lt;&gt;""), F773-E773, IF(G773&lt;&gt;"", G773, 0))</f>
        <v/>
      </c>
      <c r="I773" s="48">
        <f>H773*Settings!$B$5</f>
        <v/>
      </c>
      <c r="K773">
        <f>IF(AND(A773&lt;&gt;"",C773&lt;&gt;"",D773&lt;&gt;"",H773&gt;0),"✓","⚠ missing")</f>
        <v/>
      </c>
      <c r="L773" s="44" t="n"/>
      <c r="M773" s="45" t="n"/>
      <c r="N773" s="39" t="n"/>
      <c r="O773" s="46" t="n"/>
    </row>
    <row r="774">
      <c r="H774" s="47">
        <f>IF(AND(E774&lt;&gt;"",F774&lt;&gt;""), F774-E774, IF(G774&lt;&gt;"", G774, 0))</f>
        <v/>
      </c>
      <c r="I774" s="48">
        <f>H774*Settings!$B$5</f>
        <v/>
      </c>
      <c r="K774">
        <f>IF(AND(A774&lt;&gt;"",C774&lt;&gt;"",D774&lt;&gt;"",H774&gt;0),"✓","⚠ missing")</f>
        <v/>
      </c>
      <c r="L774" s="44" t="n"/>
      <c r="M774" s="45" t="n"/>
      <c r="N774" s="39" t="n"/>
      <c r="O774" s="46" t="n"/>
    </row>
    <row r="775">
      <c r="H775" s="47">
        <f>IF(AND(E775&lt;&gt;"",F775&lt;&gt;""), F775-E775, IF(G775&lt;&gt;"", G775, 0))</f>
        <v/>
      </c>
      <c r="I775" s="48">
        <f>H775*Settings!$B$5</f>
        <v/>
      </c>
      <c r="K775">
        <f>IF(AND(A775&lt;&gt;"",C775&lt;&gt;"",D775&lt;&gt;"",H775&gt;0),"✓","⚠ missing")</f>
        <v/>
      </c>
      <c r="L775" s="44" t="n"/>
      <c r="M775" s="45" t="n"/>
      <c r="N775" s="39" t="n"/>
      <c r="O775" s="46" t="n"/>
    </row>
    <row r="776">
      <c r="H776" s="47">
        <f>IF(AND(E776&lt;&gt;"",F776&lt;&gt;""), F776-E776, IF(G776&lt;&gt;"", G776, 0))</f>
        <v/>
      </c>
      <c r="I776" s="48">
        <f>H776*Settings!$B$5</f>
        <v/>
      </c>
      <c r="K776">
        <f>IF(AND(A776&lt;&gt;"",C776&lt;&gt;"",D776&lt;&gt;"",H776&gt;0),"✓","⚠ missing")</f>
        <v/>
      </c>
      <c r="L776" s="44" t="n"/>
      <c r="M776" s="45" t="n"/>
      <c r="N776" s="39" t="n"/>
      <c r="O776" s="46" t="n"/>
    </row>
    <row r="777">
      <c r="H777" s="47">
        <f>IF(AND(E777&lt;&gt;"",F777&lt;&gt;""), F777-E777, IF(G777&lt;&gt;"", G777, 0))</f>
        <v/>
      </c>
      <c r="I777" s="48">
        <f>H777*Settings!$B$5</f>
        <v/>
      </c>
      <c r="K777">
        <f>IF(AND(A777&lt;&gt;"",C777&lt;&gt;"",D777&lt;&gt;"",H777&gt;0),"✓","⚠ missing")</f>
        <v/>
      </c>
      <c r="L777" s="44" t="n"/>
      <c r="M777" s="45" t="n"/>
      <c r="N777" s="39" t="n"/>
      <c r="O777" s="46" t="n"/>
    </row>
    <row r="778">
      <c r="H778" s="47">
        <f>IF(AND(E778&lt;&gt;"",F778&lt;&gt;""), F778-E778, IF(G778&lt;&gt;"", G778, 0))</f>
        <v/>
      </c>
      <c r="I778" s="48">
        <f>H778*Settings!$B$5</f>
        <v/>
      </c>
      <c r="K778">
        <f>IF(AND(A778&lt;&gt;"",C778&lt;&gt;"",D778&lt;&gt;"",H778&gt;0),"✓","⚠ missing")</f>
        <v/>
      </c>
      <c r="L778" s="44" t="n"/>
      <c r="M778" s="45" t="n"/>
      <c r="N778" s="39" t="n"/>
      <c r="O778" s="46" t="n"/>
    </row>
    <row r="779">
      <c r="H779" s="47">
        <f>IF(AND(E779&lt;&gt;"",F779&lt;&gt;""), F779-E779, IF(G779&lt;&gt;"", G779, 0))</f>
        <v/>
      </c>
      <c r="I779" s="48">
        <f>H779*Settings!$B$5</f>
        <v/>
      </c>
      <c r="K779">
        <f>IF(AND(A779&lt;&gt;"",C779&lt;&gt;"",D779&lt;&gt;"",H779&gt;0),"✓","⚠ missing")</f>
        <v/>
      </c>
      <c r="L779" s="44" t="n"/>
      <c r="M779" s="45" t="n"/>
      <c r="N779" s="39" t="n"/>
      <c r="O779" s="46" t="n"/>
    </row>
    <row r="780">
      <c r="H780" s="47">
        <f>IF(AND(E780&lt;&gt;"",F780&lt;&gt;""), F780-E780, IF(G780&lt;&gt;"", G780, 0))</f>
        <v/>
      </c>
      <c r="I780" s="48">
        <f>H780*Settings!$B$5</f>
        <v/>
      </c>
      <c r="K780">
        <f>IF(AND(A780&lt;&gt;"",C780&lt;&gt;"",D780&lt;&gt;"",H780&gt;0),"✓","⚠ missing")</f>
        <v/>
      </c>
      <c r="L780" s="44" t="n"/>
      <c r="M780" s="45" t="n"/>
      <c r="N780" s="39" t="n"/>
      <c r="O780" s="46" t="n"/>
    </row>
    <row r="781">
      <c r="H781" s="47">
        <f>IF(AND(E781&lt;&gt;"",F781&lt;&gt;""), F781-E781, IF(G781&lt;&gt;"", G781, 0))</f>
        <v/>
      </c>
      <c r="I781" s="48">
        <f>H781*Settings!$B$5</f>
        <v/>
      </c>
      <c r="K781">
        <f>IF(AND(A781&lt;&gt;"",C781&lt;&gt;"",D781&lt;&gt;"",H781&gt;0),"✓","⚠ missing")</f>
        <v/>
      </c>
      <c r="L781" s="44" t="n"/>
      <c r="M781" s="45" t="n"/>
      <c r="N781" s="39" t="n"/>
      <c r="O781" s="46" t="n"/>
    </row>
    <row r="782">
      <c r="H782" s="47">
        <f>IF(AND(E782&lt;&gt;"",F782&lt;&gt;""), F782-E782, IF(G782&lt;&gt;"", G782, 0))</f>
        <v/>
      </c>
      <c r="I782" s="48">
        <f>H782*Settings!$B$5</f>
        <v/>
      </c>
      <c r="K782">
        <f>IF(AND(A782&lt;&gt;"",C782&lt;&gt;"",D782&lt;&gt;"",H782&gt;0),"✓","⚠ missing")</f>
        <v/>
      </c>
      <c r="L782" s="44" t="n"/>
      <c r="M782" s="45" t="n"/>
      <c r="N782" s="39" t="n"/>
      <c r="O782" s="46" t="n"/>
    </row>
    <row r="783">
      <c r="H783" s="47">
        <f>IF(AND(E783&lt;&gt;"",F783&lt;&gt;""), F783-E783, IF(G783&lt;&gt;"", G783, 0))</f>
        <v/>
      </c>
      <c r="I783" s="48">
        <f>H783*Settings!$B$5</f>
        <v/>
      </c>
      <c r="K783">
        <f>IF(AND(A783&lt;&gt;"",C783&lt;&gt;"",D783&lt;&gt;"",H783&gt;0),"✓","⚠ missing")</f>
        <v/>
      </c>
      <c r="L783" s="44" t="n"/>
      <c r="M783" s="45" t="n"/>
      <c r="N783" s="39" t="n"/>
      <c r="O783" s="46" t="n"/>
    </row>
    <row r="784">
      <c r="H784" s="47">
        <f>IF(AND(E784&lt;&gt;"",F784&lt;&gt;""), F784-E784, IF(G784&lt;&gt;"", G784, 0))</f>
        <v/>
      </c>
      <c r="I784" s="48">
        <f>H784*Settings!$B$5</f>
        <v/>
      </c>
      <c r="K784">
        <f>IF(AND(A784&lt;&gt;"",C784&lt;&gt;"",D784&lt;&gt;"",H784&gt;0),"✓","⚠ missing")</f>
        <v/>
      </c>
      <c r="L784" s="44" t="n"/>
      <c r="M784" s="45" t="n"/>
      <c r="N784" s="39" t="n"/>
      <c r="O784" s="46" t="n"/>
    </row>
    <row r="785">
      <c r="H785" s="47">
        <f>IF(AND(E785&lt;&gt;"",F785&lt;&gt;""), F785-E785, IF(G785&lt;&gt;"", G785, 0))</f>
        <v/>
      </c>
      <c r="I785" s="48">
        <f>H785*Settings!$B$5</f>
        <v/>
      </c>
      <c r="K785">
        <f>IF(AND(A785&lt;&gt;"",C785&lt;&gt;"",D785&lt;&gt;"",H785&gt;0),"✓","⚠ missing")</f>
        <v/>
      </c>
      <c r="L785" s="44" t="n"/>
      <c r="M785" s="45" t="n"/>
      <c r="N785" s="39" t="n"/>
      <c r="O785" s="46" t="n"/>
    </row>
    <row r="786">
      <c r="H786" s="47">
        <f>IF(AND(E786&lt;&gt;"",F786&lt;&gt;""), F786-E786, IF(G786&lt;&gt;"", G786, 0))</f>
        <v/>
      </c>
      <c r="I786" s="48">
        <f>H786*Settings!$B$5</f>
        <v/>
      </c>
      <c r="K786">
        <f>IF(AND(A786&lt;&gt;"",C786&lt;&gt;"",D786&lt;&gt;"",H786&gt;0),"✓","⚠ missing")</f>
        <v/>
      </c>
      <c r="L786" s="44" t="n"/>
      <c r="M786" s="45" t="n"/>
      <c r="N786" s="39" t="n"/>
      <c r="O786" s="46" t="n"/>
    </row>
    <row r="787">
      <c r="H787" s="47">
        <f>IF(AND(E787&lt;&gt;"",F787&lt;&gt;""), F787-E787, IF(G787&lt;&gt;"", G787, 0))</f>
        <v/>
      </c>
      <c r="I787" s="48">
        <f>H787*Settings!$B$5</f>
        <v/>
      </c>
      <c r="K787">
        <f>IF(AND(A787&lt;&gt;"",C787&lt;&gt;"",D787&lt;&gt;"",H787&gt;0),"✓","⚠ missing")</f>
        <v/>
      </c>
      <c r="L787" s="44" t="n"/>
      <c r="M787" s="45" t="n"/>
      <c r="N787" s="39" t="n"/>
      <c r="O787" s="46" t="n"/>
    </row>
    <row r="788">
      <c r="H788" s="47">
        <f>IF(AND(E788&lt;&gt;"",F788&lt;&gt;""), F788-E788, IF(G788&lt;&gt;"", G788, 0))</f>
        <v/>
      </c>
      <c r="I788" s="48">
        <f>H788*Settings!$B$5</f>
        <v/>
      </c>
      <c r="K788">
        <f>IF(AND(A788&lt;&gt;"",C788&lt;&gt;"",D788&lt;&gt;"",H788&gt;0),"✓","⚠ missing")</f>
        <v/>
      </c>
      <c r="L788" s="44" t="n"/>
      <c r="M788" s="45" t="n"/>
      <c r="N788" s="39" t="n"/>
      <c r="O788" s="46" t="n"/>
    </row>
    <row r="789">
      <c r="H789" s="47">
        <f>IF(AND(E789&lt;&gt;"",F789&lt;&gt;""), F789-E789, IF(G789&lt;&gt;"", G789, 0))</f>
        <v/>
      </c>
      <c r="I789" s="48">
        <f>H789*Settings!$B$5</f>
        <v/>
      </c>
      <c r="K789">
        <f>IF(AND(A789&lt;&gt;"",C789&lt;&gt;"",D789&lt;&gt;"",H789&gt;0),"✓","⚠ missing")</f>
        <v/>
      </c>
      <c r="L789" s="44" t="n"/>
      <c r="M789" s="45" t="n"/>
      <c r="N789" s="39" t="n"/>
      <c r="O789" s="46" t="n"/>
    </row>
    <row r="790">
      <c r="H790" s="47">
        <f>IF(AND(E790&lt;&gt;"",F790&lt;&gt;""), F790-E790, IF(G790&lt;&gt;"", G790, 0))</f>
        <v/>
      </c>
      <c r="I790" s="48">
        <f>H790*Settings!$B$5</f>
        <v/>
      </c>
      <c r="K790">
        <f>IF(AND(A790&lt;&gt;"",C790&lt;&gt;"",D790&lt;&gt;"",H790&gt;0),"✓","⚠ missing")</f>
        <v/>
      </c>
      <c r="L790" s="44" t="n"/>
      <c r="M790" s="45" t="n"/>
      <c r="N790" s="39" t="n"/>
      <c r="O790" s="46" t="n"/>
    </row>
    <row r="791">
      <c r="H791" s="47">
        <f>IF(AND(E791&lt;&gt;"",F791&lt;&gt;""), F791-E791, IF(G791&lt;&gt;"", G791, 0))</f>
        <v/>
      </c>
      <c r="I791" s="48">
        <f>H791*Settings!$B$5</f>
        <v/>
      </c>
      <c r="K791">
        <f>IF(AND(A791&lt;&gt;"",C791&lt;&gt;"",D791&lt;&gt;"",H791&gt;0),"✓","⚠ missing")</f>
        <v/>
      </c>
      <c r="L791" s="44" t="n"/>
      <c r="M791" s="45" t="n"/>
      <c r="N791" s="39" t="n"/>
      <c r="O791" s="46" t="n"/>
    </row>
    <row r="792">
      <c r="H792" s="47">
        <f>IF(AND(E792&lt;&gt;"",F792&lt;&gt;""), F792-E792, IF(G792&lt;&gt;"", G792, 0))</f>
        <v/>
      </c>
      <c r="I792" s="48">
        <f>H792*Settings!$B$5</f>
        <v/>
      </c>
      <c r="K792">
        <f>IF(AND(A792&lt;&gt;"",C792&lt;&gt;"",D792&lt;&gt;"",H792&gt;0),"✓","⚠ missing")</f>
        <v/>
      </c>
      <c r="L792" s="44" t="n"/>
      <c r="M792" s="45" t="n"/>
      <c r="N792" s="39" t="n"/>
      <c r="O792" s="46" t="n"/>
    </row>
    <row r="793">
      <c r="H793" s="47">
        <f>IF(AND(E793&lt;&gt;"",F793&lt;&gt;""), F793-E793, IF(G793&lt;&gt;"", G793, 0))</f>
        <v/>
      </c>
      <c r="I793" s="48">
        <f>H793*Settings!$B$5</f>
        <v/>
      </c>
      <c r="K793">
        <f>IF(AND(A793&lt;&gt;"",C793&lt;&gt;"",D793&lt;&gt;"",H793&gt;0),"✓","⚠ missing")</f>
        <v/>
      </c>
      <c r="L793" s="44" t="n"/>
      <c r="M793" s="45" t="n"/>
      <c r="N793" s="39" t="n"/>
      <c r="O793" s="46" t="n"/>
    </row>
    <row r="794">
      <c r="H794" s="47">
        <f>IF(AND(E794&lt;&gt;"",F794&lt;&gt;""), F794-E794, IF(G794&lt;&gt;"", G794, 0))</f>
        <v/>
      </c>
      <c r="I794" s="48">
        <f>H794*Settings!$B$5</f>
        <v/>
      </c>
      <c r="K794">
        <f>IF(AND(A794&lt;&gt;"",C794&lt;&gt;"",D794&lt;&gt;"",H794&gt;0),"✓","⚠ missing")</f>
        <v/>
      </c>
      <c r="L794" s="44" t="n"/>
      <c r="M794" s="45" t="n"/>
      <c r="N794" s="39" t="n"/>
      <c r="O794" s="46" t="n"/>
    </row>
    <row r="795">
      <c r="H795" s="47">
        <f>IF(AND(E795&lt;&gt;"",F795&lt;&gt;""), F795-E795, IF(G795&lt;&gt;"", G795, 0))</f>
        <v/>
      </c>
      <c r="I795" s="48">
        <f>H795*Settings!$B$5</f>
        <v/>
      </c>
      <c r="K795">
        <f>IF(AND(A795&lt;&gt;"",C795&lt;&gt;"",D795&lt;&gt;"",H795&gt;0),"✓","⚠ missing")</f>
        <v/>
      </c>
      <c r="L795" s="44" t="n"/>
      <c r="M795" s="45" t="n"/>
      <c r="N795" s="39" t="n"/>
      <c r="O795" s="46" t="n"/>
    </row>
    <row r="796">
      <c r="H796" s="47">
        <f>IF(AND(E796&lt;&gt;"",F796&lt;&gt;""), F796-E796, IF(G796&lt;&gt;"", G796, 0))</f>
        <v/>
      </c>
      <c r="I796" s="48">
        <f>H796*Settings!$B$5</f>
        <v/>
      </c>
      <c r="K796">
        <f>IF(AND(A796&lt;&gt;"",C796&lt;&gt;"",D796&lt;&gt;"",H796&gt;0),"✓","⚠ missing")</f>
        <v/>
      </c>
      <c r="L796" s="44" t="n"/>
      <c r="M796" s="45" t="n"/>
      <c r="N796" s="39" t="n"/>
      <c r="O796" s="46" t="n"/>
    </row>
    <row r="797">
      <c r="H797" s="47">
        <f>IF(AND(E797&lt;&gt;"",F797&lt;&gt;""), F797-E797, IF(G797&lt;&gt;"", G797, 0))</f>
        <v/>
      </c>
      <c r="I797" s="48">
        <f>H797*Settings!$B$5</f>
        <v/>
      </c>
      <c r="K797">
        <f>IF(AND(A797&lt;&gt;"",C797&lt;&gt;"",D797&lt;&gt;"",H797&gt;0),"✓","⚠ missing")</f>
        <v/>
      </c>
      <c r="L797" s="44" t="n"/>
      <c r="M797" s="45" t="n"/>
      <c r="N797" s="39" t="n"/>
      <c r="O797" s="46" t="n"/>
    </row>
    <row r="798">
      <c r="H798" s="47">
        <f>IF(AND(E798&lt;&gt;"",F798&lt;&gt;""), F798-E798, IF(G798&lt;&gt;"", G798, 0))</f>
        <v/>
      </c>
      <c r="I798" s="48">
        <f>H798*Settings!$B$5</f>
        <v/>
      </c>
      <c r="K798">
        <f>IF(AND(A798&lt;&gt;"",C798&lt;&gt;"",D798&lt;&gt;"",H798&gt;0),"✓","⚠ missing")</f>
        <v/>
      </c>
      <c r="L798" s="44" t="n"/>
      <c r="M798" s="45" t="n"/>
      <c r="N798" s="39" t="n"/>
      <c r="O798" s="46" t="n"/>
    </row>
    <row r="799">
      <c r="H799" s="47">
        <f>IF(AND(E799&lt;&gt;"",F799&lt;&gt;""), F799-E799, IF(G799&lt;&gt;"", G799, 0))</f>
        <v/>
      </c>
      <c r="I799" s="48">
        <f>H799*Settings!$B$5</f>
        <v/>
      </c>
      <c r="K799">
        <f>IF(AND(A799&lt;&gt;"",C799&lt;&gt;"",D799&lt;&gt;"",H799&gt;0),"✓","⚠ missing")</f>
        <v/>
      </c>
      <c r="L799" s="44" t="n"/>
      <c r="M799" s="45" t="n"/>
      <c r="N799" s="39" t="n"/>
      <c r="O799" s="46" t="n"/>
    </row>
    <row r="800">
      <c r="H800" s="47">
        <f>IF(AND(E800&lt;&gt;"",F800&lt;&gt;""), F800-E800, IF(G800&lt;&gt;"", G800, 0))</f>
        <v/>
      </c>
      <c r="I800" s="48">
        <f>H800*Settings!$B$5</f>
        <v/>
      </c>
      <c r="K800">
        <f>IF(AND(A800&lt;&gt;"",C800&lt;&gt;"",D800&lt;&gt;"",H800&gt;0),"✓","⚠ missing")</f>
        <v/>
      </c>
      <c r="L800" s="44" t="n"/>
      <c r="M800" s="45" t="n"/>
      <c r="N800" s="39" t="n"/>
      <c r="O800" s="46" t="n"/>
    </row>
    <row r="801">
      <c r="H801" s="47">
        <f>IF(AND(E801&lt;&gt;"",F801&lt;&gt;""), F801-E801, IF(G801&lt;&gt;"", G801, 0))</f>
        <v/>
      </c>
      <c r="I801" s="48">
        <f>H801*Settings!$B$5</f>
        <v/>
      </c>
      <c r="K801">
        <f>IF(AND(A801&lt;&gt;"",C801&lt;&gt;"",D801&lt;&gt;"",H801&gt;0),"✓","⚠ missing")</f>
        <v/>
      </c>
      <c r="L801" s="44" t="n"/>
      <c r="M801" s="45" t="n"/>
      <c r="N801" s="39" t="n"/>
      <c r="O801" s="46" t="n"/>
    </row>
    <row r="802">
      <c r="H802" s="47">
        <f>IF(AND(E802&lt;&gt;"",F802&lt;&gt;""), F802-E802, IF(G802&lt;&gt;"", G802, 0))</f>
        <v/>
      </c>
      <c r="I802" s="48">
        <f>H802*Settings!$B$5</f>
        <v/>
      </c>
      <c r="K802">
        <f>IF(AND(A802&lt;&gt;"",C802&lt;&gt;"",D802&lt;&gt;"",H802&gt;0),"✓","⚠ missing")</f>
        <v/>
      </c>
      <c r="L802" s="44" t="n"/>
      <c r="M802" s="45" t="n"/>
      <c r="N802" s="39" t="n"/>
      <c r="O802" s="46" t="n"/>
    </row>
    <row r="803">
      <c r="H803" s="47">
        <f>IF(AND(E803&lt;&gt;"",F803&lt;&gt;""), F803-E803, IF(G803&lt;&gt;"", G803, 0))</f>
        <v/>
      </c>
      <c r="I803" s="48">
        <f>H803*Settings!$B$5</f>
        <v/>
      </c>
      <c r="K803">
        <f>IF(AND(A803&lt;&gt;"",C803&lt;&gt;"",D803&lt;&gt;"",H803&gt;0),"✓","⚠ missing")</f>
        <v/>
      </c>
      <c r="L803" s="44" t="n"/>
      <c r="M803" s="45" t="n"/>
      <c r="N803" s="39" t="n"/>
      <c r="O803" s="46" t="n"/>
    </row>
    <row r="804">
      <c r="H804" s="47">
        <f>IF(AND(E804&lt;&gt;"",F804&lt;&gt;""), F804-E804, IF(G804&lt;&gt;"", G804, 0))</f>
        <v/>
      </c>
      <c r="I804" s="48">
        <f>H804*Settings!$B$5</f>
        <v/>
      </c>
      <c r="K804">
        <f>IF(AND(A804&lt;&gt;"",C804&lt;&gt;"",D804&lt;&gt;"",H804&gt;0),"✓","⚠ missing")</f>
        <v/>
      </c>
      <c r="L804" s="44" t="n"/>
      <c r="M804" s="45" t="n"/>
      <c r="N804" s="39" t="n"/>
      <c r="O804" s="46" t="n"/>
    </row>
    <row r="805">
      <c r="H805" s="47">
        <f>IF(AND(E805&lt;&gt;"",F805&lt;&gt;""), F805-E805, IF(G805&lt;&gt;"", G805, 0))</f>
        <v/>
      </c>
      <c r="I805" s="48">
        <f>H805*Settings!$B$5</f>
        <v/>
      </c>
      <c r="K805">
        <f>IF(AND(A805&lt;&gt;"",C805&lt;&gt;"",D805&lt;&gt;"",H805&gt;0),"✓","⚠ missing")</f>
        <v/>
      </c>
      <c r="L805" s="44" t="n"/>
      <c r="M805" s="45" t="n"/>
      <c r="N805" s="39" t="n"/>
      <c r="O805" s="46" t="n"/>
    </row>
    <row r="806">
      <c r="H806" s="47">
        <f>IF(AND(E806&lt;&gt;"",F806&lt;&gt;""), F806-E806, IF(G806&lt;&gt;"", G806, 0))</f>
        <v/>
      </c>
      <c r="I806" s="48">
        <f>H806*Settings!$B$5</f>
        <v/>
      </c>
      <c r="K806">
        <f>IF(AND(A806&lt;&gt;"",C806&lt;&gt;"",D806&lt;&gt;"",H806&gt;0),"✓","⚠ missing")</f>
        <v/>
      </c>
      <c r="L806" s="44" t="n"/>
      <c r="M806" s="45" t="n"/>
      <c r="N806" s="39" t="n"/>
      <c r="O806" s="46" t="n"/>
    </row>
    <row r="807">
      <c r="H807" s="47">
        <f>IF(AND(E807&lt;&gt;"",F807&lt;&gt;""), F807-E807, IF(G807&lt;&gt;"", G807, 0))</f>
        <v/>
      </c>
      <c r="I807" s="48">
        <f>H807*Settings!$B$5</f>
        <v/>
      </c>
      <c r="K807">
        <f>IF(AND(A807&lt;&gt;"",C807&lt;&gt;"",D807&lt;&gt;"",H807&gt;0),"✓","⚠ missing")</f>
        <v/>
      </c>
      <c r="L807" s="44" t="n"/>
      <c r="M807" s="45" t="n"/>
      <c r="N807" s="39" t="n"/>
      <c r="O807" s="46" t="n"/>
    </row>
    <row r="808">
      <c r="H808" s="47">
        <f>IF(AND(E808&lt;&gt;"",F808&lt;&gt;""), F808-E808, IF(G808&lt;&gt;"", G808, 0))</f>
        <v/>
      </c>
      <c r="I808" s="48">
        <f>H808*Settings!$B$5</f>
        <v/>
      </c>
      <c r="K808">
        <f>IF(AND(A808&lt;&gt;"",C808&lt;&gt;"",D808&lt;&gt;"",H808&gt;0),"✓","⚠ missing")</f>
        <v/>
      </c>
      <c r="L808" s="44" t="n"/>
      <c r="M808" s="45" t="n"/>
      <c r="N808" s="39" t="n"/>
      <c r="O808" s="46" t="n"/>
    </row>
    <row r="809">
      <c r="H809" s="47">
        <f>IF(AND(E809&lt;&gt;"",F809&lt;&gt;""), F809-E809, IF(G809&lt;&gt;"", G809, 0))</f>
        <v/>
      </c>
      <c r="I809" s="48">
        <f>H809*Settings!$B$5</f>
        <v/>
      </c>
      <c r="K809">
        <f>IF(AND(A809&lt;&gt;"",C809&lt;&gt;"",D809&lt;&gt;"",H809&gt;0),"✓","⚠ missing")</f>
        <v/>
      </c>
      <c r="L809" s="44" t="n"/>
      <c r="M809" s="45" t="n"/>
      <c r="N809" s="39" t="n"/>
      <c r="O809" s="46" t="n"/>
    </row>
    <row r="810">
      <c r="H810" s="47">
        <f>IF(AND(E810&lt;&gt;"",F810&lt;&gt;""), F810-E810, IF(G810&lt;&gt;"", G810, 0))</f>
        <v/>
      </c>
      <c r="I810" s="48">
        <f>H810*Settings!$B$5</f>
        <v/>
      </c>
      <c r="K810">
        <f>IF(AND(A810&lt;&gt;"",C810&lt;&gt;"",D810&lt;&gt;"",H810&gt;0),"✓","⚠ missing")</f>
        <v/>
      </c>
      <c r="L810" s="44" t="n"/>
      <c r="M810" s="45" t="n"/>
      <c r="N810" s="39" t="n"/>
      <c r="O810" s="46" t="n"/>
    </row>
    <row r="811">
      <c r="H811" s="47">
        <f>IF(AND(E811&lt;&gt;"",F811&lt;&gt;""), F811-E811, IF(G811&lt;&gt;"", G811, 0))</f>
        <v/>
      </c>
      <c r="I811" s="48">
        <f>H811*Settings!$B$5</f>
        <v/>
      </c>
      <c r="K811">
        <f>IF(AND(A811&lt;&gt;"",C811&lt;&gt;"",D811&lt;&gt;"",H811&gt;0),"✓","⚠ missing")</f>
        <v/>
      </c>
      <c r="L811" s="44" t="n"/>
      <c r="M811" s="45" t="n"/>
      <c r="N811" s="39" t="n"/>
      <c r="O811" s="46" t="n"/>
    </row>
    <row r="812">
      <c r="H812" s="47">
        <f>IF(AND(E812&lt;&gt;"",F812&lt;&gt;""), F812-E812, IF(G812&lt;&gt;"", G812, 0))</f>
        <v/>
      </c>
      <c r="I812" s="48">
        <f>H812*Settings!$B$5</f>
        <v/>
      </c>
      <c r="K812">
        <f>IF(AND(A812&lt;&gt;"",C812&lt;&gt;"",D812&lt;&gt;"",H812&gt;0),"✓","⚠ missing")</f>
        <v/>
      </c>
      <c r="L812" s="44" t="n"/>
      <c r="M812" s="45" t="n"/>
      <c r="N812" s="39" t="n"/>
      <c r="O812" s="46" t="n"/>
    </row>
    <row r="813">
      <c r="H813" s="47">
        <f>IF(AND(E813&lt;&gt;"",F813&lt;&gt;""), F813-E813, IF(G813&lt;&gt;"", G813, 0))</f>
        <v/>
      </c>
      <c r="I813" s="48">
        <f>H813*Settings!$B$5</f>
        <v/>
      </c>
      <c r="K813">
        <f>IF(AND(A813&lt;&gt;"",C813&lt;&gt;"",D813&lt;&gt;"",H813&gt;0),"✓","⚠ missing")</f>
        <v/>
      </c>
      <c r="L813" s="44" t="n"/>
      <c r="M813" s="45" t="n"/>
      <c r="N813" s="39" t="n"/>
      <c r="O813" s="46" t="n"/>
    </row>
    <row r="814">
      <c r="H814" s="47">
        <f>IF(AND(E814&lt;&gt;"",F814&lt;&gt;""), F814-E814, IF(G814&lt;&gt;"", G814, 0))</f>
        <v/>
      </c>
      <c r="I814" s="48">
        <f>H814*Settings!$B$5</f>
        <v/>
      </c>
      <c r="K814">
        <f>IF(AND(A814&lt;&gt;"",C814&lt;&gt;"",D814&lt;&gt;"",H814&gt;0),"✓","⚠ missing")</f>
        <v/>
      </c>
      <c r="L814" s="44" t="n"/>
      <c r="M814" s="45" t="n"/>
      <c r="N814" s="39" t="n"/>
      <c r="O814" s="46" t="n"/>
    </row>
    <row r="815">
      <c r="H815" s="47">
        <f>IF(AND(E815&lt;&gt;"",F815&lt;&gt;""), F815-E815, IF(G815&lt;&gt;"", G815, 0))</f>
        <v/>
      </c>
      <c r="I815" s="48">
        <f>H815*Settings!$B$5</f>
        <v/>
      </c>
      <c r="K815">
        <f>IF(AND(A815&lt;&gt;"",C815&lt;&gt;"",D815&lt;&gt;"",H815&gt;0),"✓","⚠ missing")</f>
        <v/>
      </c>
      <c r="L815" s="44" t="n"/>
      <c r="M815" s="45" t="n"/>
      <c r="N815" s="39" t="n"/>
      <c r="O815" s="46" t="n"/>
    </row>
    <row r="816">
      <c r="H816" s="47">
        <f>IF(AND(E816&lt;&gt;"",F816&lt;&gt;""), F816-E816, IF(G816&lt;&gt;"", G816, 0))</f>
        <v/>
      </c>
      <c r="I816" s="48">
        <f>H816*Settings!$B$5</f>
        <v/>
      </c>
      <c r="K816">
        <f>IF(AND(A816&lt;&gt;"",C816&lt;&gt;"",D816&lt;&gt;"",H816&gt;0),"✓","⚠ missing")</f>
        <v/>
      </c>
      <c r="L816" s="44" t="n"/>
      <c r="M816" s="45" t="n"/>
      <c r="N816" s="39" t="n"/>
      <c r="O816" s="46" t="n"/>
    </row>
    <row r="817">
      <c r="H817" s="47">
        <f>IF(AND(E817&lt;&gt;"",F817&lt;&gt;""), F817-E817, IF(G817&lt;&gt;"", G817, 0))</f>
        <v/>
      </c>
      <c r="I817" s="48">
        <f>H817*Settings!$B$5</f>
        <v/>
      </c>
      <c r="K817">
        <f>IF(AND(A817&lt;&gt;"",C817&lt;&gt;"",D817&lt;&gt;"",H817&gt;0),"✓","⚠ missing")</f>
        <v/>
      </c>
      <c r="L817" s="44" t="n"/>
      <c r="M817" s="45" t="n"/>
      <c r="N817" s="39" t="n"/>
      <c r="O817" s="46" t="n"/>
    </row>
    <row r="818">
      <c r="H818" s="47">
        <f>IF(AND(E818&lt;&gt;"",F818&lt;&gt;""), F818-E818, IF(G818&lt;&gt;"", G818, 0))</f>
        <v/>
      </c>
      <c r="I818" s="48">
        <f>H818*Settings!$B$5</f>
        <v/>
      </c>
      <c r="K818">
        <f>IF(AND(A818&lt;&gt;"",C818&lt;&gt;"",D818&lt;&gt;"",H818&gt;0),"✓","⚠ missing")</f>
        <v/>
      </c>
      <c r="L818" s="44" t="n"/>
      <c r="M818" s="45" t="n"/>
      <c r="N818" s="39" t="n"/>
      <c r="O818" s="46" t="n"/>
    </row>
    <row r="819">
      <c r="H819" s="47">
        <f>IF(AND(E819&lt;&gt;"",F819&lt;&gt;""), F819-E819, IF(G819&lt;&gt;"", G819, 0))</f>
        <v/>
      </c>
      <c r="I819" s="48">
        <f>H819*Settings!$B$5</f>
        <v/>
      </c>
      <c r="K819">
        <f>IF(AND(A819&lt;&gt;"",C819&lt;&gt;"",D819&lt;&gt;"",H819&gt;0),"✓","⚠ missing")</f>
        <v/>
      </c>
      <c r="L819" s="44" t="n"/>
      <c r="M819" s="45" t="n"/>
      <c r="N819" s="39" t="n"/>
      <c r="O819" s="46" t="n"/>
    </row>
    <row r="820">
      <c r="H820" s="47">
        <f>IF(AND(E820&lt;&gt;"",F820&lt;&gt;""), F820-E820, IF(G820&lt;&gt;"", G820, 0))</f>
        <v/>
      </c>
      <c r="I820" s="48">
        <f>H820*Settings!$B$5</f>
        <v/>
      </c>
      <c r="K820">
        <f>IF(AND(A820&lt;&gt;"",C820&lt;&gt;"",D820&lt;&gt;"",H820&gt;0),"✓","⚠ missing")</f>
        <v/>
      </c>
      <c r="L820" s="44" t="n"/>
      <c r="M820" s="45" t="n"/>
      <c r="N820" s="39" t="n"/>
      <c r="O820" s="46" t="n"/>
    </row>
    <row r="821">
      <c r="H821" s="47">
        <f>IF(AND(E821&lt;&gt;"",F821&lt;&gt;""), F821-E821, IF(G821&lt;&gt;"", G821, 0))</f>
        <v/>
      </c>
      <c r="I821" s="48">
        <f>H821*Settings!$B$5</f>
        <v/>
      </c>
      <c r="K821">
        <f>IF(AND(A821&lt;&gt;"",C821&lt;&gt;"",D821&lt;&gt;"",H821&gt;0),"✓","⚠ missing")</f>
        <v/>
      </c>
      <c r="L821" s="44" t="n"/>
      <c r="M821" s="45" t="n"/>
      <c r="N821" s="39" t="n"/>
      <c r="O821" s="46" t="n"/>
    </row>
    <row r="822">
      <c r="H822" s="47">
        <f>IF(AND(E822&lt;&gt;"",F822&lt;&gt;""), F822-E822, IF(G822&lt;&gt;"", G822, 0))</f>
        <v/>
      </c>
      <c r="I822" s="48">
        <f>H822*Settings!$B$5</f>
        <v/>
      </c>
      <c r="K822">
        <f>IF(AND(A822&lt;&gt;"",C822&lt;&gt;"",D822&lt;&gt;"",H822&gt;0),"✓","⚠ missing")</f>
        <v/>
      </c>
      <c r="L822" s="44" t="n"/>
      <c r="M822" s="45" t="n"/>
      <c r="N822" s="39" t="n"/>
      <c r="O822" s="46" t="n"/>
    </row>
    <row r="823">
      <c r="H823" s="47">
        <f>IF(AND(E823&lt;&gt;"",F823&lt;&gt;""), F823-E823, IF(G823&lt;&gt;"", G823, 0))</f>
        <v/>
      </c>
      <c r="I823" s="48">
        <f>H823*Settings!$B$5</f>
        <v/>
      </c>
      <c r="K823">
        <f>IF(AND(A823&lt;&gt;"",C823&lt;&gt;"",D823&lt;&gt;"",H823&gt;0),"✓","⚠ missing")</f>
        <v/>
      </c>
      <c r="L823" s="44" t="n"/>
      <c r="M823" s="45" t="n"/>
      <c r="N823" s="39" t="n"/>
      <c r="O823" s="46" t="n"/>
    </row>
    <row r="824">
      <c r="H824" s="47">
        <f>IF(AND(E824&lt;&gt;"",F824&lt;&gt;""), F824-E824, IF(G824&lt;&gt;"", G824, 0))</f>
        <v/>
      </c>
      <c r="I824" s="48">
        <f>H824*Settings!$B$5</f>
        <v/>
      </c>
      <c r="K824">
        <f>IF(AND(A824&lt;&gt;"",C824&lt;&gt;"",D824&lt;&gt;"",H824&gt;0),"✓","⚠ missing")</f>
        <v/>
      </c>
      <c r="L824" s="44" t="n"/>
      <c r="M824" s="45" t="n"/>
      <c r="N824" s="39" t="n"/>
      <c r="O824" s="46" t="n"/>
    </row>
    <row r="825">
      <c r="H825" s="47">
        <f>IF(AND(E825&lt;&gt;"",F825&lt;&gt;""), F825-E825, IF(G825&lt;&gt;"", G825, 0))</f>
        <v/>
      </c>
      <c r="I825" s="48">
        <f>H825*Settings!$B$5</f>
        <v/>
      </c>
      <c r="K825">
        <f>IF(AND(A825&lt;&gt;"",C825&lt;&gt;"",D825&lt;&gt;"",H825&gt;0),"✓","⚠ missing")</f>
        <v/>
      </c>
      <c r="L825" s="44" t="n"/>
      <c r="M825" s="45" t="n"/>
      <c r="N825" s="39" t="n"/>
      <c r="O825" s="46" t="n"/>
    </row>
    <row r="826">
      <c r="H826" s="47">
        <f>IF(AND(E826&lt;&gt;"",F826&lt;&gt;""), F826-E826, IF(G826&lt;&gt;"", G826, 0))</f>
        <v/>
      </c>
      <c r="I826" s="48">
        <f>H826*Settings!$B$5</f>
        <v/>
      </c>
      <c r="K826">
        <f>IF(AND(A826&lt;&gt;"",C826&lt;&gt;"",D826&lt;&gt;"",H826&gt;0),"✓","⚠ missing")</f>
        <v/>
      </c>
      <c r="L826" s="44" t="n"/>
      <c r="M826" s="45" t="n"/>
      <c r="N826" s="39" t="n"/>
      <c r="O826" s="46" t="n"/>
    </row>
    <row r="827">
      <c r="H827" s="47">
        <f>IF(AND(E827&lt;&gt;"",F827&lt;&gt;""), F827-E827, IF(G827&lt;&gt;"", G827, 0))</f>
        <v/>
      </c>
      <c r="I827" s="48">
        <f>H827*Settings!$B$5</f>
        <v/>
      </c>
      <c r="K827">
        <f>IF(AND(A827&lt;&gt;"",C827&lt;&gt;"",D827&lt;&gt;"",H827&gt;0),"✓","⚠ missing")</f>
        <v/>
      </c>
      <c r="L827" s="44" t="n"/>
      <c r="M827" s="45" t="n"/>
      <c r="N827" s="39" t="n"/>
      <c r="O827" s="46" t="n"/>
    </row>
    <row r="828">
      <c r="H828" s="47">
        <f>IF(AND(E828&lt;&gt;"",F828&lt;&gt;""), F828-E828, IF(G828&lt;&gt;"", G828, 0))</f>
        <v/>
      </c>
      <c r="I828" s="48">
        <f>H828*Settings!$B$5</f>
        <v/>
      </c>
      <c r="K828">
        <f>IF(AND(A828&lt;&gt;"",C828&lt;&gt;"",D828&lt;&gt;"",H828&gt;0),"✓","⚠ missing")</f>
        <v/>
      </c>
      <c r="L828" s="44" t="n"/>
      <c r="M828" s="45" t="n"/>
      <c r="N828" s="39" t="n"/>
      <c r="O828" s="46" t="n"/>
    </row>
    <row r="829">
      <c r="H829" s="47">
        <f>IF(AND(E829&lt;&gt;"",F829&lt;&gt;""), F829-E829, IF(G829&lt;&gt;"", G829, 0))</f>
        <v/>
      </c>
      <c r="I829" s="48">
        <f>H829*Settings!$B$5</f>
        <v/>
      </c>
      <c r="K829">
        <f>IF(AND(A829&lt;&gt;"",C829&lt;&gt;"",D829&lt;&gt;"",H829&gt;0),"✓","⚠ missing")</f>
        <v/>
      </c>
      <c r="L829" s="44" t="n"/>
      <c r="M829" s="45" t="n"/>
      <c r="N829" s="39" t="n"/>
      <c r="O829" s="46" t="n"/>
    </row>
    <row r="830">
      <c r="H830" s="47">
        <f>IF(AND(E830&lt;&gt;"",F830&lt;&gt;""), F830-E830, IF(G830&lt;&gt;"", G830, 0))</f>
        <v/>
      </c>
      <c r="I830" s="48">
        <f>H830*Settings!$B$5</f>
        <v/>
      </c>
      <c r="K830">
        <f>IF(AND(A830&lt;&gt;"",C830&lt;&gt;"",D830&lt;&gt;"",H830&gt;0),"✓","⚠ missing")</f>
        <v/>
      </c>
      <c r="L830" s="44" t="n"/>
      <c r="M830" s="45" t="n"/>
      <c r="N830" s="39" t="n"/>
      <c r="O830" s="46" t="n"/>
    </row>
    <row r="831">
      <c r="H831" s="47">
        <f>IF(AND(E831&lt;&gt;"",F831&lt;&gt;""), F831-E831, IF(G831&lt;&gt;"", G831, 0))</f>
        <v/>
      </c>
      <c r="I831" s="48">
        <f>H831*Settings!$B$5</f>
        <v/>
      </c>
      <c r="K831">
        <f>IF(AND(A831&lt;&gt;"",C831&lt;&gt;"",D831&lt;&gt;"",H831&gt;0),"✓","⚠ missing")</f>
        <v/>
      </c>
      <c r="L831" s="44" t="n"/>
      <c r="M831" s="45" t="n"/>
      <c r="N831" s="39" t="n"/>
      <c r="O831" s="46" t="n"/>
    </row>
    <row r="832">
      <c r="H832" s="47">
        <f>IF(AND(E832&lt;&gt;"",F832&lt;&gt;""), F832-E832, IF(G832&lt;&gt;"", G832, 0))</f>
        <v/>
      </c>
      <c r="I832" s="48">
        <f>H832*Settings!$B$5</f>
        <v/>
      </c>
      <c r="K832">
        <f>IF(AND(A832&lt;&gt;"",C832&lt;&gt;"",D832&lt;&gt;"",H832&gt;0),"✓","⚠ missing")</f>
        <v/>
      </c>
      <c r="L832" s="44" t="n"/>
      <c r="M832" s="45" t="n"/>
      <c r="N832" s="39" t="n"/>
      <c r="O832" s="46" t="n"/>
    </row>
    <row r="833">
      <c r="H833" s="47">
        <f>IF(AND(E833&lt;&gt;"",F833&lt;&gt;""), F833-E833, IF(G833&lt;&gt;"", G833, 0))</f>
        <v/>
      </c>
      <c r="I833" s="48">
        <f>H833*Settings!$B$5</f>
        <v/>
      </c>
      <c r="K833">
        <f>IF(AND(A833&lt;&gt;"",C833&lt;&gt;"",D833&lt;&gt;"",H833&gt;0),"✓","⚠ missing")</f>
        <v/>
      </c>
      <c r="L833" s="44" t="n"/>
      <c r="M833" s="45" t="n"/>
      <c r="N833" s="39" t="n"/>
      <c r="O833" s="46" t="n"/>
    </row>
    <row r="834">
      <c r="H834" s="47">
        <f>IF(AND(E834&lt;&gt;"",F834&lt;&gt;""), F834-E834, IF(G834&lt;&gt;"", G834, 0))</f>
        <v/>
      </c>
      <c r="I834" s="48">
        <f>H834*Settings!$B$5</f>
        <v/>
      </c>
      <c r="K834">
        <f>IF(AND(A834&lt;&gt;"",C834&lt;&gt;"",D834&lt;&gt;"",H834&gt;0),"✓","⚠ missing")</f>
        <v/>
      </c>
      <c r="L834" s="44" t="n"/>
      <c r="M834" s="45" t="n"/>
      <c r="N834" s="39" t="n"/>
      <c r="O834" s="46" t="n"/>
    </row>
    <row r="835">
      <c r="H835" s="47">
        <f>IF(AND(E835&lt;&gt;"",F835&lt;&gt;""), F835-E835, IF(G835&lt;&gt;"", G835, 0))</f>
        <v/>
      </c>
      <c r="I835" s="48">
        <f>H835*Settings!$B$5</f>
        <v/>
      </c>
      <c r="K835">
        <f>IF(AND(A835&lt;&gt;"",C835&lt;&gt;"",D835&lt;&gt;"",H835&gt;0),"✓","⚠ missing")</f>
        <v/>
      </c>
      <c r="L835" s="44" t="n"/>
      <c r="M835" s="45" t="n"/>
      <c r="N835" s="39" t="n"/>
      <c r="O835" s="46" t="n"/>
    </row>
    <row r="836">
      <c r="H836" s="47">
        <f>IF(AND(E836&lt;&gt;"",F836&lt;&gt;""), F836-E836, IF(G836&lt;&gt;"", G836, 0))</f>
        <v/>
      </c>
      <c r="I836" s="48">
        <f>H836*Settings!$B$5</f>
        <v/>
      </c>
      <c r="K836">
        <f>IF(AND(A836&lt;&gt;"",C836&lt;&gt;"",D836&lt;&gt;"",H836&gt;0),"✓","⚠ missing")</f>
        <v/>
      </c>
      <c r="L836" s="44" t="n"/>
      <c r="M836" s="45" t="n"/>
      <c r="N836" s="39" t="n"/>
      <c r="O836" s="46" t="n"/>
    </row>
    <row r="837">
      <c r="H837" s="47">
        <f>IF(AND(E837&lt;&gt;"",F837&lt;&gt;""), F837-E837, IF(G837&lt;&gt;"", G837, 0))</f>
        <v/>
      </c>
      <c r="I837" s="48">
        <f>H837*Settings!$B$5</f>
        <v/>
      </c>
      <c r="K837">
        <f>IF(AND(A837&lt;&gt;"",C837&lt;&gt;"",D837&lt;&gt;"",H837&gt;0),"✓","⚠ missing")</f>
        <v/>
      </c>
      <c r="L837" s="44" t="n"/>
      <c r="M837" s="45" t="n"/>
      <c r="N837" s="39" t="n"/>
      <c r="O837" s="46" t="n"/>
    </row>
    <row r="838">
      <c r="H838" s="47">
        <f>IF(AND(E838&lt;&gt;"",F838&lt;&gt;""), F838-E838, IF(G838&lt;&gt;"", G838, 0))</f>
        <v/>
      </c>
      <c r="I838" s="48">
        <f>H838*Settings!$B$5</f>
        <v/>
      </c>
      <c r="K838">
        <f>IF(AND(A838&lt;&gt;"",C838&lt;&gt;"",D838&lt;&gt;"",H838&gt;0),"✓","⚠ missing")</f>
        <v/>
      </c>
      <c r="L838" s="44" t="n"/>
      <c r="M838" s="45" t="n"/>
      <c r="N838" s="39" t="n"/>
      <c r="O838" s="46" t="n"/>
    </row>
    <row r="839">
      <c r="H839" s="47">
        <f>IF(AND(E839&lt;&gt;"",F839&lt;&gt;""), F839-E839, IF(G839&lt;&gt;"", G839, 0))</f>
        <v/>
      </c>
      <c r="I839" s="48">
        <f>H839*Settings!$B$5</f>
        <v/>
      </c>
      <c r="K839">
        <f>IF(AND(A839&lt;&gt;"",C839&lt;&gt;"",D839&lt;&gt;"",H839&gt;0),"✓","⚠ missing")</f>
        <v/>
      </c>
      <c r="L839" s="44" t="n"/>
      <c r="M839" s="45" t="n"/>
      <c r="N839" s="39" t="n"/>
      <c r="O839" s="46" t="n"/>
    </row>
    <row r="840">
      <c r="H840" s="47">
        <f>IF(AND(E840&lt;&gt;"",F840&lt;&gt;""), F840-E840, IF(G840&lt;&gt;"", G840, 0))</f>
        <v/>
      </c>
      <c r="I840" s="48">
        <f>H840*Settings!$B$5</f>
        <v/>
      </c>
      <c r="K840">
        <f>IF(AND(A840&lt;&gt;"",C840&lt;&gt;"",D840&lt;&gt;"",H840&gt;0),"✓","⚠ missing")</f>
        <v/>
      </c>
      <c r="L840" s="44" t="n"/>
      <c r="M840" s="45" t="n"/>
      <c r="N840" s="39" t="n"/>
      <c r="O840" s="46" t="n"/>
    </row>
    <row r="841">
      <c r="H841" s="47">
        <f>IF(AND(E841&lt;&gt;"",F841&lt;&gt;""), F841-E841, IF(G841&lt;&gt;"", G841, 0))</f>
        <v/>
      </c>
      <c r="I841" s="48">
        <f>H841*Settings!$B$5</f>
        <v/>
      </c>
      <c r="K841">
        <f>IF(AND(A841&lt;&gt;"",C841&lt;&gt;"",D841&lt;&gt;"",H841&gt;0),"✓","⚠ missing")</f>
        <v/>
      </c>
      <c r="L841" s="44" t="n"/>
      <c r="M841" s="45" t="n"/>
      <c r="N841" s="39" t="n"/>
      <c r="O841" s="46" t="n"/>
    </row>
    <row r="842">
      <c r="H842" s="47">
        <f>IF(AND(E842&lt;&gt;"",F842&lt;&gt;""), F842-E842, IF(G842&lt;&gt;"", G842, 0))</f>
        <v/>
      </c>
      <c r="I842" s="48">
        <f>H842*Settings!$B$5</f>
        <v/>
      </c>
      <c r="K842">
        <f>IF(AND(A842&lt;&gt;"",C842&lt;&gt;"",D842&lt;&gt;"",H842&gt;0),"✓","⚠ missing")</f>
        <v/>
      </c>
      <c r="L842" s="44" t="n"/>
      <c r="M842" s="45" t="n"/>
      <c r="N842" s="39" t="n"/>
      <c r="O842" s="46" t="n"/>
    </row>
    <row r="843">
      <c r="H843" s="47">
        <f>IF(AND(E843&lt;&gt;"",F843&lt;&gt;""), F843-E843, IF(G843&lt;&gt;"", G843, 0))</f>
        <v/>
      </c>
      <c r="I843" s="48">
        <f>H843*Settings!$B$5</f>
        <v/>
      </c>
      <c r="K843">
        <f>IF(AND(A843&lt;&gt;"",C843&lt;&gt;"",D843&lt;&gt;"",H843&gt;0),"✓","⚠ missing")</f>
        <v/>
      </c>
      <c r="L843" s="44" t="n"/>
      <c r="M843" s="45" t="n"/>
      <c r="N843" s="39" t="n"/>
      <c r="O843" s="46" t="n"/>
    </row>
    <row r="844">
      <c r="H844" s="47">
        <f>IF(AND(E844&lt;&gt;"",F844&lt;&gt;""), F844-E844, IF(G844&lt;&gt;"", G844, 0))</f>
        <v/>
      </c>
      <c r="I844" s="48">
        <f>H844*Settings!$B$5</f>
        <v/>
      </c>
      <c r="K844">
        <f>IF(AND(A844&lt;&gt;"",C844&lt;&gt;"",D844&lt;&gt;"",H844&gt;0),"✓","⚠ missing")</f>
        <v/>
      </c>
      <c r="L844" s="44" t="n"/>
      <c r="M844" s="45" t="n"/>
      <c r="N844" s="39" t="n"/>
      <c r="O844" s="46" t="n"/>
    </row>
    <row r="845">
      <c r="H845" s="47">
        <f>IF(AND(E845&lt;&gt;"",F845&lt;&gt;""), F845-E845, IF(G845&lt;&gt;"", G845, 0))</f>
        <v/>
      </c>
      <c r="I845" s="48">
        <f>H845*Settings!$B$5</f>
        <v/>
      </c>
      <c r="K845">
        <f>IF(AND(A845&lt;&gt;"",C845&lt;&gt;"",D845&lt;&gt;"",H845&gt;0),"✓","⚠ missing")</f>
        <v/>
      </c>
      <c r="L845" s="44" t="n"/>
      <c r="M845" s="45" t="n"/>
      <c r="N845" s="39" t="n"/>
      <c r="O845" s="46" t="n"/>
    </row>
    <row r="846">
      <c r="H846" s="47">
        <f>IF(AND(E846&lt;&gt;"",F846&lt;&gt;""), F846-E846, IF(G846&lt;&gt;"", G846, 0))</f>
        <v/>
      </c>
      <c r="I846" s="48">
        <f>H846*Settings!$B$5</f>
        <v/>
      </c>
      <c r="K846">
        <f>IF(AND(A846&lt;&gt;"",C846&lt;&gt;"",D846&lt;&gt;"",H846&gt;0),"✓","⚠ missing")</f>
        <v/>
      </c>
      <c r="L846" s="44" t="n"/>
      <c r="M846" s="45" t="n"/>
      <c r="N846" s="39" t="n"/>
      <c r="O846" s="46" t="n"/>
    </row>
    <row r="847">
      <c r="H847" s="47">
        <f>IF(AND(E847&lt;&gt;"",F847&lt;&gt;""), F847-E847, IF(G847&lt;&gt;"", G847, 0))</f>
        <v/>
      </c>
      <c r="I847" s="48">
        <f>H847*Settings!$B$5</f>
        <v/>
      </c>
      <c r="K847">
        <f>IF(AND(A847&lt;&gt;"",C847&lt;&gt;"",D847&lt;&gt;"",H847&gt;0),"✓","⚠ missing")</f>
        <v/>
      </c>
      <c r="L847" s="44" t="n"/>
      <c r="M847" s="45" t="n"/>
      <c r="N847" s="39" t="n"/>
      <c r="O847" s="46" t="n"/>
    </row>
    <row r="848">
      <c r="H848" s="47">
        <f>IF(AND(E848&lt;&gt;"",F848&lt;&gt;""), F848-E848, IF(G848&lt;&gt;"", G848, 0))</f>
        <v/>
      </c>
      <c r="I848" s="48">
        <f>H848*Settings!$B$5</f>
        <v/>
      </c>
      <c r="K848">
        <f>IF(AND(A848&lt;&gt;"",C848&lt;&gt;"",D848&lt;&gt;"",H848&gt;0),"✓","⚠ missing")</f>
        <v/>
      </c>
      <c r="L848" s="44" t="n"/>
      <c r="M848" s="45" t="n"/>
      <c r="N848" s="39" t="n"/>
      <c r="O848" s="46" t="n"/>
    </row>
    <row r="849">
      <c r="H849" s="47">
        <f>IF(AND(E849&lt;&gt;"",F849&lt;&gt;""), F849-E849, IF(G849&lt;&gt;"", G849, 0))</f>
        <v/>
      </c>
      <c r="I849" s="48">
        <f>H849*Settings!$B$5</f>
        <v/>
      </c>
      <c r="K849">
        <f>IF(AND(A849&lt;&gt;"",C849&lt;&gt;"",D849&lt;&gt;"",H849&gt;0),"✓","⚠ missing")</f>
        <v/>
      </c>
      <c r="L849" s="44" t="n"/>
      <c r="M849" s="45" t="n"/>
      <c r="N849" s="39" t="n"/>
      <c r="O849" s="46" t="n"/>
    </row>
    <row r="850">
      <c r="H850" s="47">
        <f>IF(AND(E850&lt;&gt;"",F850&lt;&gt;""), F850-E850, IF(G850&lt;&gt;"", G850, 0))</f>
        <v/>
      </c>
      <c r="I850" s="48">
        <f>H850*Settings!$B$5</f>
        <v/>
      </c>
      <c r="K850">
        <f>IF(AND(A850&lt;&gt;"",C850&lt;&gt;"",D850&lt;&gt;"",H850&gt;0),"✓","⚠ missing")</f>
        <v/>
      </c>
      <c r="L850" s="44" t="n"/>
      <c r="M850" s="45" t="n"/>
      <c r="N850" s="39" t="n"/>
      <c r="O850" s="46" t="n"/>
    </row>
    <row r="851">
      <c r="H851" s="47">
        <f>IF(AND(E851&lt;&gt;"",F851&lt;&gt;""), F851-E851, IF(G851&lt;&gt;"", G851, 0))</f>
        <v/>
      </c>
      <c r="I851" s="48">
        <f>H851*Settings!$B$5</f>
        <v/>
      </c>
      <c r="K851">
        <f>IF(AND(A851&lt;&gt;"",C851&lt;&gt;"",D851&lt;&gt;"",H851&gt;0),"✓","⚠ missing")</f>
        <v/>
      </c>
      <c r="L851" s="44" t="n"/>
      <c r="M851" s="45" t="n"/>
      <c r="N851" s="39" t="n"/>
      <c r="O851" s="46" t="n"/>
    </row>
    <row r="852">
      <c r="H852" s="47">
        <f>IF(AND(E852&lt;&gt;"",F852&lt;&gt;""), F852-E852, IF(G852&lt;&gt;"", G852, 0))</f>
        <v/>
      </c>
      <c r="I852" s="48">
        <f>H852*Settings!$B$5</f>
        <v/>
      </c>
      <c r="K852">
        <f>IF(AND(A852&lt;&gt;"",C852&lt;&gt;"",D852&lt;&gt;"",H852&gt;0),"✓","⚠ missing")</f>
        <v/>
      </c>
      <c r="L852" s="44" t="n"/>
      <c r="M852" s="45" t="n"/>
      <c r="N852" s="39" t="n"/>
      <c r="O852" s="46" t="n"/>
    </row>
    <row r="853">
      <c r="H853" s="47">
        <f>IF(AND(E853&lt;&gt;"",F853&lt;&gt;""), F853-E853, IF(G853&lt;&gt;"", G853, 0))</f>
        <v/>
      </c>
      <c r="I853" s="48">
        <f>H853*Settings!$B$5</f>
        <v/>
      </c>
      <c r="K853">
        <f>IF(AND(A853&lt;&gt;"",C853&lt;&gt;"",D853&lt;&gt;"",H853&gt;0),"✓","⚠ missing")</f>
        <v/>
      </c>
      <c r="L853" s="44" t="n"/>
      <c r="M853" s="45" t="n"/>
      <c r="N853" s="39" t="n"/>
      <c r="O853" s="46" t="n"/>
    </row>
    <row r="854">
      <c r="H854" s="47">
        <f>IF(AND(E854&lt;&gt;"",F854&lt;&gt;""), F854-E854, IF(G854&lt;&gt;"", G854, 0))</f>
        <v/>
      </c>
      <c r="I854" s="48">
        <f>H854*Settings!$B$5</f>
        <v/>
      </c>
      <c r="K854">
        <f>IF(AND(A854&lt;&gt;"",C854&lt;&gt;"",D854&lt;&gt;"",H854&gt;0),"✓","⚠ missing")</f>
        <v/>
      </c>
      <c r="L854" s="44" t="n"/>
      <c r="M854" s="45" t="n"/>
      <c r="N854" s="39" t="n"/>
      <c r="O854" s="46" t="n"/>
    </row>
    <row r="855">
      <c r="H855" s="47">
        <f>IF(AND(E855&lt;&gt;"",F855&lt;&gt;""), F855-E855, IF(G855&lt;&gt;"", G855, 0))</f>
        <v/>
      </c>
      <c r="I855" s="48">
        <f>H855*Settings!$B$5</f>
        <v/>
      </c>
      <c r="K855">
        <f>IF(AND(A855&lt;&gt;"",C855&lt;&gt;"",D855&lt;&gt;"",H855&gt;0),"✓","⚠ missing")</f>
        <v/>
      </c>
      <c r="L855" s="44" t="n"/>
      <c r="M855" s="45" t="n"/>
      <c r="N855" s="39" t="n"/>
      <c r="O855" s="46" t="n"/>
    </row>
    <row r="856">
      <c r="H856" s="47">
        <f>IF(AND(E856&lt;&gt;"",F856&lt;&gt;""), F856-E856, IF(G856&lt;&gt;"", G856, 0))</f>
        <v/>
      </c>
      <c r="I856" s="48">
        <f>H856*Settings!$B$5</f>
        <v/>
      </c>
      <c r="K856">
        <f>IF(AND(A856&lt;&gt;"",C856&lt;&gt;"",D856&lt;&gt;"",H856&gt;0),"✓","⚠ missing")</f>
        <v/>
      </c>
      <c r="L856" s="44" t="n"/>
      <c r="M856" s="45" t="n"/>
      <c r="N856" s="39" t="n"/>
      <c r="O856" s="46" t="n"/>
    </row>
    <row r="857">
      <c r="H857" s="47">
        <f>IF(AND(E857&lt;&gt;"",F857&lt;&gt;""), F857-E857, IF(G857&lt;&gt;"", G857, 0))</f>
        <v/>
      </c>
      <c r="I857" s="48">
        <f>H857*Settings!$B$5</f>
        <v/>
      </c>
      <c r="K857">
        <f>IF(AND(A857&lt;&gt;"",C857&lt;&gt;"",D857&lt;&gt;"",H857&gt;0),"✓","⚠ missing")</f>
        <v/>
      </c>
      <c r="L857" s="44" t="n"/>
      <c r="M857" s="45" t="n"/>
      <c r="N857" s="39" t="n"/>
      <c r="O857" s="46" t="n"/>
    </row>
    <row r="858">
      <c r="H858" s="47">
        <f>IF(AND(E858&lt;&gt;"",F858&lt;&gt;""), F858-E858, IF(G858&lt;&gt;"", G858, 0))</f>
        <v/>
      </c>
      <c r="I858" s="48">
        <f>H858*Settings!$B$5</f>
        <v/>
      </c>
      <c r="K858">
        <f>IF(AND(A858&lt;&gt;"",C858&lt;&gt;"",D858&lt;&gt;"",H858&gt;0),"✓","⚠ missing")</f>
        <v/>
      </c>
      <c r="L858" s="44" t="n"/>
      <c r="M858" s="45" t="n"/>
      <c r="N858" s="39" t="n"/>
      <c r="O858" s="46" t="n"/>
    </row>
    <row r="859">
      <c r="H859" s="47">
        <f>IF(AND(E859&lt;&gt;"",F859&lt;&gt;""), F859-E859, IF(G859&lt;&gt;"", G859, 0))</f>
        <v/>
      </c>
      <c r="I859" s="48">
        <f>H859*Settings!$B$5</f>
        <v/>
      </c>
      <c r="K859">
        <f>IF(AND(A859&lt;&gt;"",C859&lt;&gt;"",D859&lt;&gt;"",H859&gt;0),"✓","⚠ missing")</f>
        <v/>
      </c>
      <c r="L859" s="44" t="n"/>
      <c r="M859" s="45" t="n"/>
      <c r="N859" s="39" t="n"/>
      <c r="O859" s="46" t="n"/>
    </row>
    <row r="860">
      <c r="H860" s="47">
        <f>IF(AND(E860&lt;&gt;"",F860&lt;&gt;""), F860-E860, IF(G860&lt;&gt;"", G860, 0))</f>
        <v/>
      </c>
      <c r="I860" s="48">
        <f>H860*Settings!$B$5</f>
        <v/>
      </c>
      <c r="K860">
        <f>IF(AND(A860&lt;&gt;"",C860&lt;&gt;"",D860&lt;&gt;"",H860&gt;0),"✓","⚠ missing")</f>
        <v/>
      </c>
      <c r="L860" s="44" t="n"/>
      <c r="M860" s="45" t="n"/>
      <c r="N860" s="39" t="n"/>
      <c r="O860" s="46" t="n"/>
    </row>
    <row r="861">
      <c r="H861" s="47">
        <f>IF(AND(E861&lt;&gt;"",F861&lt;&gt;""), F861-E861, IF(G861&lt;&gt;"", G861, 0))</f>
        <v/>
      </c>
      <c r="I861" s="48">
        <f>H861*Settings!$B$5</f>
        <v/>
      </c>
      <c r="K861">
        <f>IF(AND(A861&lt;&gt;"",C861&lt;&gt;"",D861&lt;&gt;"",H861&gt;0),"✓","⚠ missing")</f>
        <v/>
      </c>
      <c r="L861" s="44" t="n"/>
      <c r="M861" s="45" t="n"/>
      <c r="N861" s="39" t="n"/>
      <c r="O861" s="46" t="n"/>
    </row>
    <row r="862">
      <c r="H862" s="47">
        <f>IF(AND(E862&lt;&gt;"",F862&lt;&gt;""), F862-E862, IF(G862&lt;&gt;"", G862, 0))</f>
        <v/>
      </c>
      <c r="I862" s="48">
        <f>H862*Settings!$B$5</f>
        <v/>
      </c>
      <c r="K862">
        <f>IF(AND(A862&lt;&gt;"",C862&lt;&gt;"",D862&lt;&gt;"",H862&gt;0),"✓","⚠ missing")</f>
        <v/>
      </c>
      <c r="L862" s="44" t="n"/>
      <c r="M862" s="45" t="n"/>
      <c r="N862" s="39" t="n"/>
      <c r="O862" s="46" t="n"/>
    </row>
    <row r="863">
      <c r="H863" s="47">
        <f>IF(AND(E863&lt;&gt;"",F863&lt;&gt;""), F863-E863, IF(G863&lt;&gt;"", G863, 0))</f>
        <v/>
      </c>
      <c r="I863" s="48">
        <f>H863*Settings!$B$5</f>
        <v/>
      </c>
      <c r="K863">
        <f>IF(AND(A863&lt;&gt;"",C863&lt;&gt;"",D863&lt;&gt;"",H863&gt;0),"✓","⚠ missing")</f>
        <v/>
      </c>
      <c r="L863" s="44" t="n"/>
      <c r="M863" s="45" t="n"/>
      <c r="N863" s="39" t="n"/>
      <c r="O863" s="46" t="n"/>
    </row>
    <row r="864">
      <c r="H864" s="47">
        <f>IF(AND(E864&lt;&gt;"",F864&lt;&gt;""), F864-E864, IF(G864&lt;&gt;"", G864, 0))</f>
        <v/>
      </c>
      <c r="I864" s="48">
        <f>H864*Settings!$B$5</f>
        <v/>
      </c>
      <c r="K864">
        <f>IF(AND(A864&lt;&gt;"",C864&lt;&gt;"",D864&lt;&gt;"",H864&gt;0),"✓","⚠ missing")</f>
        <v/>
      </c>
      <c r="L864" s="44" t="n"/>
      <c r="M864" s="45" t="n"/>
      <c r="N864" s="39" t="n"/>
      <c r="O864" s="46" t="n"/>
    </row>
    <row r="865">
      <c r="H865" s="47">
        <f>IF(AND(E865&lt;&gt;"",F865&lt;&gt;""), F865-E865, IF(G865&lt;&gt;"", G865, 0))</f>
        <v/>
      </c>
      <c r="I865" s="48">
        <f>H865*Settings!$B$5</f>
        <v/>
      </c>
      <c r="K865">
        <f>IF(AND(A865&lt;&gt;"",C865&lt;&gt;"",D865&lt;&gt;"",H865&gt;0),"✓","⚠ missing")</f>
        <v/>
      </c>
      <c r="L865" s="44" t="n"/>
      <c r="M865" s="45" t="n"/>
      <c r="N865" s="39" t="n"/>
      <c r="O865" s="46" t="n"/>
    </row>
    <row r="866">
      <c r="H866" s="47">
        <f>IF(AND(E866&lt;&gt;"",F866&lt;&gt;""), F866-E866, IF(G866&lt;&gt;"", G866, 0))</f>
        <v/>
      </c>
      <c r="I866" s="48">
        <f>H866*Settings!$B$5</f>
        <v/>
      </c>
      <c r="K866">
        <f>IF(AND(A866&lt;&gt;"",C866&lt;&gt;"",D866&lt;&gt;"",H866&gt;0),"✓","⚠ missing")</f>
        <v/>
      </c>
      <c r="L866" s="44" t="n"/>
      <c r="M866" s="45" t="n"/>
      <c r="N866" s="39" t="n"/>
      <c r="O866" s="46" t="n"/>
    </row>
    <row r="867">
      <c r="H867" s="47">
        <f>IF(AND(E867&lt;&gt;"",F867&lt;&gt;""), F867-E867, IF(G867&lt;&gt;"", G867, 0))</f>
        <v/>
      </c>
      <c r="I867" s="48">
        <f>H867*Settings!$B$5</f>
        <v/>
      </c>
      <c r="K867">
        <f>IF(AND(A867&lt;&gt;"",C867&lt;&gt;"",D867&lt;&gt;"",H867&gt;0),"✓","⚠ missing")</f>
        <v/>
      </c>
      <c r="L867" s="44" t="n"/>
      <c r="M867" s="45" t="n"/>
      <c r="N867" s="39" t="n"/>
      <c r="O867" s="46" t="n"/>
    </row>
    <row r="868">
      <c r="H868" s="47">
        <f>IF(AND(E868&lt;&gt;"",F868&lt;&gt;""), F868-E868, IF(G868&lt;&gt;"", G868, 0))</f>
        <v/>
      </c>
      <c r="I868" s="48">
        <f>H868*Settings!$B$5</f>
        <v/>
      </c>
      <c r="K868">
        <f>IF(AND(A868&lt;&gt;"",C868&lt;&gt;"",D868&lt;&gt;"",H868&gt;0),"✓","⚠ missing")</f>
        <v/>
      </c>
      <c r="L868" s="44" t="n"/>
      <c r="M868" s="45" t="n"/>
      <c r="N868" s="39" t="n"/>
      <c r="O868" s="46" t="n"/>
    </row>
    <row r="869">
      <c r="H869" s="47">
        <f>IF(AND(E869&lt;&gt;"",F869&lt;&gt;""), F869-E869, IF(G869&lt;&gt;"", G869, 0))</f>
        <v/>
      </c>
      <c r="I869" s="48">
        <f>H869*Settings!$B$5</f>
        <v/>
      </c>
      <c r="K869">
        <f>IF(AND(A869&lt;&gt;"",C869&lt;&gt;"",D869&lt;&gt;"",H869&gt;0),"✓","⚠ missing")</f>
        <v/>
      </c>
      <c r="L869" s="44" t="n"/>
      <c r="M869" s="45" t="n"/>
      <c r="N869" s="39" t="n"/>
      <c r="O869" s="46" t="n"/>
    </row>
    <row r="870">
      <c r="H870" s="47">
        <f>IF(AND(E870&lt;&gt;"",F870&lt;&gt;""), F870-E870, IF(G870&lt;&gt;"", G870, 0))</f>
        <v/>
      </c>
      <c r="I870" s="48">
        <f>H870*Settings!$B$5</f>
        <v/>
      </c>
      <c r="K870">
        <f>IF(AND(A870&lt;&gt;"",C870&lt;&gt;"",D870&lt;&gt;"",H870&gt;0),"✓","⚠ missing")</f>
        <v/>
      </c>
      <c r="L870" s="44" t="n"/>
      <c r="M870" s="45" t="n"/>
      <c r="N870" s="39" t="n"/>
      <c r="O870" s="46" t="n"/>
    </row>
    <row r="871">
      <c r="H871" s="47">
        <f>IF(AND(E871&lt;&gt;"",F871&lt;&gt;""), F871-E871, IF(G871&lt;&gt;"", G871, 0))</f>
        <v/>
      </c>
      <c r="I871" s="48">
        <f>H871*Settings!$B$5</f>
        <v/>
      </c>
      <c r="K871">
        <f>IF(AND(A871&lt;&gt;"",C871&lt;&gt;"",D871&lt;&gt;"",H871&gt;0),"✓","⚠ missing")</f>
        <v/>
      </c>
      <c r="L871" s="44" t="n"/>
      <c r="M871" s="45" t="n"/>
      <c r="N871" s="39" t="n"/>
      <c r="O871" s="46" t="n"/>
    </row>
    <row r="872">
      <c r="H872" s="47">
        <f>IF(AND(E872&lt;&gt;"",F872&lt;&gt;""), F872-E872, IF(G872&lt;&gt;"", G872, 0))</f>
        <v/>
      </c>
      <c r="I872" s="48">
        <f>H872*Settings!$B$5</f>
        <v/>
      </c>
      <c r="K872">
        <f>IF(AND(A872&lt;&gt;"",C872&lt;&gt;"",D872&lt;&gt;"",H872&gt;0),"✓","⚠ missing")</f>
        <v/>
      </c>
      <c r="L872" s="44" t="n"/>
      <c r="M872" s="45" t="n"/>
      <c r="N872" s="39" t="n"/>
      <c r="O872" s="46" t="n"/>
    </row>
    <row r="873">
      <c r="H873" s="47">
        <f>IF(AND(E873&lt;&gt;"",F873&lt;&gt;""), F873-E873, IF(G873&lt;&gt;"", G873, 0))</f>
        <v/>
      </c>
      <c r="I873" s="48">
        <f>H873*Settings!$B$5</f>
        <v/>
      </c>
      <c r="K873">
        <f>IF(AND(A873&lt;&gt;"",C873&lt;&gt;"",D873&lt;&gt;"",H873&gt;0),"✓","⚠ missing")</f>
        <v/>
      </c>
      <c r="L873" s="44" t="n"/>
      <c r="M873" s="45" t="n"/>
      <c r="N873" s="39" t="n"/>
      <c r="O873" s="46" t="n"/>
    </row>
    <row r="874">
      <c r="H874" s="47">
        <f>IF(AND(E874&lt;&gt;"",F874&lt;&gt;""), F874-E874, IF(G874&lt;&gt;"", G874, 0))</f>
        <v/>
      </c>
      <c r="I874" s="48">
        <f>H874*Settings!$B$5</f>
        <v/>
      </c>
      <c r="K874">
        <f>IF(AND(A874&lt;&gt;"",C874&lt;&gt;"",D874&lt;&gt;"",H874&gt;0),"✓","⚠ missing")</f>
        <v/>
      </c>
      <c r="L874" s="44" t="n"/>
      <c r="M874" s="45" t="n"/>
      <c r="N874" s="39" t="n"/>
      <c r="O874" s="46" t="n"/>
    </row>
    <row r="875">
      <c r="H875" s="47">
        <f>IF(AND(E875&lt;&gt;"",F875&lt;&gt;""), F875-E875, IF(G875&lt;&gt;"", G875, 0))</f>
        <v/>
      </c>
      <c r="I875" s="48">
        <f>H875*Settings!$B$5</f>
        <v/>
      </c>
      <c r="K875">
        <f>IF(AND(A875&lt;&gt;"",C875&lt;&gt;"",D875&lt;&gt;"",H875&gt;0),"✓","⚠ missing")</f>
        <v/>
      </c>
      <c r="L875" s="44" t="n"/>
      <c r="M875" s="45" t="n"/>
      <c r="N875" s="39" t="n"/>
      <c r="O875" s="46" t="n"/>
    </row>
    <row r="876">
      <c r="H876" s="47">
        <f>IF(AND(E876&lt;&gt;"",F876&lt;&gt;""), F876-E876, IF(G876&lt;&gt;"", G876, 0))</f>
        <v/>
      </c>
      <c r="I876" s="48">
        <f>H876*Settings!$B$5</f>
        <v/>
      </c>
      <c r="K876">
        <f>IF(AND(A876&lt;&gt;"",C876&lt;&gt;"",D876&lt;&gt;"",H876&gt;0),"✓","⚠ missing")</f>
        <v/>
      </c>
      <c r="L876" s="44" t="n"/>
      <c r="M876" s="45" t="n"/>
      <c r="N876" s="39" t="n"/>
      <c r="O876" s="46" t="n"/>
    </row>
    <row r="877">
      <c r="H877" s="47">
        <f>IF(AND(E877&lt;&gt;"",F877&lt;&gt;""), F877-E877, IF(G877&lt;&gt;"", G877, 0))</f>
        <v/>
      </c>
      <c r="I877" s="48">
        <f>H877*Settings!$B$5</f>
        <v/>
      </c>
      <c r="K877">
        <f>IF(AND(A877&lt;&gt;"",C877&lt;&gt;"",D877&lt;&gt;"",H877&gt;0),"✓","⚠ missing")</f>
        <v/>
      </c>
      <c r="L877" s="44" t="n"/>
      <c r="M877" s="45" t="n"/>
      <c r="N877" s="39" t="n"/>
      <c r="O877" s="46" t="n"/>
    </row>
    <row r="878">
      <c r="H878" s="47">
        <f>IF(AND(E878&lt;&gt;"",F878&lt;&gt;""), F878-E878, IF(G878&lt;&gt;"", G878, 0))</f>
        <v/>
      </c>
      <c r="I878" s="48">
        <f>H878*Settings!$B$5</f>
        <v/>
      </c>
      <c r="K878">
        <f>IF(AND(A878&lt;&gt;"",C878&lt;&gt;"",D878&lt;&gt;"",H878&gt;0),"✓","⚠ missing")</f>
        <v/>
      </c>
      <c r="L878" s="44" t="n"/>
      <c r="M878" s="45" t="n"/>
      <c r="N878" s="39" t="n"/>
      <c r="O878" s="46" t="n"/>
    </row>
    <row r="879">
      <c r="H879" s="47">
        <f>IF(AND(E879&lt;&gt;"",F879&lt;&gt;""), F879-E879, IF(G879&lt;&gt;"", G879, 0))</f>
        <v/>
      </c>
      <c r="I879" s="48">
        <f>H879*Settings!$B$5</f>
        <v/>
      </c>
      <c r="K879">
        <f>IF(AND(A879&lt;&gt;"",C879&lt;&gt;"",D879&lt;&gt;"",H879&gt;0),"✓","⚠ missing")</f>
        <v/>
      </c>
      <c r="L879" s="44" t="n"/>
      <c r="M879" s="45" t="n"/>
      <c r="N879" s="39" t="n"/>
      <c r="O879" s="46" t="n"/>
    </row>
    <row r="880">
      <c r="H880" s="47">
        <f>IF(AND(E880&lt;&gt;"",F880&lt;&gt;""), F880-E880, IF(G880&lt;&gt;"", G880, 0))</f>
        <v/>
      </c>
      <c r="I880" s="48">
        <f>H880*Settings!$B$5</f>
        <v/>
      </c>
      <c r="K880">
        <f>IF(AND(A880&lt;&gt;"",C880&lt;&gt;"",D880&lt;&gt;"",H880&gt;0),"✓","⚠ missing")</f>
        <v/>
      </c>
      <c r="L880" s="44" t="n"/>
      <c r="M880" s="45" t="n"/>
      <c r="N880" s="39" t="n"/>
      <c r="O880" s="46" t="n"/>
    </row>
    <row r="881">
      <c r="H881" s="47">
        <f>IF(AND(E881&lt;&gt;"",F881&lt;&gt;""), F881-E881, IF(G881&lt;&gt;"", G881, 0))</f>
        <v/>
      </c>
      <c r="I881" s="48">
        <f>H881*Settings!$B$5</f>
        <v/>
      </c>
      <c r="K881">
        <f>IF(AND(A881&lt;&gt;"",C881&lt;&gt;"",D881&lt;&gt;"",H881&gt;0),"✓","⚠ missing")</f>
        <v/>
      </c>
      <c r="L881" s="44" t="n"/>
      <c r="M881" s="45" t="n"/>
      <c r="N881" s="39" t="n"/>
      <c r="O881" s="46" t="n"/>
    </row>
    <row r="882">
      <c r="H882" s="47">
        <f>IF(AND(E882&lt;&gt;"",F882&lt;&gt;""), F882-E882, IF(G882&lt;&gt;"", G882, 0))</f>
        <v/>
      </c>
      <c r="I882" s="48">
        <f>H882*Settings!$B$5</f>
        <v/>
      </c>
      <c r="K882">
        <f>IF(AND(A882&lt;&gt;"",C882&lt;&gt;"",D882&lt;&gt;"",H882&gt;0),"✓","⚠ missing")</f>
        <v/>
      </c>
      <c r="L882" s="44" t="n"/>
      <c r="M882" s="45" t="n"/>
      <c r="N882" s="39" t="n"/>
      <c r="O882" s="46" t="n"/>
    </row>
    <row r="883">
      <c r="H883" s="47">
        <f>IF(AND(E883&lt;&gt;"",F883&lt;&gt;""), F883-E883, IF(G883&lt;&gt;"", G883, 0))</f>
        <v/>
      </c>
      <c r="I883" s="48">
        <f>H883*Settings!$B$5</f>
        <v/>
      </c>
      <c r="K883">
        <f>IF(AND(A883&lt;&gt;"",C883&lt;&gt;"",D883&lt;&gt;"",H883&gt;0),"✓","⚠ missing")</f>
        <v/>
      </c>
      <c r="L883" s="44" t="n"/>
      <c r="M883" s="45" t="n"/>
      <c r="N883" s="39" t="n"/>
      <c r="O883" s="46" t="n"/>
    </row>
    <row r="884">
      <c r="H884" s="47">
        <f>IF(AND(E884&lt;&gt;"",F884&lt;&gt;""), F884-E884, IF(G884&lt;&gt;"", G884, 0))</f>
        <v/>
      </c>
      <c r="I884" s="48">
        <f>H884*Settings!$B$5</f>
        <v/>
      </c>
      <c r="K884">
        <f>IF(AND(A884&lt;&gt;"",C884&lt;&gt;"",D884&lt;&gt;"",H884&gt;0),"✓","⚠ missing")</f>
        <v/>
      </c>
      <c r="L884" s="44" t="n"/>
      <c r="M884" s="45" t="n"/>
      <c r="N884" s="39" t="n"/>
      <c r="O884" s="46" t="n"/>
    </row>
    <row r="885">
      <c r="H885" s="47">
        <f>IF(AND(E885&lt;&gt;"",F885&lt;&gt;""), F885-E885, IF(G885&lt;&gt;"", G885, 0))</f>
        <v/>
      </c>
      <c r="I885" s="48">
        <f>H885*Settings!$B$5</f>
        <v/>
      </c>
      <c r="K885">
        <f>IF(AND(A885&lt;&gt;"",C885&lt;&gt;"",D885&lt;&gt;"",H885&gt;0),"✓","⚠ missing")</f>
        <v/>
      </c>
      <c r="L885" s="44" t="n"/>
      <c r="M885" s="45" t="n"/>
      <c r="N885" s="39" t="n"/>
      <c r="O885" s="46" t="n"/>
    </row>
    <row r="886">
      <c r="H886" s="47">
        <f>IF(AND(E886&lt;&gt;"",F886&lt;&gt;""), F886-E886, IF(G886&lt;&gt;"", G886, 0))</f>
        <v/>
      </c>
      <c r="I886" s="48">
        <f>H886*Settings!$B$5</f>
        <v/>
      </c>
      <c r="K886">
        <f>IF(AND(A886&lt;&gt;"",C886&lt;&gt;"",D886&lt;&gt;"",H886&gt;0),"✓","⚠ missing")</f>
        <v/>
      </c>
      <c r="L886" s="44" t="n"/>
      <c r="M886" s="45" t="n"/>
      <c r="N886" s="39" t="n"/>
      <c r="O886" s="46" t="n"/>
    </row>
    <row r="887">
      <c r="H887" s="47">
        <f>IF(AND(E887&lt;&gt;"",F887&lt;&gt;""), F887-E887, IF(G887&lt;&gt;"", G887, 0))</f>
        <v/>
      </c>
      <c r="I887" s="48">
        <f>H887*Settings!$B$5</f>
        <v/>
      </c>
      <c r="K887">
        <f>IF(AND(A887&lt;&gt;"",C887&lt;&gt;"",D887&lt;&gt;"",H887&gt;0),"✓","⚠ missing")</f>
        <v/>
      </c>
      <c r="L887" s="44" t="n"/>
      <c r="M887" s="45" t="n"/>
      <c r="N887" s="39" t="n"/>
      <c r="O887" s="46" t="n"/>
    </row>
    <row r="888">
      <c r="H888" s="47">
        <f>IF(AND(E888&lt;&gt;"",F888&lt;&gt;""), F888-E888, IF(G888&lt;&gt;"", G888, 0))</f>
        <v/>
      </c>
      <c r="I888" s="48">
        <f>H888*Settings!$B$5</f>
        <v/>
      </c>
      <c r="K888">
        <f>IF(AND(A888&lt;&gt;"",C888&lt;&gt;"",D888&lt;&gt;"",H888&gt;0),"✓","⚠ missing")</f>
        <v/>
      </c>
      <c r="L888" s="44" t="n"/>
      <c r="M888" s="45" t="n"/>
      <c r="N888" s="39" t="n"/>
      <c r="O888" s="46" t="n"/>
    </row>
    <row r="889">
      <c r="H889" s="47">
        <f>IF(AND(E889&lt;&gt;"",F889&lt;&gt;""), F889-E889, IF(G889&lt;&gt;"", G889, 0))</f>
        <v/>
      </c>
      <c r="I889" s="48">
        <f>H889*Settings!$B$5</f>
        <v/>
      </c>
      <c r="K889">
        <f>IF(AND(A889&lt;&gt;"",C889&lt;&gt;"",D889&lt;&gt;"",H889&gt;0),"✓","⚠ missing")</f>
        <v/>
      </c>
      <c r="L889" s="44" t="n"/>
      <c r="M889" s="45" t="n"/>
      <c r="N889" s="39" t="n"/>
      <c r="O889" s="46" t="n"/>
    </row>
    <row r="890">
      <c r="H890" s="47">
        <f>IF(AND(E890&lt;&gt;"",F890&lt;&gt;""), F890-E890, IF(G890&lt;&gt;"", G890, 0))</f>
        <v/>
      </c>
      <c r="I890" s="48">
        <f>H890*Settings!$B$5</f>
        <v/>
      </c>
      <c r="K890">
        <f>IF(AND(A890&lt;&gt;"",C890&lt;&gt;"",D890&lt;&gt;"",H890&gt;0),"✓","⚠ missing")</f>
        <v/>
      </c>
      <c r="L890" s="44" t="n"/>
      <c r="M890" s="45" t="n"/>
      <c r="N890" s="39" t="n"/>
      <c r="O890" s="46" t="n"/>
    </row>
    <row r="891">
      <c r="H891" s="47">
        <f>IF(AND(E891&lt;&gt;"",F891&lt;&gt;""), F891-E891, IF(G891&lt;&gt;"", G891, 0))</f>
        <v/>
      </c>
      <c r="I891" s="48">
        <f>H891*Settings!$B$5</f>
        <v/>
      </c>
      <c r="K891">
        <f>IF(AND(A891&lt;&gt;"",C891&lt;&gt;"",D891&lt;&gt;"",H891&gt;0),"✓","⚠ missing")</f>
        <v/>
      </c>
      <c r="L891" s="44" t="n"/>
      <c r="M891" s="45" t="n"/>
      <c r="N891" s="39" t="n"/>
      <c r="O891" s="46" t="n"/>
    </row>
    <row r="892">
      <c r="H892" s="47">
        <f>IF(AND(E892&lt;&gt;"",F892&lt;&gt;""), F892-E892, IF(G892&lt;&gt;"", G892, 0))</f>
        <v/>
      </c>
      <c r="I892" s="48">
        <f>H892*Settings!$B$5</f>
        <v/>
      </c>
      <c r="K892">
        <f>IF(AND(A892&lt;&gt;"",C892&lt;&gt;"",D892&lt;&gt;"",H892&gt;0),"✓","⚠ missing")</f>
        <v/>
      </c>
      <c r="L892" s="44" t="n"/>
      <c r="M892" s="45" t="n"/>
      <c r="N892" s="39" t="n"/>
      <c r="O892" s="46" t="n"/>
    </row>
    <row r="893">
      <c r="H893" s="47">
        <f>IF(AND(E893&lt;&gt;"",F893&lt;&gt;""), F893-E893, IF(G893&lt;&gt;"", G893, 0))</f>
        <v/>
      </c>
      <c r="I893" s="48">
        <f>H893*Settings!$B$5</f>
        <v/>
      </c>
      <c r="K893">
        <f>IF(AND(A893&lt;&gt;"",C893&lt;&gt;"",D893&lt;&gt;"",H893&gt;0),"✓","⚠ missing")</f>
        <v/>
      </c>
      <c r="L893" s="44" t="n"/>
      <c r="M893" s="45" t="n"/>
      <c r="N893" s="39" t="n"/>
      <c r="O893" s="46" t="n"/>
    </row>
    <row r="894">
      <c r="H894" s="47">
        <f>IF(AND(E894&lt;&gt;"",F894&lt;&gt;""), F894-E894, IF(G894&lt;&gt;"", G894, 0))</f>
        <v/>
      </c>
      <c r="I894" s="48">
        <f>H894*Settings!$B$5</f>
        <v/>
      </c>
      <c r="K894">
        <f>IF(AND(A894&lt;&gt;"",C894&lt;&gt;"",D894&lt;&gt;"",H894&gt;0),"✓","⚠ missing")</f>
        <v/>
      </c>
      <c r="L894" s="44" t="n"/>
      <c r="M894" s="45" t="n"/>
      <c r="N894" s="39" t="n"/>
      <c r="O894" s="46" t="n"/>
    </row>
    <row r="895">
      <c r="H895" s="47">
        <f>IF(AND(E895&lt;&gt;"",F895&lt;&gt;""), F895-E895, IF(G895&lt;&gt;"", G895, 0))</f>
        <v/>
      </c>
      <c r="I895" s="48">
        <f>H895*Settings!$B$5</f>
        <v/>
      </c>
      <c r="K895">
        <f>IF(AND(A895&lt;&gt;"",C895&lt;&gt;"",D895&lt;&gt;"",H895&gt;0),"✓","⚠ missing")</f>
        <v/>
      </c>
      <c r="L895" s="44" t="n"/>
      <c r="M895" s="45" t="n"/>
      <c r="N895" s="39" t="n"/>
      <c r="O895" s="46" t="n"/>
    </row>
    <row r="896">
      <c r="H896" s="47">
        <f>IF(AND(E896&lt;&gt;"",F896&lt;&gt;""), F896-E896, IF(G896&lt;&gt;"", G896, 0))</f>
        <v/>
      </c>
      <c r="I896" s="48">
        <f>H896*Settings!$B$5</f>
        <v/>
      </c>
      <c r="K896">
        <f>IF(AND(A896&lt;&gt;"",C896&lt;&gt;"",D896&lt;&gt;"",H896&gt;0),"✓","⚠ missing")</f>
        <v/>
      </c>
      <c r="L896" s="44" t="n"/>
      <c r="M896" s="45" t="n"/>
      <c r="N896" s="39" t="n"/>
      <c r="O896" s="46" t="n"/>
    </row>
    <row r="897">
      <c r="H897" s="47">
        <f>IF(AND(E897&lt;&gt;"",F897&lt;&gt;""), F897-E897, IF(G897&lt;&gt;"", G897, 0))</f>
        <v/>
      </c>
      <c r="I897" s="48">
        <f>H897*Settings!$B$5</f>
        <v/>
      </c>
      <c r="K897">
        <f>IF(AND(A897&lt;&gt;"",C897&lt;&gt;"",D897&lt;&gt;"",H897&gt;0),"✓","⚠ missing")</f>
        <v/>
      </c>
      <c r="L897" s="44" t="n"/>
      <c r="M897" s="45" t="n"/>
      <c r="N897" s="39" t="n"/>
      <c r="O897" s="46" t="n"/>
    </row>
    <row r="898">
      <c r="H898" s="47">
        <f>IF(AND(E898&lt;&gt;"",F898&lt;&gt;""), F898-E898, IF(G898&lt;&gt;"", G898, 0))</f>
        <v/>
      </c>
      <c r="I898" s="48">
        <f>H898*Settings!$B$5</f>
        <v/>
      </c>
      <c r="K898">
        <f>IF(AND(A898&lt;&gt;"",C898&lt;&gt;"",D898&lt;&gt;"",H898&gt;0),"✓","⚠ missing")</f>
        <v/>
      </c>
      <c r="L898" s="44" t="n"/>
      <c r="M898" s="45" t="n"/>
      <c r="N898" s="39" t="n"/>
      <c r="O898" s="46" t="n"/>
    </row>
    <row r="899">
      <c r="H899" s="47">
        <f>IF(AND(E899&lt;&gt;"",F899&lt;&gt;""), F899-E899, IF(G899&lt;&gt;"", G899, 0))</f>
        <v/>
      </c>
      <c r="I899" s="48">
        <f>H899*Settings!$B$5</f>
        <v/>
      </c>
      <c r="K899">
        <f>IF(AND(A899&lt;&gt;"",C899&lt;&gt;"",D899&lt;&gt;"",H899&gt;0),"✓","⚠ missing")</f>
        <v/>
      </c>
      <c r="L899" s="44" t="n"/>
      <c r="M899" s="45" t="n"/>
      <c r="N899" s="39" t="n"/>
      <c r="O899" s="46" t="n"/>
    </row>
    <row r="900">
      <c r="H900" s="47">
        <f>IF(AND(E900&lt;&gt;"",F900&lt;&gt;""), F900-E900, IF(G900&lt;&gt;"", G900, 0))</f>
        <v/>
      </c>
      <c r="I900" s="48">
        <f>H900*Settings!$B$5</f>
        <v/>
      </c>
      <c r="K900">
        <f>IF(AND(A900&lt;&gt;"",C900&lt;&gt;"",D900&lt;&gt;"",H900&gt;0),"✓","⚠ missing")</f>
        <v/>
      </c>
      <c r="L900" s="44" t="n"/>
      <c r="M900" s="45" t="n"/>
      <c r="N900" s="39" t="n"/>
      <c r="O900" s="46" t="n"/>
    </row>
    <row r="901">
      <c r="H901" s="47">
        <f>IF(AND(E901&lt;&gt;"",F901&lt;&gt;""), F901-E901, IF(G901&lt;&gt;"", G901, 0))</f>
        <v/>
      </c>
      <c r="I901" s="48">
        <f>H901*Settings!$B$5</f>
        <v/>
      </c>
      <c r="K901">
        <f>IF(AND(A901&lt;&gt;"",C901&lt;&gt;"",D901&lt;&gt;"",H901&gt;0),"✓","⚠ missing")</f>
        <v/>
      </c>
      <c r="L901" s="44" t="n"/>
      <c r="M901" s="45" t="n"/>
      <c r="N901" s="39" t="n"/>
      <c r="O901" s="46" t="n"/>
    </row>
    <row r="902">
      <c r="H902" s="47">
        <f>IF(AND(E902&lt;&gt;"",F902&lt;&gt;""), F902-E902, IF(G902&lt;&gt;"", G902, 0))</f>
        <v/>
      </c>
      <c r="I902" s="48">
        <f>H902*Settings!$B$5</f>
        <v/>
      </c>
      <c r="K902">
        <f>IF(AND(A902&lt;&gt;"",C902&lt;&gt;"",D902&lt;&gt;"",H902&gt;0),"✓","⚠ missing")</f>
        <v/>
      </c>
      <c r="L902" s="44" t="n"/>
      <c r="M902" s="45" t="n"/>
      <c r="N902" s="39" t="n"/>
      <c r="O902" s="46" t="n"/>
    </row>
    <row r="903">
      <c r="H903" s="47">
        <f>IF(AND(E903&lt;&gt;"",F903&lt;&gt;""), F903-E903, IF(G903&lt;&gt;"", G903, 0))</f>
        <v/>
      </c>
      <c r="I903" s="48">
        <f>H903*Settings!$B$5</f>
        <v/>
      </c>
      <c r="K903">
        <f>IF(AND(A903&lt;&gt;"",C903&lt;&gt;"",D903&lt;&gt;"",H903&gt;0),"✓","⚠ missing")</f>
        <v/>
      </c>
      <c r="L903" s="44" t="n"/>
      <c r="M903" s="45" t="n"/>
      <c r="N903" s="39" t="n"/>
      <c r="O903" s="46" t="n"/>
    </row>
    <row r="904">
      <c r="H904" s="47">
        <f>IF(AND(E904&lt;&gt;"",F904&lt;&gt;""), F904-E904, IF(G904&lt;&gt;"", G904, 0))</f>
        <v/>
      </c>
      <c r="I904" s="48">
        <f>H904*Settings!$B$5</f>
        <v/>
      </c>
      <c r="K904">
        <f>IF(AND(A904&lt;&gt;"",C904&lt;&gt;"",D904&lt;&gt;"",H904&gt;0),"✓","⚠ missing")</f>
        <v/>
      </c>
      <c r="L904" s="44" t="n"/>
      <c r="M904" s="45" t="n"/>
      <c r="N904" s="39" t="n"/>
      <c r="O904" s="46" t="n"/>
    </row>
    <row r="905">
      <c r="H905" s="47">
        <f>IF(AND(E905&lt;&gt;"",F905&lt;&gt;""), F905-E905, IF(G905&lt;&gt;"", G905, 0))</f>
        <v/>
      </c>
      <c r="I905" s="48">
        <f>H905*Settings!$B$5</f>
        <v/>
      </c>
      <c r="K905">
        <f>IF(AND(A905&lt;&gt;"",C905&lt;&gt;"",D905&lt;&gt;"",H905&gt;0),"✓","⚠ missing")</f>
        <v/>
      </c>
      <c r="L905" s="44" t="n"/>
      <c r="M905" s="45" t="n"/>
      <c r="N905" s="39" t="n"/>
      <c r="O905" s="46" t="n"/>
    </row>
    <row r="906">
      <c r="H906" s="47">
        <f>IF(AND(E906&lt;&gt;"",F906&lt;&gt;""), F906-E906, IF(G906&lt;&gt;"", G906, 0))</f>
        <v/>
      </c>
      <c r="I906" s="48">
        <f>H906*Settings!$B$5</f>
        <v/>
      </c>
      <c r="K906">
        <f>IF(AND(A906&lt;&gt;"",C906&lt;&gt;"",D906&lt;&gt;"",H906&gt;0),"✓","⚠ missing")</f>
        <v/>
      </c>
      <c r="L906" s="44" t="n"/>
      <c r="M906" s="45" t="n"/>
      <c r="N906" s="39" t="n"/>
      <c r="O906" s="46" t="n"/>
    </row>
    <row r="907">
      <c r="H907" s="47">
        <f>IF(AND(E907&lt;&gt;"",F907&lt;&gt;""), F907-E907, IF(G907&lt;&gt;"", G907, 0))</f>
        <v/>
      </c>
      <c r="I907" s="48">
        <f>H907*Settings!$B$5</f>
        <v/>
      </c>
      <c r="K907">
        <f>IF(AND(A907&lt;&gt;"",C907&lt;&gt;"",D907&lt;&gt;"",H907&gt;0),"✓","⚠ missing")</f>
        <v/>
      </c>
      <c r="L907" s="44" t="n"/>
      <c r="M907" s="45" t="n"/>
      <c r="N907" s="39" t="n"/>
      <c r="O907" s="46" t="n"/>
    </row>
    <row r="908">
      <c r="H908" s="47">
        <f>IF(AND(E908&lt;&gt;"",F908&lt;&gt;""), F908-E908, IF(G908&lt;&gt;"", G908, 0))</f>
        <v/>
      </c>
      <c r="I908" s="48">
        <f>H908*Settings!$B$5</f>
        <v/>
      </c>
      <c r="K908">
        <f>IF(AND(A908&lt;&gt;"",C908&lt;&gt;"",D908&lt;&gt;"",H908&gt;0),"✓","⚠ missing")</f>
        <v/>
      </c>
      <c r="L908" s="44" t="n"/>
      <c r="M908" s="45" t="n"/>
      <c r="N908" s="39" t="n"/>
      <c r="O908" s="46" t="n"/>
    </row>
    <row r="909">
      <c r="H909" s="47">
        <f>IF(AND(E909&lt;&gt;"",F909&lt;&gt;""), F909-E909, IF(G909&lt;&gt;"", G909, 0))</f>
        <v/>
      </c>
      <c r="I909" s="48">
        <f>H909*Settings!$B$5</f>
        <v/>
      </c>
      <c r="K909">
        <f>IF(AND(A909&lt;&gt;"",C909&lt;&gt;"",D909&lt;&gt;"",H909&gt;0),"✓","⚠ missing")</f>
        <v/>
      </c>
      <c r="L909" s="44" t="n"/>
      <c r="M909" s="45" t="n"/>
      <c r="N909" s="39" t="n"/>
      <c r="O909" s="46" t="n"/>
    </row>
    <row r="910">
      <c r="H910" s="47">
        <f>IF(AND(E910&lt;&gt;"",F910&lt;&gt;""), F910-E910, IF(G910&lt;&gt;"", G910, 0))</f>
        <v/>
      </c>
      <c r="I910" s="48">
        <f>H910*Settings!$B$5</f>
        <v/>
      </c>
      <c r="K910">
        <f>IF(AND(A910&lt;&gt;"",C910&lt;&gt;"",D910&lt;&gt;"",H910&gt;0),"✓","⚠ missing")</f>
        <v/>
      </c>
      <c r="L910" s="44" t="n"/>
      <c r="M910" s="45" t="n"/>
      <c r="N910" s="39" t="n"/>
      <c r="O910" s="46" t="n"/>
    </row>
    <row r="911">
      <c r="H911" s="47">
        <f>IF(AND(E911&lt;&gt;"",F911&lt;&gt;""), F911-E911, IF(G911&lt;&gt;"", G911, 0))</f>
        <v/>
      </c>
      <c r="I911" s="48">
        <f>H911*Settings!$B$5</f>
        <v/>
      </c>
      <c r="K911">
        <f>IF(AND(A911&lt;&gt;"",C911&lt;&gt;"",D911&lt;&gt;"",H911&gt;0),"✓","⚠ missing")</f>
        <v/>
      </c>
      <c r="L911" s="44" t="n"/>
      <c r="M911" s="45" t="n"/>
      <c r="N911" s="39" t="n"/>
      <c r="O911" s="46" t="n"/>
    </row>
    <row r="912">
      <c r="H912" s="47">
        <f>IF(AND(E912&lt;&gt;"",F912&lt;&gt;""), F912-E912, IF(G912&lt;&gt;"", G912, 0))</f>
        <v/>
      </c>
      <c r="I912" s="48">
        <f>H912*Settings!$B$5</f>
        <v/>
      </c>
      <c r="K912">
        <f>IF(AND(A912&lt;&gt;"",C912&lt;&gt;"",D912&lt;&gt;"",H912&gt;0),"✓","⚠ missing")</f>
        <v/>
      </c>
      <c r="L912" s="44" t="n"/>
      <c r="M912" s="45" t="n"/>
      <c r="N912" s="39" t="n"/>
      <c r="O912" s="46" t="n"/>
    </row>
    <row r="913">
      <c r="H913" s="47">
        <f>IF(AND(E913&lt;&gt;"",F913&lt;&gt;""), F913-E913, IF(G913&lt;&gt;"", G913, 0))</f>
        <v/>
      </c>
      <c r="I913" s="48">
        <f>H913*Settings!$B$5</f>
        <v/>
      </c>
      <c r="K913">
        <f>IF(AND(A913&lt;&gt;"",C913&lt;&gt;"",D913&lt;&gt;"",H913&gt;0),"✓","⚠ missing")</f>
        <v/>
      </c>
      <c r="L913" s="44" t="n"/>
      <c r="M913" s="45" t="n"/>
      <c r="N913" s="39" t="n"/>
      <c r="O913" s="46" t="n"/>
    </row>
    <row r="914">
      <c r="H914" s="47">
        <f>IF(AND(E914&lt;&gt;"",F914&lt;&gt;""), F914-E914, IF(G914&lt;&gt;"", G914, 0))</f>
        <v/>
      </c>
      <c r="I914" s="48">
        <f>H914*Settings!$B$5</f>
        <v/>
      </c>
      <c r="K914">
        <f>IF(AND(A914&lt;&gt;"",C914&lt;&gt;"",D914&lt;&gt;"",H914&gt;0),"✓","⚠ missing")</f>
        <v/>
      </c>
      <c r="L914" s="44" t="n"/>
      <c r="M914" s="45" t="n"/>
      <c r="N914" s="39" t="n"/>
      <c r="O914" s="46" t="n"/>
    </row>
    <row r="915">
      <c r="H915" s="47">
        <f>IF(AND(E915&lt;&gt;"",F915&lt;&gt;""), F915-E915, IF(G915&lt;&gt;"", G915, 0))</f>
        <v/>
      </c>
      <c r="I915" s="48">
        <f>H915*Settings!$B$5</f>
        <v/>
      </c>
      <c r="K915">
        <f>IF(AND(A915&lt;&gt;"",C915&lt;&gt;"",D915&lt;&gt;"",H915&gt;0),"✓","⚠ missing")</f>
        <v/>
      </c>
      <c r="L915" s="44" t="n"/>
      <c r="M915" s="45" t="n"/>
      <c r="N915" s="39" t="n"/>
      <c r="O915" s="46" t="n"/>
    </row>
    <row r="916">
      <c r="H916" s="47">
        <f>IF(AND(E916&lt;&gt;"",F916&lt;&gt;""), F916-E916, IF(G916&lt;&gt;"", G916, 0))</f>
        <v/>
      </c>
      <c r="I916" s="48">
        <f>H916*Settings!$B$5</f>
        <v/>
      </c>
      <c r="K916">
        <f>IF(AND(A916&lt;&gt;"",C916&lt;&gt;"",D916&lt;&gt;"",H916&gt;0),"✓","⚠ missing")</f>
        <v/>
      </c>
      <c r="L916" s="44" t="n"/>
      <c r="M916" s="45" t="n"/>
      <c r="N916" s="39" t="n"/>
      <c r="O916" s="46" t="n"/>
    </row>
    <row r="917">
      <c r="H917" s="47">
        <f>IF(AND(E917&lt;&gt;"",F917&lt;&gt;""), F917-E917, IF(G917&lt;&gt;"", G917, 0))</f>
        <v/>
      </c>
      <c r="I917" s="48">
        <f>H917*Settings!$B$5</f>
        <v/>
      </c>
      <c r="K917">
        <f>IF(AND(A917&lt;&gt;"",C917&lt;&gt;"",D917&lt;&gt;"",H917&gt;0),"✓","⚠ missing")</f>
        <v/>
      </c>
      <c r="L917" s="44" t="n"/>
      <c r="M917" s="45" t="n"/>
      <c r="N917" s="39" t="n"/>
      <c r="O917" s="46" t="n"/>
    </row>
    <row r="918">
      <c r="H918" s="47">
        <f>IF(AND(E918&lt;&gt;"",F918&lt;&gt;""), F918-E918, IF(G918&lt;&gt;"", G918, 0))</f>
        <v/>
      </c>
      <c r="I918" s="48">
        <f>H918*Settings!$B$5</f>
        <v/>
      </c>
      <c r="K918">
        <f>IF(AND(A918&lt;&gt;"",C918&lt;&gt;"",D918&lt;&gt;"",H918&gt;0),"✓","⚠ missing")</f>
        <v/>
      </c>
      <c r="L918" s="44" t="n"/>
      <c r="M918" s="45" t="n"/>
      <c r="N918" s="39" t="n"/>
      <c r="O918" s="46" t="n"/>
    </row>
    <row r="919">
      <c r="H919" s="47">
        <f>IF(AND(E919&lt;&gt;"",F919&lt;&gt;""), F919-E919, IF(G919&lt;&gt;"", G919, 0))</f>
        <v/>
      </c>
      <c r="I919" s="48">
        <f>H919*Settings!$B$5</f>
        <v/>
      </c>
      <c r="K919">
        <f>IF(AND(A919&lt;&gt;"",C919&lt;&gt;"",D919&lt;&gt;"",H919&gt;0),"✓","⚠ missing")</f>
        <v/>
      </c>
      <c r="L919" s="44" t="n"/>
      <c r="M919" s="45" t="n"/>
      <c r="N919" s="39" t="n"/>
      <c r="O919" s="46" t="n"/>
    </row>
    <row r="920">
      <c r="H920" s="47">
        <f>IF(AND(E920&lt;&gt;"",F920&lt;&gt;""), F920-E920, IF(G920&lt;&gt;"", G920, 0))</f>
        <v/>
      </c>
      <c r="I920" s="48">
        <f>H920*Settings!$B$5</f>
        <v/>
      </c>
      <c r="K920">
        <f>IF(AND(A920&lt;&gt;"",C920&lt;&gt;"",D920&lt;&gt;"",H920&gt;0),"✓","⚠ missing")</f>
        <v/>
      </c>
      <c r="L920" s="44" t="n"/>
      <c r="M920" s="45" t="n"/>
      <c r="N920" s="39" t="n"/>
      <c r="O920" s="46" t="n"/>
    </row>
    <row r="921">
      <c r="H921" s="47">
        <f>IF(AND(E921&lt;&gt;"",F921&lt;&gt;""), F921-E921, IF(G921&lt;&gt;"", G921, 0))</f>
        <v/>
      </c>
      <c r="I921" s="48">
        <f>H921*Settings!$B$5</f>
        <v/>
      </c>
      <c r="K921">
        <f>IF(AND(A921&lt;&gt;"",C921&lt;&gt;"",D921&lt;&gt;"",H921&gt;0),"✓","⚠ missing")</f>
        <v/>
      </c>
      <c r="L921" s="44" t="n"/>
      <c r="M921" s="45" t="n"/>
      <c r="N921" s="39" t="n"/>
      <c r="O921" s="46" t="n"/>
    </row>
    <row r="922">
      <c r="H922" s="47">
        <f>IF(AND(E922&lt;&gt;"",F922&lt;&gt;""), F922-E922, IF(G922&lt;&gt;"", G922, 0))</f>
        <v/>
      </c>
      <c r="I922" s="48">
        <f>H922*Settings!$B$5</f>
        <v/>
      </c>
      <c r="K922">
        <f>IF(AND(A922&lt;&gt;"",C922&lt;&gt;"",D922&lt;&gt;"",H922&gt;0),"✓","⚠ missing")</f>
        <v/>
      </c>
      <c r="L922" s="44" t="n"/>
      <c r="M922" s="45" t="n"/>
      <c r="N922" s="39" t="n"/>
      <c r="O922" s="46" t="n"/>
    </row>
    <row r="923">
      <c r="H923" s="47">
        <f>IF(AND(E923&lt;&gt;"",F923&lt;&gt;""), F923-E923, IF(G923&lt;&gt;"", G923, 0))</f>
        <v/>
      </c>
      <c r="I923" s="48">
        <f>H923*Settings!$B$5</f>
        <v/>
      </c>
      <c r="K923">
        <f>IF(AND(A923&lt;&gt;"",C923&lt;&gt;"",D923&lt;&gt;"",H923&gt;0),"✓","⚠ missing")</f>
        <v/>
      </c>
      <c r="L923" s="44" t="n"/>
      <c r="M923" s="45" t="n"/>
      <c r="N923" s="39" t="n"/>
      <c r="O923" s="46" t="n"/>
    </row>
    <row r="924">
      <c r="H924" s="47">
        <f>IF(AND(E924&lt;&gt;"",F924&lt;&gt;""), F924-E924, IF(G924&lt;&gt;"", G924, 0))</f>
        <v/>
      </c>
      <c r="I924" s="48">
        <f>H924*Settings!$B$5</f>
        <v/>
      </c>
      <c r="K924">
        <f>IF(AND(A924&lt;&gt;"",C924&lt;&gt;"",D924&lt;&gt;"",H924&gt;0),"✓","⚠ missing")</f>
        <v/>
      </c>
      <c r="L924" s="44" t="n"/>
      <c r="M924" s="45" t="n"/>
      <c r="N924" s="39" t="n"/>
      <c r="O924" s="46" t="n"/>
    </row>
    <row r="925">
      <c r="H925" s="47">
        <f>IF(AND(E925&lt;&gt;"",F925&lt;&gt;""), F925-E925, IF(G925&lt;&gt;"", G925, 0))</f>
        <v/>
      </c>
      <c r="I925" s="48">
        <f>H925*Settings!$B$5</f>
        <v/>
      </c>
      <c r="K925">
        <f>IF(AND(A925&lt;&gt;"",C925&lt;&gt;"",D925&lt;&gt;"",H925&gt;0),"✓","⚠ missing")</f>
        <v/>
      </c>
      <c r="L925" s="44" t="n"/>
      <c r="M925" s="45" t="n"/>
      <c r="N925" s="39" t="n"/>
      <c r="O925" s="46" t="n"/>
    </row>
    <row r="926">
      <c r="H926" s="47">
        <f>IF(AND(E926&lt;&gt;"",F926&lt;&gt;""), F926-E926, IF(G926&lt;&gt;"", G926, 0))</f>
        <v/>
      </c>
      <c r="I926" s="48">
        <f>H926*Settings!$B$5</f>
        <v/>
      </c>
      <c r="K926">
        <f>IF(AND(A926&lt;&gt;"",C926&lt;&gt;"",D926&lt;&gt;"",H926&gt;0),"✓","⚠ missing")</f>
        <v/>
      </c>
      <c r="L926" s="44" t="n"/>
      <c r="M926" s="45" t="n"/>
      <c r="N926" s="39" t="n"/>
      <c r="O926" s="46" t="n"/>
    </row>
    <row r="927">
      <c r="H927" s="47">
        <f>IF(AND(E927&lt;&gt;"",F927&lt;&gt;""), F927-E927, IF(G927&lt;&gt;"", G927, 0))</f>
        <v/>
      </c>
      <c r="I927" s="48">
        <f>H927*Settings!$B$5</f>
        <v/>
      </c>
      <c r="K927">
        <f>IF(AND(A927&lt;&gt;"",C927&lt;&gt;"",D927&lt;&gt;"",H927&gt;0),"✓","⚠ missing")</f>
        <v/>
      </c>
      <c r="L927" s="44" t="n"/>
      <c r="M927" s="45" t="n"/>
      <c r="N927" s="39" t="n"/>
      <c r="O927" s="46" t="n"/>
    </row>
    <row r="928">
      <c r="H928" s="47">
        <f>IF(AND(E928&lt;&gt;"",F928&lt;&gt;""), F928-E928, IF(G928&lt;&gt;"", G928, 0))</f>
        <v/>
      </c>
      <c r="I928" s="48">
        <f>H928*Settings!$B$5</f>
        <v/>
      </c>
      <c r="K928">
        <f>IF(AND(A928&lt;&gt;"",C928&lt;&gt;"",D928&lt;&gt;"",H928&gt;0),"✓","⚠ missing")</f>
        <v/>
      </c>
      <c r="L928" s="44" t="n"/>
      <c r="M928" s="45" t="n"/>
      <c r="N928" s="39" t="n"/>
      <c r="O928" s="46" t="n"/>
    </row>
    <row r="929">
      <c r="H929" s="47">
        <f>IF(AND(E929&lt;&gt;"",F929&lt;&gt;""), F929-E929, IF(G929&lt;&gt;"", G929, 0))</f>
        <v/>
      </c>
      <c r="I929" s="48">
        <f>H929*Settings!$B$5</f>
        <v/>
      </c>
      <c r="K929">
        <f>IF(AND(A929&lt;&gt;"",C929&lt;&gt;"",D929&lt;&gt;"",H929&gt;0),"✓","⚠ missing")</f>
        <v/>
      </c>
      <c r="L929" s="44" t="n"/>
      <c r="M929" s="45" t="n"/>
      <c r="N929" s="39" t="n"/>
      <c r="O929" s="46" t="n"/>
    </row>
    <row r="930">
      <c r="H930" s="47">
        <f>IF(AND(E930&lt;&gt;"",F930&lt;&gt;""), F930-E930, IF(G930&lt;&gt;"", G930, 0))</f>
        <v/>
      </c>
      <c r="I930" s="48">
        <f>H930*Settings!$B$5</f>
        <v/>
      </c>
      <c r="K930">
        <f>IF(AND(A930&lt;&gt;"",C930&lt;&gt;"",D930&lt;&gt;"",H930&gt;0),"✓","⚠ missing")</f>
        <v/>
      </c>
      <c r="L930" s="44" t="n"/>
      <c r="M930" s="45" t="n"/>
      <c r="N930" s="39" t="n"/>
      <c r="O930" s="46" t="n"/>
    </row>
    <row r="931">
      <c r="H931" s="47">
        <f>IF(AND(E931&lt;&gt;"",F931&lt;&gt;""), F931-E931, IF(G931&lt;&gt;"", G931, 0))</f>
        <v/>
      </c>
      <c r="I931" s="48">
        <f>H931*Settings!$B$5</f>
        <v/>
      </c>
      <c r="K931">
        <f>IF(AND(A931&lt;&gt;"",C931&lt;&gt;"",D931&lt;&gt;"",H931&gt;0),"✓","⚠ missing")</f>
        <v/>
      </c>
      <c r="L931" s="44" t="n"/>
      <c r="M931" s="45" t="n"/>
      <c r="N931" s="39" t="n"/>
      <c r="O931" s="46" t="n"/>
    </row>
    <row r="932">
      <c r="H932" s="47">
        <f>IF(AND(E932&lt;&gt;"",F932&lt;&gt;""), F932-E932, IF(G932&lt;&gt;"", G932, 0))</f>
        <v/>
      </c>
      <c r="I932" s="48">
        <f>H932*Settings!$B$5</f>
        <v/>
      </c>
      <c r="K932">
        <f>IF(AND(A932&lt;&gt;"",C932&lt;&gt;"",D932&lt;&gt;"",H932&gt;0),"✓","⚠ missing")</f>
        <v/>
      </c>
      <c r="L932" s="44" t="n"/>
      <c r="M932" s="45" t="n"/>
      <c r="N932" s="39" t="n"/>
      <c r="O932" s="46" t="n"/>
    </row>
    <row r="933">
      <c r="H933" s="47">
        <f>IF(AND(E933&lt;&gt;"",F933&lt;&gt;""), F933-E933, IF(G933&lt;&gt;"", G933, 0))</f>
        <v/>
      </c>
      <c r="I933" s="48">
        <f>H933*Settings!$B$5</f>
        <v/>
      </c>
      <c r="K933">
        <f>IF(AND(A933&lt;&gt;"",C933&lt;&gt;"",D933&lt;&gt;"",H933&gt;0),"✓","⚠ missing")</f>
        <v/>
      </c>
      <c r="L933" s="44" t="n"/>
      <c r="M933" s="45" t="n"/>
      <c r="N933" s="39" t="n"/>
      <c r="O933" s="46" t="n"/>
    </row>
    <row r="934">
      <c r="H934" s="47">
        <f>IF(AND(E934&lt;&gt;"",F934&lt;&gt;""), F934-E934, IF(G934&lt;&gt;"", G934, 0))</f>
        <v/>
      </c>
      <c r="I934" s="48">
        <f>H934*Settings!$B$5</f>
        <v/>
      </c>
      <c r="K934">
        <f>IF(AND(A934&lt;&gt;"",C934&lt;&gt;"",D934&lt;&gt;"",H934&gt;0),"✓","⚠ missing")</f>
        <v/>
      </c>
      <c r="L934" s="44" t="n"/>
      <c r="M934" s="45" t="n"/>
      <c r="N934" s="39" t="n"/>
      <c r="O934" s="46" t="n"/>
    </row>
    <row r="935">
      <c r="H935" s="47">
        <f>IF(AND(E935&lt;&gt;"",F935&lt;&gt;""), F935-E935, IF(G935&lt;&gt;"", G935, 0))</f>
        <v/>
      </c>
      <c r="I935" s="48">
        <f>H935*Settings!$B$5</f>
        <v/>
      </c>
      <c r="K935">
        <f>IF(AND(A935&lt;&gt;"",C935&lt;&gt;"",D935&lt;&gt;"",H935&gt;0),"✓","⚠ missing")</f>
        <v/>
      </c>
      <c r="L935" s="44" t="n"/>
      <c r="M935" s="45" t="n"/>
      <c r="N935" s="39" t="n"/>
      <c r="O935" s="46" t="n"/>
    </row>
    <row r="936">
      <c r="H936" s="47">
        <f>IF(AND(E936&lt;&gt;"",F936&lt;&gt;""), F936-E936, IF(G936&lt;&gt;"", G936, 0))</f>
        <v/>
      </c>
      <c r="I936" s="48">
        <f>H936*Settings!$B$5</f>
        <v/>
      </c>
      <c r="K936">
        <f>IF(AND(A936&lt;&gt;"",C936&lt;&gt;"",D936&lt;&gt;"",H936&gt;0),"✓","⚠ missing")</f>
        <v/>
      </c>
      <c r="L936" s="44" t="n"/>
      <c r="M936" s="45" t="n"/>
      <c r="N936" s="39" t="n"/>
      <c r="O936" s="46" t="n"/>
    </row>
    <row r="937">
      <c r="H937" s="47">
        <f>IF(AND(E937&lt;&gt;"",F937&lt;&gt;""), F937-E937, IF(G937&lt;&gt;"", G937, 0))</f>
        <v/>
      </c>
      <c r="I937" s="48">
        <f>H937*Settings!$B$5</f>
        <v/>
      </c>
      <c r="K937">
        <f>IF(AND(A937&lt;&gt;"",C937&lt;&gt;"",D937&lt;&gt;"",H937&gt;0),"✓","⚠ missing")</f>
        <v/>
      </c>
      <c r="L937" s="44" t="n"/>
      <c r="M937" s="45" t="n"/>
      <c r="N937" s="39" t="n"/>
      <c r="O937" s="46" t="n"/>
    </row>
    <row r="938">
      <c r="H938" s="47">
        <f>IF(AND(E938&lt;&gt;"",F938&lt;&gt;""), F938-E938, IF(G938&lt;&gt;"", G938, 0))</f>
        <v/>
      </c>
      <c r="I938" s="48">
        <f>H938*Settings!$B$5</f>
        <v/>
      </c>
      <c r="K938">
        <f>IF(AND(A938&lt;&gt;"",C938&lt;&gt;"",D938&lt;&gt;"",H938&gt;0),"✓","⚠ missing")</f>
        <v/>
      </c>
      <c r="L938" s="44" t="n"/>
      <c r="M938" s="45" t="n"/>
      <c r="N938" s="39" t="n"/>
      <c r="O938" s="46" t="n"/>
    </row>
    <row r="939">
      <c r="H939" s="47">
        <f>IF(AND(E939&lt;&gt;"",F939&lt;&gt;""), F939-E939, IF(G939&lt;&gt;"", G939, 0))</f>
        <v/>
      </c>
      <c r="I939" s="48">
        <f>H939*Settings!$B$5</f>
        <v/>
      </c>
      <c r="K939">
        <f>IF(AND(A939&lt;&gt;"",C939&lt;&gt;"",D939&lt;&gt;"",H939&gt;0),"✓","⚠ missing")</f>
        <v/>
      </c>
      <c r="L939" s="44" t="n"/>
      <c r="M939" s="45" t="n"/>
      <c r="N939" s="39" t="n"/>
      <c r="O939" s="46" t="n"/>
    </row>
    <row r="940">
      <c r="H940" s="47">
        <f>IF(AND(E940&lt;&gt;"",F940&lt;&gt;""), F940-E940, IF(G940&lt;&gt;"", G940, 0))</f>
        <v/>
      </c>
      <c r="I940" s="48">
        <f>H940*Settings!$B$5</f>
        <v/>
      </c>
      <c r="K940">
        <f>IF(AND(A940&lt;&gt;"",C940&lt;&gt;"",D940&lt;&gt;"",H940&gt;0),"✓","⚠ missing")</f>
        <v/>
      </c>
      <c r="L940" s="44" t="n"/>
      <c r="M940" s="45" t="n"/>
      <c r="N940" s="39" t="n"/>
      <c r="O940" s="46" t="n"/>
    </row>
    <row r="941">
      <c r="H941" s="47">
        <f>IF(AND(E941&lt;&gt;"",F941&lt;&gt;""), F941-E941, IF(G941&lt;&gt;"", G941, 0))</f>
        <v/>
      </c>
      <c r="I941" s="48">
        <f>H941*Settings!$B$5</f>
        <v/>
      </c>
      <c r="K941">
        <f>IF(AND(A941&lt;&gt;"",C941&lt;&gt;"",D941&lt;&gt;"",H941&gt;0),"✓","⚠ missing")</f>
        <v/>
      </c>
      <c r="L941" s="44" t="n"/>
      <c r="M941" s="45" t="n"/>
      <c r="N941" s="39" t="n"/>
      <c r="O941" s="46" t="n"/>
    </row>
    <row r="942">
      <c r="H942" s="47">
        <f>IF(AND(E942&lt;&gt;"",F942&lt;&gt;""), F942-E942, IF(G942&lt;&gt;"", G942, 0))</f>
        <v/>
      </c>
      <c r="I942" s="48">
        <f>H942*Settings!$B$5</f>
        <v/>
      </c>
      <c r="K942">
        <f>IF(AND(A942&lt;&gt;"",C942&lt;&gt;"",D942&lt;&gt;"",H942&gt;0),"✓","⚠ missing")</f>
        <v/>
      </c>
      <c r="L942" s="44" t="n"/>
      <c r="M942" s="45" t="n"/>
      <c r="N942" s="39" t="n"/>
      <c r="O942" s="46" t="n"/>
    </row>
    <row r="943">
      <c r="H943" s="47">
        <f>IF(AND(E943&lt;&gt;"",F943&lt;&gt;""), F943-E943, IF(G943&lt;&gt;"", G943, 0))</f>
        <v/>
      </c>
      <c r="I943" s="48">
        <f>H943*Settings!$B$5</f>
        <v/>
      </c>
      <c r="K943">
        <f>IF(AND(A943&lt;&gt;"",C943&lt;&gt;"",D943&lt;&gt;"",H943&gt;0),"✓","⚠ missing")</f>
        <v/>
      </c>
      <c r="L943" s="44" t="n"/>
      <c r="M943" s="45" t="n"/>
      <c r="N943" s="39" t="n"/>
      <c r="O943" s="46" t="n"/>
    </row>
    <row r="944">
      <c r="H944" s="47">
        <f>IF(AND(E944&lt;&gt;"",F944&lt;&gt;""), F944-E944, IF(G944&lt;&gt;"", G944, 0))</f>
        <v/>
      </c>
      <c r="I944" s="48">
        <f>H944*Settings!$B$5</f>
        <v/>
      </c>
      <c r="K944">
        <f>IF(AND(A944&lt;&gt;"",C944&lt;&gt;"",D944&lt;&gt;"",H944&gt;0),"✓","⚠ missing")</f>
        <v/>
      </c>
      <c r="L944" s="44" t="n"/>
      <c r="M944" s="45" t="n"/>
      <c r="N944" s="39" t="n"/>
      <c r="O944" s="46" t="n"/>
    </row>
    <row r="945">
      <c r="H945" s="47">
        <f>IF(AND(E945&lt;&gt;"",F945&lt;&gt;""), F945-E945, IF(G945&lt;&gt;"", G945, 0))</f>
        <v/>
      </c>
      <c r="I945" s="48">
        <f>H945*Settings!$B$5</f>
        <v/>
      </c>
      <c r="K945">
        <f>IF(AND(A945&lt;&gt;"",C945&lt;&gt;"",D945&lt;&gt;"",H945&gt;0),"✓","⚠ missing")</f>
        <v/>
      </c>
      <c r="L945" s="44" t="n"/>
      <c r="M945" s="45" t="n"/>
      <c r="N945" s="39" t="n"/>
      <c r="O945" s="46" t="n"/>
    </row>
    <row r="946">
      <c r="H946" s="47">
        <f>IF(AND(E946&lt;&gt;"",F946&lt;&gt;""), F946-E946, IF(G946&lt;&gt;"", G946, 0))</f>
        <v/>
      </c>
      <c r="I946" s="48">
        <f>H946*Settings!$B$5</f>
        <v/>
      </c>
      <c r="K946">
        <f>IF(AND(A946&lt;&gt;"",C946&lt;&gt;"",D946&lt;&gt;"",H946&gt;0),"✓","⚠ missing")</f>
        <v/>
      </c>
      <c r="L946" s="44" t="n"/>
      <c r="M946" s="45" t="n"/>
      <c r="N946" s="39" t="n"/>
      <c r="O946" s="46" t="n"/>
    </row>
    <row r="947">
      <c r="H947" s="47">
        <f>IF(AND(E947&lt;&gt;"",F947&lt;&gt;""), F947-E947, IF(G947&lt;&gt;"", G947, 0))</f>
        <v/>
      </c>
      <c r="I947" s="48">
        <f>H947*Settings!$B$5</f>
        <v/>
      </c>
      <c r="K947">
        <f>IF(AND(A947&lt;&gt;"",C947&lt;&gt;"",D947&lt;&gt;"",H947&gt;0),"✓","⚠ missing")</f>
        <v/>
      </c>
      <c r="L947" s="44" t="n"/>
      <c r="M947" s="45" t="n"/>
      <c r="N947" s="39" t="n"/>
      <c r="O947" s="46" t="n"/>
    </row>
    <row r="948">
      <c r="H948" s="47">
        <f>IF(AND(E948&lt;&gt;"",F948&lt;&gt;""), F948-E948, IF(G948&lt;&gt;"", G948, 0))</f>
        <v/>
      </c>
      <c r="I948" s="48">
        <f>H948*Settings!$B$5</f>
        <v/>
      </c>
      <c r="K948">
        <f>IF(AND(A948&lt;&gt;"",C948&lt;&gt;"",D948&lt;&gt;"",H948&gt;0),"✓","⚠ missing")</f>
        <v/>
      </c>
      <c r="L948" s="44" t="n"/>
      <c r="M948" s="45" t="n"/>
      <c r="N948" s="39" t="n"/>
      <c r="O948" s="46" t="n"/>
    </row>
    <row r="949">
      <c r="H949" s="47">
        <f>IF(AND(E949&lt;&gt;"",F949&lt;&gt;""), F949-E949, IF(G949&lt;&gt;"", G949, 0))</f>
        <v/>
      </c>
      <c r="I949" s="48">
        <f>H949*Settings!$B$5</f>
        <v/>
      </c>
      <c r="K949">
        <f>IF(AND(A949&lt;&gt;"",C949&lt;&gt;"",D949&lt;&gt;"",H949&gt;0),"✓","⚠ missing")</f>
        <v/>
      </c>
      <c r="L949" s="44" t="n"/>
      <c r="M949" s="45" t="n"/>
      <c r="N949" s="39" t="n"/>
      <c r="O949" s="46" t="n"/>
    </row>
    <row r="950">
      <c r="H950" s="47">
        <f>IF(AND(E950&lt;&gt;"",F950&lt;&gt;""), F950-E950, IF(G950&lt;&gt;"", G950, 0))</f>
        <v/>
      </c>
      <c r="I950" s="48">
        <f>H950*Settings!$B$5</f>
        <v/>
      </c>
      <c r="K950">
        <f>IF(AND(A950&lt;&gt;"",C950&lt;&gt;"",D950&lt;&gt;"",H950&gt;0),"✓","⚠ missing")</f>
        <v/>
      </c>
      <c r="L950" s="44" t="n"/>
      <c r="M950" s="45" t="n"/>
      <c r="N950" s="39" t="n"/>
      <c r="O950" s="46" t="n"/>
    </row>
    <row r="951">
      <c r="H951" s="47">
        <f>IF(AND(E951&lt;&gt;"",F951&lt;&gt;""), F951-E951, IF(G951&lt;&gt;"", G951, 0))</f>
        <v/>
      </c>
      <c r="I951" s="48">
        <f>H951*Settings!$B$5</f>
        <v/>
      </c>
      <c r="K951">
        <f>IF(AND(A951&lt;&gt;"",C951&lt;&gt;"",D951&lt;&gt;"",H951&gt;0),"✓","⚠ missing")</f>
        <v/>
      </c>
      <c r="L951" s="44" t="n"/>
      <c r="M951" s="45" t="n"/>
      <c r="N951" s="39" t="n"/>
      <c r="O951" s="46" t="n"/>
    </row>
    <row r="952">
      <c r="H952" s="47">
        <f>IF(AND(E952&lt;&gt;"",F952&lt;&gt;""), F952-E952, IF(G952&lt;&gt;"", G952, 0))</f>
        <v/>
      </c>
      <c r="I952" s="48">
        <f>H952*Settings!$B$5</f>
        <v/>
      </c>
      <c r="K952">
        <f>IF(AND(A952&lt;&gt;"",C952&lt;&gt;"",D952&lt;&gt;"",H952&gt;0),"✓","⚠ missing")</f>
        <v/>
      </c>
      <c r="L952" s="44" t="n"/>
      <c r="M952" s="45" t="n"/>
      <c r="N952" s="39" t="n"/>
      <c r="O952" s="46" t="n"/>
    </row>
    <row r="953">
      <c r="H953" s="47">
        <f>IF(AND(E953&lt;&gt;"",F953&lt;&gt;""), F953-E953, IF(G953&lt;&gt;"", G953, 0))</f>
        <v/>
      </c>
      <c r="I953" s="48">
        <f>H953*Settings!$B$5</f>
        <v/>
      </c>
      <c r="K953">
        <f>IF(AND(A953&lt;&gt;"",C953&lt;&gt;"",D953&lt;&gt;"",H953&gt;0),"✓","⚠ missing")</f>
        <v/>
      </c>
      <c r="L953" s="44" t="n"/>
      <c r="M953" s="45" t="n"/>
      <c r="N953" s="39" t="n"/>
      <c r="O953" s="46" t="n"/>
    </row>
    <row r="954">
      <c r="H954" s="47">
        <f>IF(AND(E954&lt;&gt;"",F954&lt;&gt;""), F954-E954, IF(G954&lt;&gt;"", G954, 0))</f>
        <v/>
      </c>
      <c r="I954" s="48">
        <f>H954*Settings!$B$5</f>
        <v/>
      </c>
      <c r="K954">
        <f>IF(AND(A954&lt;&gt;"",C954&lt;&gt;"",D954&lt;&gt;"",H954&gt;0),"✓","⚠ missing")</f>
        <v/>
      </c>
      <c r="L954" s="44" t="n"/>
      <c r="M954" s="45" t="n"/>
      <c r="N954" s="39" t="n"/>
      <c r="O954" s="46" t="n"/>
    </row>
    <row r="955">
      <c r="H955" s="47">
        <f>IF(AND(E955&lt;&gt;"",F955&lt;&gt;""), F955-E955, IF(G955&lt;&gt;"", G955, 0))</f>
        <v/>
      </c>
      <c r="I955" s="48">
        <f>H955*Settings!$B$5</f>
        <v/>
      </c>
      <c r="K955">
        <f>IF(AND(A955&lt;&gt;"",C955&lt;&gt;"",D955&lt;&gt;"",H955&gt;0),"✓","⚠ missing")</f>
        <v/>
      </c>
      <c r="L955" s="44" t="n"/>
      <c r="M955" s="45" t="n"/>
      <c r="N955" s="39" t="n"/>
      <c r="O955" s="46" t="n"/>
    </row>
    <row r="956">
      <c r="H956" s="47">
        <f>IF(AND(E956&lt;&gt;"",F956&lt;&gt;""), F956-E956, IF(G956&lt;&gt;"", G956, 0))</f>
        <v/>
      </c>
      <c r="I956" s="48">
        <f>H956*Settings!$B$5</f>
        <v/>
      </c>
      <c r="K956">
        <f>IF(AND(A956&lt;&gt;"",C956&lt;&gt;"",D956&lt;&gt;"",H956&gt;0),"✓","⚠ missing")</f>
        <v/>
      </c>
      <c r="L956" s="44" t="n"/>
      <c r="M956" s="45" t="n"/>
      <c r="N956" s="39" t="n"/>
      <c r="O956" s="46" t="n"/>
    </row>
    <row r="957">
      <c r="H957" s="47">
        <f>IF(AND(E957&lt;&gt;"",F957&lt;&gt;""), F957-E957, IF(G957&lt;&gt;"", G957, 0))</f>
        <v/>
      </c>
      <c r="I957" s="48">
        <f>H957*Settings!$B$5</f>
        <v/>
      </c>
      <c r="K957">
        <f>IF(AND(A957&lt;&gt;"",C957&lt;&gt;"",D957&lt;&gt;"",H957&gt;0),"✓","⚠ missing")</f>
        <v/>
      </c>
      <c r="L957" s="44" t="n"/>
      <c r="M957" s="45" t="n"/>
      <c r="N957" s="39" t="n"/>
      <c r="O957" s="46" t="n"/>
    </row>
    <row r="958">
      <c r="H958" s="47">
        <f>IF(AND(E958&lt;&gt;"",F958&lt;&gt;""), F958-E958, IF(G958&lt;&gt;"", G958, 0))</f>
        <v/>
      </c>
      <c r="I958" s="48">
        <f>H958*Settings!$B$5</f>
        <v/>
      </c>
      <c r="K958">
        <f>IF(AND(A958&lt;&gt;"",C958&lt;&gt;"",D958&lt;&gt;"",H958&gt;0),"✓","⚠ missing")</f>
        <v/>
      </c>
      <c r="L958" s="44" t="n"/>
      <c r="M958" s="45" t="n"/>
      <c r="N958" s="39" t="n"/>
      <c r="O958" s="46" t="n"/>
    </row>
    <row r="959">
      <c r="H959" s="47">
        <f>IF(AND(E959&lt;&gt;"",F959&lt;&gt;""), F959-E959, IF(G959&lt;&gt;"", G959, 0))</f>
        <v/>
      </c>
      <c r="I959" s="48">
        <f>H959*Settings!$B$5</f>
        <v/>
      </c>
      <c r="K959">
        <f>IF(AND(A959&lt;&gt;"",C959&lt;&gt;"",D959&lt;&gt;"",H959&gt;0),"✓","⚠ missing")</f>
        <v/>
      </c>
      <c r="L959" s="44" t="n"/>
      <c r="M959" s="45" t="n"/>
      <c r="N959" s="39" t="n"/>
      <c r="O959" s="46" t="n"/>
    </row>
    <row r="960">
      <c r="H960" s="47">
        <f>IF(AND(E960&lt;&gt;"",F960&lt;&gt;""), F960-E960, IF(G960&lt;&gt;"", G960, 0))</f>
        <v/>
      </c>
      <c r="I960" s="48">
        <f>H960*Settings!$B$5</f>
        <v/>
      </c>
      <c r="K960">
        <f>IF(AND(A960&lt;&gt;"",C960&lt;&gt;"",D960&lt;&gt;"",H960&gt;0),"✓","⚠ missing")</f>
        <v/>
      </c>
      <c r="L960" s="44" t="n"/>
      <c r="M960" s="45" t="n"/>
      <c r="N960" s="39" t="n"/>
      <c r="O960" s="46" t="n"/>
    </row>
    <row r="961">
      <c r="H961" s="47">
        <f>IF(AND(E961&lt;&gt;"",F961&lt;&gt;""), F961-E961, IF(G961&lt;&gt;"", G961, 0))</f>
        <v/>
      </c>
      <c r="I961" s="48">
        <f>H961*Settings!$B$5</f>
        <v/>
      </c>
      <c r="K961">
        <f>IF(AND(A961&lt;&gt;"",C961&lt;&gt;"",D961&lt;&gt;"",H961&gt;0),"✓","⚠ missing")</f>
        <v/>
      </c>
      <c r="L961" s="44" t="n"/>
      <c r="M961" s="45" t="n"/>
      <c r="N961" s="39" t="n"/>
      <c r="O961" s="46" t="n"/>
    </row>
    <row r="962">
      <c r="H962" s="47">
        <f>IF(AND(E962&lt;&gt;"",F962&lt;&gt;""), F962-E962, IF(G962&lt;&gt;"", G962, 0))</f>
        <v/>
      </c>
      <c r="I962" s="48">
        <f>H962*Settings!$B$5</f>
        <v/>
      </c>
      <c r="K962">
        <f>IF(AND(A962&lt;&gt;"",C962&lt;&gt;"",D962&lt;&gt;"",H962&gt;0),"✓","⚠ missing")</f>
        <v/>
      </c>
      <c r="L962" s="44" t="n"/>
      <c r="M962" s="45" t="n"/>
      <c r="N962" s="39" t="n"/>
      <c r="O962" s="46" t="n"/>
    </row>
    <row r="963">
      <c r="H963" s="47">
        <f>IF(AND(E963&lt;&gt;"",F963&lt;&gt;""), F963-E963, IF(G963&lt;&gt;"", G963, 0))</f>
        <v/>
      </c>
      <c r="I963" s="48">
        <f>H963*Settings!$B$5</f>
        <v/>
      </c>
      <c r="K963">
        <f>IF(AND(A963&lt;&gt;"",C963&lt;&gt;"",D963&lt;&gt;"",H963&gt;0),"✓","⚠ missing")</f>
        <v/>
      </c>
      <c r="L963" s="44" t="n"/>
      <c r="M963" s="45" t="n"/>
      <c r="N963" s="39" t="n"/>
      <c r="O963" s="46" t="n"/>
    </row>
    <row r="964">
      <c r="H964" s="47">
        <f>IF(AND(E964&lt;&gt;"",F964&lt;&gt;""), F964-E964, IF(G964&lt;&gt;"", G964, 0))</f>
        <v/>
      </c>
      <c r="I964" s="48">
        <f>H964*Settings!$B$5</f>
        <v/>
      </c>
      <c r="K964">
        <f>IF(AND(A964&lt;&gt;"",C964&lt;&gt;"",D964&lt;&gt;"",H964&gt;0),"✓","⚠ missing")</f>
        <v/>
      </c>
      <c r="L964" s="44" t="n"/>
      <c r="M964" s="45" t="n"/>
      <c r="N964" s="39" t="n"/>
      <c r="O964" s="46" t="n"/>
    </row>
    <row r="965">
      <c r="H965" s="47">
        <f>IF(AND(E965&lt;&gt;"",F965&lt;&gt;""), F965-E965, IF(G965&lt;&gt;"", G965, 0))</f>
        <v/>
      </c>
      <c r="I965" s="48">
        <f>H965*Settings!$B$5</f>
        <v/>
      </c>
      <c r="K965">
        <f>IF(AND(A965&lt;&gt;"",C965&lt;&gt;"",D965&lt;&gt;"",H965&gt;0),"✓","⚠ missing")</f>
        <v/>
      </c>
      <c r="L965" s="44" t="n"/>
      <c r="M965" s="45" t="n"/>
      <c r="N965" s="39" t="n"/>
      <c r="O965" s="46" t="n"/>
    </row>
    <row r="966">
      <c r="H966" s="47">
        <f>IF(AND(E966&lt;&gt;"",F966&lt;&gt;""), F966-E966, IF(G966&lt;&gt;"", G966, 0))</f>
        <v/>
      </c>
      <c r="I966" s="48">
        <f>H966*Settings!$B$5</f>
        <v/>
      </c>
      <c r="K966">
        <f>IF(AND(A966&lt;&gt;"",C966&lt;&gt;"",D966&lt;&gt;"",H966&gt;0),"✓","⚠ missing")</f>
        <v/>
      </c>
      <c r="L966" s="44" t="n"/>
      <c r="M966" s="45" t="n"/>
      <c r="N966" s="39" t="n"/>
      <c r="O966" s="46" t="n"/>
    </row>
    <row r="967">
      <c r="H967" s="47">
        <f>IF(AND(E967&lt;&gt;"",F967&lt;&gt;""), F967-E967, IF(G967&lt;&gt;"", G967, 0))</f>
        <v/>
      </c>
      <c r="I967" s="48">
        <f>H967*Settings!$B$5</f>
        <v/>
      </c>
      <c r="K967">
        <f>IF(AND(A967&lt;&gt;"",C967&lt;&gt;"",D967&lt;&gt;"",H967&gt;0),"✓","⚠ missing")</f>
        <v/>
      </c>
      <c r="L967" s="44" t="n"/>
      <c r="M967" s="45" t="n"/>
      <c r="N967" s="39" t="n"/>
      <c r="O967" s="46" t="n"/>
    </row>
    <row r="968">
      <c r="H968" s="47">
        <f>IF(AND(E968&lt;&gt;"",F968&lt;&gt;""), F968-E968, IF(G968&lt;&gt;"", G968, 0))</f>
        <v/>
      </c>
      <c r="I968" s="48">
        <f>H968*Settings!$B$5</f>
        <v/>
      </c>
      <c r="K968">
        <f>IF(AND(A968&lt;&gt;"",C968&lt;&gt;"",D968&lt;&gt;"",H968&gt;0),"✓","⚠ missing")</f>
        <v/>
      </c>
      <c r="L968" s="44" t="n"/>
      <c r="M968" s="45" t="n"/>
      <c r="N968" s="39" t="n"/>
      <c r="O968" s="46" t="n"/>
    </row>
    <row r="969">
      <c r="H969" s="47">
        <f>IF(AND(E969&lt;&gt;"",F969&lt;&gt;""), F969-E969, IF(G969&lt;&gt;"", G969, 0))</f>
        <v/>
      </c>
      <c r="I969" s="48">
        <f>H969*Settings!$B$5</f>
        <v/>
      </c>
      <c r="K969">
        <f>IF(AND(A969&lt;&gt;"",C969&lt;&gt;"",D969&lt;&gt;"",H969&gt;0),"✓","⚠ missing")</f>
        <v/>
      </c>
      <c r="L969" s="44" t="n"/>
      <c r="M969" s="45" t="n"/>
      <c r="N969" s="39" t="n"/>
      <c r="O969" s="46" t="n"/>
    </row>
    <row r="970">
      <c r="H970" s="47">
        <f>IF(AND(E970&lt;&gt;"",F970&lt;&gt;""), F970-E970, IF(G970&lt;&gt;"", G970, 0))</f>
        <v/>
      </c>
      <c r="I970" s="48">
        <f>H970*Settings!$B$5</f>
        <v/>
      </c>
      <c r="K970">
        <f>IF(AND(A970&lt;&gt;"",C970&lt;&gt;"",D970&lt;&gt;"",H970&gt;0),"✓","⚠ missing")</f>
        <v/>
      </c>
      <c r="L970" s="44" t="n"/>
      <c r="M970" s="45" t="n"/>
      <c r="N970" s="39" t="n"/>
      <c r="O970" s="46" t="n"/>
    </row>
    <row r="971">
      <c r="H971" s="47">
        <f>IF(AND(E971&lt;&gt;"",F971&lt;&gt;""), F971-E971, IF(G971&lt;&gt;"", G971, 0))</f>
        <v/>
      </c>
      <c r="I971" s="48">
        <f>H971*Settings!$B$5</f>
        <v/>
      </c>
      <c r="K971">
        <f>IF(AND(A971&lt;&gt;"",C971&lt;&gt;"",D971&lt;&gt;"",H971&gt;0),"✓","⚠ missing")</f>
        <v/>
      </c>
      <c r="L971" s="44" t="n"/>
      <c r="M971" s="45" t="n"/>
      <c r="N971" s="39" t="n"/>
      <c r="O971" s="46" t="n"/>
    </row>
    <row r="972">
      <c r="H972" s="47">
        <f>IF(AND(E972&lt;&gt;"",F972&lt;&gt;""), F972-E972, IF(G972&lt;&gt;"", G972, 0))</f>
        <v/>
      </c>
      <c r="I972" s="48">
        <f>H972*Settings!$B$5</f>
        <v/>
      </c>
      <c r="K972">
        <f>IF(AND(A972&lt;&gt;"",C972&lt;&gt;"",D972&lt;&gt;"",H972&gt;0),"✓","⚠ missing")</f>
        <v/>
      </c>
      <c r="L972" s="44" t="n"/>
      <c r="M972" s="45" t="n"/>
      <c r="N972" s="39" t="n"/>
      <c r="O972" s="46" t="n"/>
    </row>
    <row r="973">
      <c r="H973" s="47">
        <f>IF(AND(E973&lt;&gt;"",F973&lt;&gt;""), F973-E973, IF(G973&lt;&gt;"", G973, 0))</f>
        <v/>
      </c>
      <c r="I973" s="48">
        <f>H973*Settings!$B$5</f>
        <v/>
      </c>
      <c r="K973">
        <f>IF(AND(A973&lt;&gt;"",C973&lt;&gt;"",D973&lt;&gt;"",H973&gt;0),"✓","⚠ missing")</f>
        <v/>
      </c>
      <c r="L973" s="44" t="n"/>
      <c r="M973" s="45" t="n"/>
      <c r="N973" s="39" t="n"/>
      <c r="O973" s="46" t="n"/>
    </row>
    <row r="974">
      <c r="H974" s="47">
        <f>IF(AND(E974&lt;&gt;"",F974&lt;&gt;""), F974-E974, IF(G974&lt;&gt;"", G974, 0))</f>
        <v/>
      </c>
      <c r="I974" s="48">
        <f>H974*Settings!$B$5</f>
        <v/>
      </c>
      <c r="K974">
        <f>IF(AND(A974&lt;&gt;"",C974&lt;&gt;"",D974&lt;&gt;"",H974&gt;0),"✓","⚠ missing")</f>
        <v/>
      </c>
      <c r="L974" s="44" t="n"/>
      <c r="M974" s="45" t="n"/>
      <c r="N974" s="39" t="n"/>
      <c r="O974" s="46" t="n"/>
    </row>
    <row r="975">
      <c r="H975" s="47">
        <f>IF(AND(E975&lt;&gt;"",F975&lt;&gt;""), F975-E975, IF(G975&lt;&gt;"", G975, 0))</f>
        <v/>
      </c>
      <c r="I975" s="48">
        <f>H975*Settings!$B$5</f>
        <v/>
      </c>
      <c r="K975">
        <f>IF(AND(A975&lt;&gt;"",C975&lt;&gt;"",D975&lt;&gt;"",H975&gt;0),"✓","⚠ missing")</f>
        <v/>
      </c>
      <c r="L975" s="44" t="n"/>
      <c r="M975" s="45" t="n"/>
      <c r="N975" s="39" t="n"/>
      <c r="O975" s="46" t="n"/>
    </row>
    <row r="976">
      <c r="H976" s="47">
        <f>IF(AND(E976&lt;&gt;"",F976&lt;&gt;""), F976-E976, IF(G976&lt;&gt;"", G976, 0))</f>
        <v/>
      </c>
      <c r="I976" s="48">
        <f>H976*Settings!$B$5</f>
        <v/>
      </c>
      <c r="K976">
        <f>IF(AND(A976&lt;&gt;"",C976&lt;&gt;"",D976&lt;&gt;"",H976&gt;0),"✓","⚠ missing")</f>
        <v/>
      </c>
      <c r="L976" s="44" t="n"/>
      <c r="M976" s="45" t="n"/>
      <c r="N976" s="39" t="n"/>
      <c r="O976" s="46" t="n"/>
    </row>
    <row r="977">
      <c r="H977" s="47">
        <f>IF(AND(E977&lt;&gt;"",F977&lt;&gt;""), F977-E977, IF(G977&lt;&gt;"", G977, 0))</f>
        <v/>
      </c>
      <c r="I977" s="48">
        <f>H977*Settings!$B$5</f>
        <v/>
      </c>
      <c r="K977">
        <f>IF(AND(A977&lt;&gt;"",C977&lt;&gt;"",D977&lt;&gt;"",H977&gt;0),"✓","⚠ missing")</f>
        <v/>
      </c>
      <c r="L977" s="44" t="n"/>
      <c r="M977" s="45" t="n"/>
      <c r="N977" s="39" t="n"/>
      <c r="O977" s="46" t="n"/>
    </row>
    <row r="978">
      <c r="H978" s="47">
        <f>IF(AND(E978&lt;&gt;"",F978&lt;&gt;""), F978-E978, IF(G978&lt;&gt;"", G978, 0))</f>
        <v/>
      </c>
      <c r="I978" s="48">
        <f>H978*Settings!$B$5</f>
        <v/>
      </c>
      <c r="K978">
        <f>IF(AND(A978&lt;&gt;"",C978&lt;&gt;"",D978&lt;&gt;"",H978&gt;0),"✓","⚠ missing")</f>
        <v/>
      </c>
      <c r="L978" s="44" t="n"/>
      <c r="M978" s="45" t="n"/>
      <c r="N978" s="39" t="n"/>
      <c r="O978" s="46" t="n"/>
    </row>
    <row r="979">
      <c r="H979" s="47">
        <f>IF(AND(E979&lt;&gt;"",F979&lt;&gt;""), F979-E979, IF(G979&lt;&gt;"", G979, 0))</f>
        <v/>
      </c>
      <c r="I979" s="48">
        <f>H979*Settings!$B$5</f>
        <v/>
      </c>
      <c r="K979">
        <f>IF(AND(A979&lt;&gt;"",C979&lt;&gt;"",D979&lt;&gt;"",H979&gt;0),"✓","⚠ missing")</f>
        <v/>
      </c>
      <c r="L979" s="44" t="n"/>
      <c r="M979" s="45" t="n"/>
      <c r="N979" s="39" t="n"/>
      <c r="O979" s="46" t="n"/>
    </row>
    <row r="980">
      <c r="H980" s="47">
        <f>IF(AND(E980&lt;&gt;"",F980&lt;&gt;""), F980-E980, IF(G980&lt;&gt;"", G980, 0))</f>
        <v/>
      </c>
      <c r="I980" s="48">
        <f>H980*Settings!$B$5</f>
        <v/>
      </c>
      <c r="K980">
        <f>IF(AND(A980&lt;&gt;"",C980&lt;&gt;"",D980&lt;&gt;"",H980&gt;0),"✓","⚠ missing")</f>
        <v/>
      </c>
      <c r="L980" s="44" t="n"/>
      <c r="M980" s="45" t="n"/>
      <c r="N980" s="39" t="n"/>
      <c r="O980" s="46" t="n"/>
    </row>
    <row r="981">
      <c r="H981" s="47">
        <f>IF(AND(E981&lt;&gt;"",F981&lt;&gt;""), F981-E981, IF(G981&lt;&gt;"", G981, 0))</f>
        <v/>
      </c>
      <c r="I981" s="48">
        <f>H981*Settings!$B$5</f>
        <v/>
      </c>
      <c r="K981">
        <f>IF(AND(A981&lt;&gt;"",C981&lt;&gt;"",D981&lt;&gt;"",H981&gt;0),"✓","⚠ missing")</f>
        <v/>
      </c>
      <c r="L981" s="44" t="n"/>
      <c r="M981" s="45" t="n"/>
      <c r="N981" s="39" t="n"/>
      <c r="O981" s="46" t="n"/>
    </row>
    <row r="982">
      <c r="H982" s="47">
        <f>IF(AND(E982&lt;&gt;"",F982&lt;&gt;""), F982-E982, IF(G982&lt;&gt;"", G982, 0))</f>
        <v/>
      </c>
      <c r="I982" s="48">
        <f>H982*Settings!$B$5</f>
        <v/>
      </c>
      <c r="K982">
        <f>IF(AND(A982&lt;&gt;"",C982&lt;&gt;"",D982&lt;&gt;"",H982&gt;0),"✓","⚠ missing")</f>
        <v/>
      </c>
      <c r="L982" s="44" t="n"/>
      <c r="M982" s="45" t="n"/>
      <c r="N982" s="39" t="n"/>
      <c r="O982" s="46" t="n"/>
    </row>
    <row r="983">
      <c r="H983" s="47">
        <f>IF(AND(E983&lt;&gt;"",F983&lt;&gt;""), F983-E983, IF(G983&lt;&gt;"", G983, 0))</f>
        <v/>
      </c>
      <c r="I983" s="48">
        <f>H983*Settings!$B$5</f>
        <v/>
      </c>
      <c r="K983">
        <f>IF(AND(A983&lt;&gt;"",C983&lt;&gt;"",D983&lt;&gt;"",H983&gt;0),"✓","⚠ missing")</f>
        <v/>
      </c>
      <c r="L983" s="44" t="n"/>
      <c r="M983" s="45" t="n"/>
      <c r="N983" s="39" t="n"/>
      <c r="O983" s="46" t="n"/>
    </row>
    <row r="984">
      <c r="H984" s="47">
        <f>IF(AND(E984&lt;&gt;"",F984&lt;&gt;""), F984-E984, IF(G984&lt;&gt;"", G984, 0))</f>
        <v/>
      </c>
      <c r="I984" s="48">
        <f>H984*Settings!$B$5</f>
        <v/>
      </c>
      <c r="K984">
        <f>IF(AND(A984&lt;&gt;"",C984&lt;&gt;"",D984&lt;&gt;"",H984&gt;0),"✓","⚠ missing")</f>
        <v/>
      </c>
      <c r="L984" s="44" t="n"/>
      <c r="M984" s="45" t="n"/>
      <c r="N984" s="39" t="n"/>
      <c r="O984" s="46" t="n"/>
    </row>
    <row r="985">
      <c r="H985" s="47">
        <f>IF(AND(E985&lt;&gt;"",F985&lt;&gt;""), F985-E985, IF(G985&lt;&gt;"", G985, 0))</f>
        <v/>
      </c>
      <c r="I985" s="48">
        <f>H985*Settings!$B$5</f>
        <v/>
      </c>
      <c r="K985">
        <f>IF(AND(A985&lt;&gt;"",C985&lt;&gt;"",D985&lt;&gt;"",H985&gt;0),"✓","⚠ missing")</f>
        <v/>
      </c>
      <c r="L985" s="44" t="n"/>
      <c r="M985" s="45" t="n"/>
      <c r="N985" s="39" t="n"/>
      <c r="O985" s="46" t="n"/>
    </row>
    <row r="986">
      <c r="H986" s="47">
        <f>IF(AND(E986&lt;&gt;"",F986&lt;&gt;""), F986-E986, IF(G986&lt;&gt;"", G986, 0))</f>
        <v/>
      </c>
      <c r="I986" s="48">
        <f>H986*Settings!$B$5</f>
        <v/>
      </c>
      <c r="K986">
        <f>IF(AND(A986&lt;&gt;"",C986&lt;&gt;"",D986&lt;&gt;"",H986&gt;0),"✓","⚠ missing")</f>
        <v/>
      </c>
      <c r="L986" s="44" t="n"/>
      <c r="M986" s="45" t="n"/>
      <c r="N986" s="39" t="n"/>
      <c r="O986" s="46" t="n"/>
    </row>
    <row r="987">
      <c r="H987" s="47">
        <f>IF(AND(E987&lt;&gt;"",F987&lt;&gt;""), F987-E987, IF(G987&lt;&gt;"", G987, 0))</f>
        <v/>
      </c>
      <c r="I987" s="48">
        <f>H987*Settings!$B$5</f>
        <v/>
      </c>
      <c r="K987">
        <f>IF(AND(A987&lt;&gt;"",C987&lt;&gt;"",D987&lt;&gt;"",H987&gt;0),"✓","⚠ missing")</f>
        <v/>
      </c>
      <c r="L987" s="44" t="n"/>
      <c r="M987" s="45" t="n"/>
      <c r="N987" s="39" t="n"/>
      <c r="O987" s="46" t="n"/>
    </row>
    <row r="988">
      <c r="H988" s="47">
        <f>IF(AND(E988&lt;&gt;"",F988&lt;&gt;""), F988-E988, IF(G988&lt;&gt;"", G988, 0))</f>
        <v/>
      </c>
      <c r="I988" s="48">
        <f>H988*Settings!$B$5</f>
        <v/>
      </c>
      <c r="K988">
        <f>IF(AND(A988&lt;&gt;"",C988&lt;&gt;"",D988&lt;&gt;"",H988&gt;0),"✓","⚠ missing")</f>
        <v/>
      </c>
      <c r="L988" s="44" t="n"/>
      <c r="M988" s="45" t="n"/>
      <c r="N988" s="39" t="n"/>
      <c r="O988" s="46" t="n"/>
    </row>
    <row r="989">
      <c r="H989" s="47">
        <f>IF(AND(E989&lt;&gt;"",F989&lt;&gt;""), F989-E989, IF(G989&lt;&gt;"", G989, 0))</f>
        <v/>
      </c>
      <c r="I989" s="48">
        <f>H989*Settings!$B$5</f>
        <v/>
      </c>
      <c r="K989">
        <f>IF(AND(A989&lt;&gt;"",C989&lt;&gt;"",D989&lt;&gt;"",H989&gt;0),"✓","⚠ missing")</f>
        <v/>
      </c>
      <c r="L989" s="44" t="n"/>
      <c r="M989" s="45" t="n"/>
      <c r="N989" s="39" t="n"/>
      <c r="O989" s="46" t="n"/>
    </row>
    <row r="990">
      <c r="H990" s="47">
        <f>IF(AND(E990&lt;&gt;"",F990&lt;&gt;""), F990-E990, IF(G990&lt;&gt;"", G990, 0))</f>
        <v/>
      </c>
      <c r="I990" s="48">
        <f>H990*Settings!$B$5</f>
        <v/>
      </c>
      <c r="K990">
        <f>IF(AND(A990&lt;&gt;"",C990&lt;&gt;"",D990&lt;&gt;"",H990&gt;0),"✓","⚠ missing")</f>
        <v/>
      </c>
      <c r="L990" s="44" t="n"/>
      <c r="M990" s="45" t="n"/>
      <c r="N990" s="39" t="n"/>
      <c r="O990" s="46" t="n"/>
    </row>
    <row r="991">
      <c r="H991" s="47">
        <f>IF(AND(E991&lt;&gt;"",F991&lt;&gt;""), F991-E991, IF(G991&lt;&gt;"", G991, 0))</f>
        <v/>
      </c>
      <c r="I991" s="48">
        <f>H991*Settings!$B$5</f>
        <v/>
      </c>
      <c r="K991">
        <f>IF(AND(A991&lt;&gt;"",C991&lt;&gt;"",D991&lt;&gt;"",H991&gt;0),"✓","⚠ missing")</f>
        <v/>
      </c>
      <c r="L991" s="44" t="n"/>
      <c r="M991" s="45" t="n"/>
      <c r="N991" s="39" t="n"/>
      <c r="O991" s="46" t="n"/>
    </row>
    <row r="992">
      <c r="H992" s="47">
        <f>IF(AND(E992&lt;&gt;"",F992&lt;&gt;""), F992-E992, IF(G992&lt;&gt;"", G992, 0))</f>
        <v/>
      </c>
      <c r="I992" s="48">
        <f>H992*Settings!$B$5</f>
        <v/>
      </c>
      <c r="K992">
        <f>IF(AND(A992&lt;&gt;"",C992&lt;&gt;"",D992&lt;&gt;"",H992&gt;0),"✓","⚠ missing")</f>
        <v/>
      </c>
      <c r="L992" s="44" t="n"/>
      <c r="M992" s="45" t="n"/>
      <c r="N992" s="39" t="n"/>
      <c r="O992" s="46" t="n"/>
    </row>
    <row r="993">
      <c r="H993" s="47">
        <f>IF(AND(E993&lt;&gt;"",F993&lt;&gt;""), F993-E993, IF(G993&lt;&gt;"", G993, 0))</f>
        <v/>
      </c>
      <c r="I993" s="48">
        <f>H993*Settings!$B$5</f>
        <v/>
      </c>
      <c r="K993">
        <f>IF(AND(A993&lt;&gt;"",C993&lt;&gt;"",D993&lt;&gt;"",H993&gt;0),"✓","⚠ missing")</f>
        <v/>
      </c>
      <c r="L993" s="44" t="n"/>
      <c r="M993" s="45" t="n"/>
      <c r="N993" s="39" t="n"/>
      <c r="O993" s="46" t="n"/>
    </row>
    <row r="994">
      <c r="H994" s="47">
        <f>IF(AND(E994&lt;&gt;"",F994&lt;&gt;""), F994-E994, IF(G994&lt;&gt;"", G994, 0))</f>
        <v/>
      </c>
      <c r="I994" s="48">
        <f>H994*Settings!$B$5</f>
        <v/>
      </c>
      <c r="K994">
        <f>IF(AND(A994&lt;&gt;"",C994&lt;&gt;"",D994&lt;&gt;"",H994&gt;0),"✓","⚠ missing")</f>
        <v/>
      </c>
      <c r="L994" s="44" t="n"/>
      <c r="M994" s="45" t="n"/>
      <c r="N994" s="39" t="n"/>
      <c r="O994" s="46" t="n"/>
    </row>
    <row r="995">
      <c r="H995" s="47">
        <f>IF(AND(E995&lt;&gt;"",F995&lt;&gt;""), F995-E995, IF(G995&lt;&gt;"", G995, 0))</f>
        <v/>
      </c>
      <c r="I995" s="48">
        <f>H995*Settings!$B$5</f>
        <v/>
      </c>
      <c r="K995">
        <f>IF(AND(A995&lt;&gt;"",C995&lt;&gt;"",D995&lt;&gt;"",H995&gt;0),"✓","⚠ missing")</f>
        <v/>
      </c>
      <c r="L995" s="44" t="n"/>
      <c r="M995" s="45" t="n"/>
      <c r="N995" s="39" t="n"/>
      <c r="O995" s="46" t="n"/>
    </row>
    <row r="996">
      <c r="H996" s="47">
        <f>IF(AND(E996&lt;&gt;"",F996&lt;&gt;""), F996-E996, IF(G996&lt;&gt;"", G996, 0))</f>
        <v/>
      </c>
      <c r="I996" s="48">
        <f>H996*Settings!$B$5</f>
        <v/>
      </c>
      <c r="K996">
        <f>IF(AND(A996&lt;&gt;"",C996&lt;&gt;"",D996&lt;&gt;"",H996&gt;0),"✓","⚠ missing")</f>
        <v/>
      </c>
      <c r="L996" s="44" t="n"/>
      <c r="M996" s="45" t="n"/>
      <c r="N996" s="39" t="n"/>
      <c r="O996" s="46" t="n"/>
    </row>
    <row r="997">
      <c r="H997" s="47">
        <f>IF(AND(E997&lt;&gt;"",F997&lt;&gt;""), F997-E997, IF(G997&lt;&gt;"", G997, 0))</f>
        <v/>
      </c>
      <c r="I997" s="48">
        <f>H997*Settings!$B$5</f>
        <v/>
      </c>
      <c r="K997">
        <f>IF(AND(A997&lt;&gt;"",C997&lt;&gt;"",D997&lt;&gt;"",H997&gt;0),"✓","⚠ missing")</f>
        <v/>
      </c>
      <c r="L997" s="44" t="n"/>
      <c r="M997" s="45" t="n"/>
      <c r="N997" s="39" t="n"/>
      <c r="O997" s="46" t="n"/>
    </row>
    <row r="998">
      <c r="H998" s="47">
        <f>IF(AND(E998&lt;&gt;"",F998&lt;&gt;""), F998-E998, IF(G998&lt;&gt;"", G998, 0))</f>
        <v/>
      </c>
      <c r="I998" s="48">
        <f>H998*Settings!$B$5</f>
        <v/>
      </c>
      <c r="K998">
        <f>IF(AND(A998&lt;&gt;"",C998&lt;&gt;"",D998&lt;&gt;"",H998&gt;0),"✓","⚠ missing")</f>
        <v/>
      </c>
      <c r="L998" s="44" t="n"/>
      <c r="M998" s="45" t="n"/>
      <c r="N998" s="39" t="n"/>
      <c r="O998" s="46" t="n"/>
    </row>
    <row r="999">
      <c r="H999" s="47">
        <f>IF(AND(E999&lt;&gt;"",F999&lt;&gt;""), F999-E999, IF(G999&lt;&gt;"", G999, 0))</f>
        <v/>
      </c>
      <c r="I999" s="48">
        <f>H999*Settings!$B$5</f>
        <v/>
      </c>
      <c r="K999">
        <f>IF(AND(A999&lt;&gt;"",C999&lt;&gt;"",D999&lt;&gt;"",H999&gt;0),"✓","⚠ missing")</f>
        <v/>
      </c>
      <c r="L999" s="44" t="n"/>
      <c r="M999" s="45" t="n"/>
      <c r="N999" s="39" t="n"/>
      <c r="O999" s="46" t="n"/>
    </row>
    <row r="1000">
      <c r="H1000" s="47">
        <f>IF(AND(E1000&lt;&gt;"",F1000&lt;&gt;""), F1000-E1000, IF(G1000&lt;&gt;"", G1000, 0))</f>
        <v/>
      </c>
      <c r="I1000" s="48">
        <f>H1000*Settings!$B$5</f>
        <v/>
      </c>
      <c r="K1000">
        <f>IF(AND(A1000&lt;&gt;"",C1000&lt;&gt;"",D1000&lt;&gt;"",H1000&gt;0),"✓","⚠ missing")</f>
        <v/>
      </c>
      <c r="L1000" s="44" t="n"/>
      <c r="M1000" s="45" t="n"/>
      <c r="N1000" s="39" t="n"/>
      <c r="O1000" s="46" t="n"/>
    </row>
    <row r="1001">
      <c r="H1001" s="47">
        <f>IF(AND(E1001&lt;&gt;"",F1001&lt;&gt;""), F1001-E1001, IF(G1001&lt;&gt;"", G1001, 0))</f>
        <v/>
      </c>
      <c r="I1001" s="48">
        <f>H1001*Settings!$B$5</f>
        <v/>
      </c>
      <c r="K1001">
        <f>IF(AND(A1001&lt;&gt;"",C1001&lt;&gt;"",D1001&lt;&gt;"",H1001&gt;0),"✓","⚠ missing")</f>
        <v/>
      </c>
      <c r="L1001" s="44" t="n"/>
      <c r="M1001" s="45" t="n"/>
      <c r="N1001" s="39" t="n"/>
      <c r="O1001" s="46" t="n"/>
    </row>
    <row r="1002">
      <c r="H1002" s="47">
        <f>IF(AND(E1002&lt;&gt;"",F1002&lt;&gt;""), F1002-E1002, IF(G1002&lt;&gt;"", G1002, 0))</f>
        <v/>
      </c>
      <c r="I1002" s="48">
        <f>H1002*Settings!$B$5</f>
        <v/>
      </c>
      <c r="K1002">
        <f>IF(AND(A1002&lt;&gt;"",C1002&lt;&gt;"",D1002&lt;&gt;"",H1002&gt;0),"✓","⚠ missing")</f>
        <v/>
      </c>
      <c r="L1002" s="44" t="n"/>
      <c r="M1002" s="45" t="n"/>
      <c r="N1002" s="39" t="n"/>
      <c r="O1002" s="46" t="n"/>
    </row>
    <row r="1003">
      <c r="H1003" s="47">
        <f>IF(AND(E1003&lt;&gt;"",F1003&lt;&gt;""), F1003-E1003, IF(G1003&lt;&gt;"", G1003, 0))</f>
        <v/>
      </c>
      <c r="I1003" s="48">
        <f>H1003*Settings!$B$5</f>
        <v/>
      </c>
      <c r="K1003">
        <f>IF(AND(A1003&lt;&gt;"",C1003&lt;&gt;"",D1003&lt;&gt;"",H1003&gt;0),"✓","⚠ missing")</f>
        <v/>
      </c>
      <c r="L1003" s="44" t="n"/>
      <c r="M1003" s="45" t="n"/>
      <c r="N1003" s="39" t="n"/>
      <c r="O1003" s="46" t="n"/>
    </row>
    <row r="1004">
      <c r="H1004" s="47">
        <f>IF(AND(E1004&lt;&gt;"",F1004&lt;&gt;""), F1004-E1004, IF(G1004&lt;&gt;"", G1004, 0))</f>
        <v/>
      </c>
      <c r="I1004" s="48">
        <f>H1004*Settings!$B$5</f>
        <v/>
      </c>
      <c r="K1004">
        <f>IF(AND(A1004&lt;&gt;"",C1004&lt;&gt;"",D1004&lt;&gt;"",H1004&gt;0),"✓","⚠ missing")</f>
        <v/>
      </c>
      <c r="L1004" s="44" t="n"/>
      <c r="M1004" s="45" t="n"/>
      <c r="N1004" s="39" t="n"/>
      <c r="O1004" s="46" t="n"/>
    </row>
    <row r="1005">
      <c r="H1005" s="47">
        <f>IF(AND(E1005&lt;&gt;"",F1005&lt;&gt;""), F1005-E1005, IF(G1005&lt;&gt;"", G1005, 0))</f>
        <v/>
      </c>
      <c r="I1005" s="48">
        <f>H1005*Settings!$B$5</f>
        <v/>
      </c>
      <c r="K1005">
        <f>IF(AND(A1005&lt;&gt;"",C1005&lt;&gt;"",D1005&lt;&gt;"",H1005&gt;0),"✓","⚠ missing")</f>
        <v/>
      </c>
      <c r="L1005" s="44" t="n"/>
      <c r="M1005" s="45" t="n"/>
      <c r="N1005" s="39" t="n"/>
      <c r="O1005" s="46" t="n"/>
    </row>
    <row r="1006">
      <c r="H1006" s="47">
        <f>IF(AND(E1006&lt;&gt;"",F1006&lt;&gt;""), F1006-E1006, IF(G1006&lt;&gt;"", G1006, 0))</f>
        <v/>
      </c>
      <c r="I1006" s="48">
        <f>H1006*Settings!$B$5</f>
        <v/>
      </c>
      <c r="K1006">
        <f>IF(AND(A1006&lt;&gt;"",C1006&lt;&gt;"",D1006&lt;&gt;"",H1006&gt;0),"✓","⚠ missing")</f>
        <v/>
      </c>
      <c r="L1006" s="44" t="n"/>
      <c r="M1006" s="45" t="n"/>
      <c r="N1006" s="39" t="n"/>
      <c r="O1006" s="46" t="n"/>
    </row>
    <row r="1007">
      <c r="H1007" s="47">
        <f>IF(AND(E1007&lt;&gt;"",F1007&lt;&gt;""), F1007-E1007, IF(G1007&lt;&gt;"", G1007, 0))</f>
        <v/>
      </c>
      <c r="I1007" s="48">
        <f>H1007*Settings!$B$5</f>
        <v/>
      </c>
      <c r="K1007">
        <f>IF(AND(A1007&lt;&gt;"",C1007&lt;&gt;"",D1007&lt;&gt;"",H1007&gt;0),"✓","⚠ missing")</f>
        <v/>
      </c>
      <c r="L1007" s="44" t="n"/>
      <c r="M1007" s="45" t="n"/>
      <c r="N1007" s="39" t="n"/>
      <c r="O1007" s="46" t="n"/>
    </row>
    <row r="1008">
      <c r="H1008" s="47">
        <f>IF(AND(E1008&lt;&gt;"",F1008&lt;&gt;""), F1008-E1008, IF(G1008&lt;&gt;"", G1008, 0))</f>
        <v/>
      </c>
      <c r="I1008" s="48">
        <f>H1008*Settings!$B$5</f>
        <v/>
      </c>
      <c r="K1008">
        <f>IF(AND(A1008&lt;&gt;"",C1008&lt;&gt;"",D1008&lt;&gt;"",H1008&gt;0),"✓","⚠ missing")</f>
        <v/>
      </c>
      <c r="L1008" s="44" t="n"/>
      <c r="M1008" s="45" t="n"/>
      <c r="N1008" s="39" t="n"/>
      <c r="O1008" s="46" t="n"/>
    </row>
    <row r="1009">
      <c r="H1009" s="47">
        <f>IF(AND(E1009&lt;&gt;"",F1009&lt;&gt;""), F1009-E1009, IF(G1009&lt;&gt;"", G1009, 0))</f>
        <v/>
      </c>
      <c r="I1009" s="48">
        <f>H1009*Settings!$B$5</f>
        <v/>
      </c>
      <c r="K1009">
        <f>IF(AND(A1009&lt;&gt;"",C1009&lt;&gt;"",D1009&lt;&gt;"",H1009&gt;0),"✓","⚠ missing")</f>
        <v/>
      </c>
      <c r="L1009" s="44" t="n"/>
      <c r="M1009" s="45" t="n"/>
      <c r="N1009" s="39" t="n"/>
      <c r="O1009" s="46" t="n"/>
    </row>
    <row r="1010">
      <c r="H1010" s="47">
        <f>IF(AND(E1010&lt;&gt;"",F1010&lt;&gt;""), F1010-E1010, IF(G1010&lt;&gt;"", G1010, 0))</f>
        <v/>
      </c>
      <c r="I1010" s="48">
        <f>H1010*Settings!$B$5</f>
        <v/>
      </c>
      <c r="K1010">
        <f>IF(AND(A1010&lt;&gt;"",C1010&lt;&gt;"",D1010&lt;&gt;"",H1010&gt;0),"✓","⚠ missing")</f>
        <v/>
      </c>
      <c r="L1010" s="44" t="n"/>
      <c r="M1010" s="45" t="n"/>
      <c r="N1010" s="39" t="n"/>
      <c r="O1010" s="46" t="n"/>
    </row>
    <row r="1011">
      <c r="H1011" s="47">
        <f>IF(AND(E1011&lt;&gt;"",F1011&lt;&gt;""), F1011-E1011, IF(G1011&lt;&gt;"", G1011, 0))</f>
        <v/>
      </c>
      <c r="I1011" s="48">
        <f>H1011*Settings!$B$5</f>
        <v/>
      </c>
      <c r="K1011">
        <f>IF(AND(A1011&lt;&gt;"",C1011&lt;&gt;"",D1011&lt;&gt;"",H1011&gt;0),"✓","⚠ missing")</f>
        <v/>
      </c>
      <c r="L1011" s="44" t="n"/>
      <c r="M1011" s="45" t="n"/>
      <c r="N1011" s="39" t="n"/>
      <c r="O1011" s="46" t="n"/>
    </row>
    <row r="1012">
      <c r="H1012" s="47">
        <f>IF(AND(E1012&lt;&gt;"",F1012&lt;&gt;""), F1012-E1012, IF(G1012&lt;&gt;"", G1012, 0))</f>
        <v/>
      </c>
      <c r="I1012" s="48">
        <f>H1012*Settings!$B$5</f>
        <v/>
      </c>
      <c r="K1012">
        <f>IF(AND(A1012&lt;&gt;"",C1012&lt;&gt;"",D1012&lt;&gt;"",H1012&gt;0),"✓","⚠ missing")</f>
        <v/>
      </c>
      <c r="L1012" s="44" t="n"/>
      <c r="M1012" s="45" t="n"/>
      <c r="N1012" s="39" t="n"/>
      <c r="O1012" s="46" t="n"/>
    </row>
    <row r="1013">
      <c r="H1013" s="47">
        <f>IF(AND(E1013&lt;&gt;"",F1013&lt;&gt;""), F1013-E1013, IF(G1013&lt;&gt;"", G1013, 0))</f>
        <v/>
      </c>
      <c r="I1013" s="48">
        <f>H1013*Settings!$B$5</f>
        <v/>
      </c>
      <c r="K1013">
        <f>IF(AND(A1013&lt;&gt;"",C1013&lt;&gt;"",D1013&lt;&gt;"",H1013&gt;0),"✓","⚠ missing")</f>
        <v/>
      </c>
      <c r="L1013" s="44" t="n"/>
      <c r="M1013" s="45" t="n"/>
      <c r="N1013" s="39" t="n"/>
      <c r="O1013" s="46" t="n"/>
    </row>
    <row r="1014">
      <c r="H1014" s="47">
        <f>IF(AND(E1014&lt;&gt;"",F1014&lt;&gt;""), F1014-E1014, IF(G1014&lt;&gt;"", G1014, 0))</f>
        <v/>
      </c>
      <c r="I1014" s="48">
        <f>H1014*Settings!$B$5</f>
        <v/>
      </c>
      <c r="K1014">
        <f>IF(AND(A1014&lt;&gt;"",C1014&lt;&gt;"",D1014&lt;&gt;"",H1014&gt;0),"✓","⚠ missing")</f>
        <v/>
      </c>
      <c r="L1014" s="44" t="n"/>
      <c r="M1014" s="45" t="n"/>
      <c r="N1014" s="39" t="n"/>
      <c r="O1014" s="46" t="n"/>
    </row>
    <row r="1015">
      <c r="H1015" s="47">
        <f>IF(AND(E1015&lt;&gt;"",F1015&lt;&gt;""), F1015-E1015, IF(G1015&lt;&gt;"", G1015, 0))</f>
        <v/>
      </c>
      <c r="I1015" s="48">
        <f>H1015*Settings!$B$5</f>
        <v/>
      </c>
      <c r="K1015">
        <f>IF(AND(A1015&lt;&gt;"",C1015&lt;&gt;"",D1015&lt;&gt;"",H1015&gt;0),"✓","⚠ missing")</f>
        <v/>
      </c>
      <c r="L1015" s="44" t="n"/>
      <c r="M1015" s="45" t="n"/>
      <c r="N1015" s="39" t="n"/>
      <c r="O1015" s="46" t="n"/>
    </row>
    <row r="1016">
      <c r="H1016" s="47">
        <f>IF(AND(E1016&lt;&gt;"",F1016&lt;&gt;""), F1016-E1016, IF(G1016&lt;&gt;"", G1016, 0))</f>
        <v/>
      </c>
      <c r="I1016" s="48">
        <f>H1016*Settings!$B$5</f>
        <v/>
      </c>
      <c r="K1016">
        <f>IF(AND(A1016&lt;&gt;"",C1016&lt;&gt;"",D1016&lt;&gt;"",H1016&gt;0),"✓","⚠ missing")</f>
        <v/>
      </c>
      <c r="L1016" s="44" t="n"/>
      <c r="M1016" s="45" t="n"/>
      <c r="N1016" s="39" t="n"/>
      <c r="O1016" s="46" t="n"/>
    </row>
    <row r="1017">
      <c r="H1017" s="47">
        <f>IF(AND(E1017&lt;&gt;"",F1017&lt;&gt;""), F1017-E1017, IF(G1017&lt;&gt;"", G1017, 0))</f>
        <v/>
      </c>
      <c r="I1017" s="48">
        <f>H1017*Settings!$B$5</f>
        <v/>
      </c>
      <c r="K1017">
        <f>IF(AND(A1017&lt;&gt;"",C1017&lt;&gt;"",D1017&lt;&gt;"",H1017&gt;0),"✓","⚠ missing")</f>
        <v/>
      </c>
      <c r="L1017" s="44" t="n"/>
      <c r="M1017" s="45" t="n"/>
      <c r="N1017" s="39" t="n"/>
      <c r="O1017" s="46" t="n"/>
    </row>
    <row r="1018">
      <c r="H1018" s="47">
        <f>IF(AND(E1018&lt;&gt;"",F1018&lt;&gt;""), F1018-E1018, IF(G1018&lt;&gt;"", G1018, 0))</f>
        <v/>
      </c>
      <c r="I1018" s="48">
        <f>H1018*Settings!$B$5</f>
        <v/>
      </c>
      <c r="K1018">
        <f>IF(AND(A1018&lt;&gt;"",C1018&lt;&gt;"",D1018&lt;&gt;"",H1018&gt;0),"✓","⚠ missing")</f>
        <v/>
      </c>
      <c r="L1018" s="44" t="n"/>
      <c r="M1018" s="45" t="n"/>
      <c r="N1018" s="39" t="n"/>
      <c r="O1018" s="46" t="n"/>
    </row>
    <row r="1019">
      <c r="H1019" s="47">
        <f>IF(AND(E1019&lt;&gt;"",F1019&lt;&gt;""), F1019-E1019, IF(G1019&lt;&gt;"", G1019, 0))</f>
        <v/>
      </c>
      <c r="I1019" s="48">
        <f>H1019*Settings!$B$5</f>
        <v/>
      </c>
      <c r="K1019">
        <f>IF(AND(A1019&lt;&gt;"",C1019&lt;&gt;"",D1019&lt;&gt;"",H1019&gt;0),"✓","⚠ missing")</f>
        <v/>
      </c>
      <c r="L1019" s="44" t="n"/>
      <c r="M1019" s="45" t="n"/>
      <c r="N1019" s="39" t="n"/>
      <c r="O1019" s="46" t="n"/>
    </row>
    <row r="1020">
      <c r="H1020" s="47">
        <f>IF(AND(E1020&lt;&gt;"",F1020&lt;&gt;""), F1020-E1020, IF(G1020&lt;&gt;"", G1020, 0))</f>
        <v/>
      </c>
      <c r="I1020" s="48">
        <f>H1020*Settings!$B$5</f>
        <v/>
      </c>
      <c r="K1020">
        <f>IF(AND(A1020&lt;&gt;"",C1020&lt;&gt;"",D1020&lt;&gt;"",H1020&gt;0),"✓","⚠ missing")</f>
        <v/>
      </c>
      <c r="L1020" s="44" t="n"/>
      <c r="M1020" s="45" t="n"/>
      <c r="N1020" s="39" t="n"/>
      <c r="O1020" s="46" t="n"/>
    </row>
    <row r="1021">
      <c r="H1021" s="47">
        <f>IF(AND(E1021&lt;&gt;"",F1021&lt;&gt;""), F1021-E1021, IF(G1021&lt;&gt;"", G1021, 0))</f>
        <v/>
      </c>
      <c r="I1021" s="48">
        <f>H1021*Settings!$B$5</f>
        <v/>
      </c>
      <c r="K1021">
        <f>IF(AND(A1021&lt;&gt;"",C1021&lt;&gt;"",D1021&lt;&gt;"",H1021&gt;0),"✓","⚠ missing")</f>
        <v/>
      </c>
      <c r="L1021" s="44" t="n"/>
      <c r="M1021" s="45" t="n"/>
      <c r="N1021" s="39" t="n"/>
      <c r="O1021" s="46" t="n"/>
    </row>
    <row r="1022">
      <c r="H1022" s="47">
        <f>IF(AND(E1022&lt;&gt;"",F1022&lt;&gt;""), F1022-E1022, IF(G1022&lt;&gt;"", G1022, 0))</f>
        <v/>
      </c>
      <c r="I1022" s="48">
        <f>H1022*Settings!$B$5</f>
        <v/>
      </c>
      <c r="K1022">
        <f>IF(AND(A1022&lt;&gt;"",C1022&lt;&gt;"",D1022&lt;&gt;"",H1022&gt;0),"✓","⚠ missing")</f>
        <v/>
      </c>
      <c r="L1022" s="44" t="n"/>
      <c r="M1022" s="45" t="n"/>
      <c r="N1022" s="39" t="n"/>
      <c r="O1022" s="46" t="n"/>
    </row>
    <row r="1023">
      <c r="H1023" s="47">
        <f>IF(AND(E1023&lt;&gt;"",F1023&lt;&gt;""), F1023-E1023, IF(G1023&lt;&gt;"", G1023, 0))</f>
        <v/>
      </c>
      <c r="I1023" s="48">
        <f>H1023*Settings!$B$5</f>
        <v/>
      </c>
      <c r="K1023">
        <f>IF(AND(A1023&lt;&gt;"",C1023&lt;&gt;"",D1023&lt;&gt;"",H1023&gt;0),"✓","⚠ missing")</f>
        <v/>
      </c>
      <c r="L1023" s="44" t="n"/>
      <c r="M1023" s="45" t="n"/>
      <c r="N1023" s="39" t="n"/>
      <c r="O1023" s="46" t="n"/>
    </row>
    <row r="1024">
      <c r="H1024" s="47">
        <f>IF(AND(E1024&lt;&gt;"",F1024&lt;&gt;""), F1024-E1024, IF(G1024&lt;&gt;"", G1024, 0))</f>
        <v/>
      </c>
      <c r="I1024" s="48">
        <f>H1024*Settings!$B$5</f>
        <v/>
      </c>
      <c r="K1024">
        <f>IF(AND(A1024&lt;&gt;"",C1024&lt;&gt;"",D1024&lt;&gt;"",H1024&gt;0),"✓","⚠ missing")</f>
        <v/>
      </c>
      <c r="L1024" s="44" t="n"/>
      <c r="M1024" s="45" t="n"/>
      <c r="N1024" s="39" t="n"/>
      <c r="O1024" s="46" t="n"/>
    </row>
    <row r="1025">
      <c r="H1025" s="47">
        <f>IF(AND(E1025&lt;&gt;"",F1025&lt;&gt;""), F1025-E1025, IF(G1025&lt;&gt;"", G1025, 0))</f>
        <v/>
      </c>
      <c r="I1025" s="48">
        <f>H1025*Settings!$B$5</f>
        <v/>
      </c>
      <c r="K1025">
        <f>IF(AND(A1025&lt;&gt;"",C1025&lt;&gt;"",D1025&lt;&gt;"",H1025&gt;0),"✓","⚠ missing")</f>
        <v/>
      </c>
      <c r="L1025" s="44" t="n"/>
      <c r="M1025" s="45" t="n"/>
      <c r="N1025" s="39" t="n"/>
      <c r="O1025" s="46" t="n"/>
    </row>
    <row r="1026">
      <c r="H1026" s="47">
        <f>IF(AND(E1026&lt;&gt;"",F1026&lt;&gt;""), F1026-E1026, IF(G1026&lt;&gt;"", G1026, 0))</f>
        <v/>
      </c>
      <c r="I1026" s="48">
        <f>H1026*Settings!$B$5</f>
        <v/>
      </c>
      <c r="K1026">
        <f>IF(AND(A1026&lt;&gt;"",C1026&lt;&gt;"",D1026&lt;&gt;"",H1026&gt;0),"✓","⚠ missing")</f>
        <v/>
      </c>
      <c r="L1026" s="44" t="n"/>
      <c r="M1026" s="45" t="n"/>
      <c r="N1026" s="39" t="n"/>
      <c r="O1026" s="46" t="n"/>
    </row>
    <row r="1027">
      <c r="H1027" s="47">
        <f>IF(AND(E1027&lt;&gt;"",F1027&lt;&gt;""), F1027-E1027, IF(G1027&lt;&gt;"", G1027, 0))</f>
        <v/>
      </c>
      <c r="I1027" s="48">
        <f>H1027*Settings!$B$5</f>
        <v/>
      </c>
      <c r="K1027">
        <f>IF(AND(A1027&lt;&gt;"",C1027&lt;&gt;"",D1027&lt;&gt;"",H1027&gt;0),"✓","⚠ missing")</f>
        <v/>
      </c>
      <c r="L1027" s="44" t="n"/>
      <c r="M1027" s="45" t="n"/>
      <c r="N1027" s="39" t="n"/>
      <c r="O1027" s="46" t="n"/>
    </row>
    <row r="1028">
      <c r="H1028" s="47">
        <f>IF(AND(E1028&lt;&gt;"",F1028&lt;&gt;""), F1028-E1028, IF(G1028&lt;&gt;"", G1028, 0))</f>
        <v/>
      </c>
      <c r="I1028" s="48">
        <f>H1028*Settings!$B$5</f>
        <v/>
      </c>
      <c r="K1028">
        <f>IF(AND(A1028&lt;&gt;"",C1028&lt;&gt;"",D1028&lt;&gt;"",H1028&gt;0),"✓","⚠ missing")</f>
        <v/>
      </c>
      <c r="L1028" s="44" t="n"/>
      <c r="M1028" s="45" t="n"/>
      <c r="N1028" s="39" t="n"/>
      <c r="O1028" s="46" t="n"/>
    </row>
    <row r="1029">
      <c r="H1029" s="47">
        <f>IF(AND(E1029&lt;&gt;"",F1029&lt;&gt;""), F1029-E1029, IF(G1029&lt;&gt;"", G1029, 0))</f>
        <v/>
      </c>
      <c r="I1029" s="48">
        <f>H1029*Settings!$B$5</f>
        <v/>
      </c>
      <c r="K1029">
        <f>IF(AND(A1029&lt;&gt;"",C1029&lt;&gt;"",D1029&lt;&gt;"",H1029&gt;0),"✓","⚠ missing")</f>
        <v/>
      </c>
      <c r="L1029" s="44" t="n"/>
      <c r="M1029" s="45" t="n"/>
      <c r="N1029" s="39" t="n"/>
      <c r="O1029" s="46" t="n"/>
    </row>
    <row r="1030">
      <c r="H1030" s="47">
        <f>IF(AND(E1030&lt;&gt;"",F1030&lt;&gt;""), F1030-E1030, IF(G1030&lt;&gt;"", G1030, 0))</f>
        <v/>
      </c>
      <c r="I1030" s="48">
        <f>H1030*Settings!$B$5</f>
        <v/>
      </c>
      <c r="K1030">
        <f>IF(AND(A1030&lt;&gt;"",C1030&lt;&gt;"",D1030&lt;&gt;"",H1030&gt;0),"✓","⚠ missing")</f>
        <v/>
      </c>
      <c r="L1030" s="44" t="n"/>
      <c r="M1030" s="45" t="n"/>
      <c r="N1030" s="39" t="n"/>
      <c r="O1030" s="46" t="n"/>
    </row>
    <row r="1031">
      <c r="H1031" s="47">
        <f>IF(AND(E1031&lt;&gt;"",F1031&lt;&gt;""), F1031-E1031, IF(G1031&lt;&gt;"", G1031, 0))</f>
        <v/>
      </c>
      <c r="I1031" s="48">
        <f>H1031*Settings!$B$5</f>
        <v/>
      </c>
      <c r="K1031">
        <f>IF(AND(A1031&lt;&gt;"",C1031&lt;&gt;"",D1031&lt;&gt;"",H1031&gt;0),"✓","⚠ missing")</f>
        <v/>
      </c>
      <c r="L1031" s="44" t="n"/>
      <c r="M1031" s="45" t="n"/>
      <c r="N1031" s="39" t="n"/>
      <c r="O1031" s="46" t="n"/>
    </row>
    <row r="1032">
      <c r="H1032" s="47">
        <f>IF(AND(E1032&lt;&gt;"",F1032&lt;&gt;""), F1032-E1032, IF(G1032&lt;&gt;"", G1032, 0))</f>
        <v/>
      </c>
      <c r="I1032" s="48">
        <f>H1032*Settings!$B$5</f>
        <v/>
      </c>
      <c r="K1032">
        <f>IF(AND(A1032&lt;&gt;"",C1032&lt;&gt;"",D1032&lt;&gt;"",H1032&gt;0),"✓","⚠ missing")</f>
        <v/>
      </c>
      <c r="L1032" s="44" t="n"/>
      <c r="M1032" s="45" t="n"/>
      <c r="N1032" s="39" t="n"/>
      <c r="O1032" s="46" t="n"/>
    </row>
    <row r="1033">
      <c r="H1033" s="47">
        <f>IF(AND(E1033&lt;&gt;"",F1033&lt;&gt;""), F1033-E1033, IF(G1033&lt;&gt;"", G1033, 0))</f>
        <v/>
      </c>
      <c r="I1033" s="48">
        <f>H1033*Settings!$B$5</f>
        <v/>
      </c>
      <c r="K1033">
        <f>IF(AND(A1033&lt;&gt;"",C1033&lt;&gt;"",D1033&lt;&gt;"",H1033&gt;0),"✓","⚠ missing")</f>
        <v/>
      </c>
      <c r="L1033" s="44" t="n"/>
      <c r="M1033" s="45" t="n"/>
      <c r="N1033" s="39" t="n"/>
      <c r="O1033" s="46" t="n"/>
    </row>
    <row r="1034">
      <c r="H1034" s="47">
        <f>IF(AND(E1034&lt;&gt;"",F1034&lt;&gt;""), F1034-E1034, IF(G1034&lt;&gt;"", G1034, 0))</f>
        <v/>
      </c>
      <c r="I1034" s="48">
        <f>H1034*Settings!$B$5</f>
        <v/>
      </c>
      <c r="K1034">
        <f>IF(AND(A1034&lt;&gt;"",C1034&lt;&gt;"",D1034&lt;&gt;"",H1034&gt;0),"✓","⚠ missing")</f>
        <v/>
      </c>
      <c r="L1034" s="44" t="n"/>
      <c r="M1034" s="45" t="n"/>
      <c r="N1034" s="39" t="n"/>
      <c r="O1034" s="46" t="n"/>
    </row>
    <row r="1035">
      <c r="H1035" s="47">
        <f>IF(AND(E1035&lt;&gt;"",F1035&lt;&gt;""), F1035-E1035, IF(G1035&lt;&gt;"", G1035, 0))</f>
        <v/>
      </c>
      <c r="I1035" s="48">
        <f>H1035*Settings!$B$5</f>
        <v/>
      </c>
      <c r="K1035">
        <f>IF(AND(A1035&lt;&gt;"",C1035&lt;&gt;"",D1035&lt;&gt;"",H1035&gt;0),"✓","⚠ missing")</f>
        <v/>
      </c>
      <c r="L1035" s="44" t="n"/>
      <c r="M1035" s="45" t="n"/>
      <c r="N1035" s="39" t="n"/>
      <c r="O1035" s="46" t="n"/>
    </row>
    <row r="1036">
      <c r="H1036" s="47">
        <f>IF(AND(E1036&lt;&gt;"",F1036&lt;&gt;""), F1036-E1036, IF(G1036&lt;&gt;"", G1036, 0))</f>
        <v/>
      </c>
      <c r="I1036" s="48">
        <f>H1036*Settings!$B$5</f>
        <v/>
      </c>
      <c r="K1036">
        <f>IF(AND(A1036&lt;&gt;"",C1036&lt;&gt;"",D1036&lt;&gt;"",H1036&gt;0),"✓","⚠ missing")</f>
        <v/>
      </c>
      <c r="L1036" s="44" t="n"/>
      <c r="M1036" s="45" t="n"/>
      <c r="N1036" s="39" t="n"/>
      <c r="O1036" s="46" t="n"/>
    </row>
    <row r="1037">
      <c r="H1037" s="47">
        <f>IF(AND(E1037&lt;&gt;"",F1037&lt;&gt;""), F1037-E1037, IF(G1037&lt;&gt;"", G1037, 0))</f>
        <v/>
      </c>
      <c r="I1037" s="48">
        <f>H1037*Settings!$B$5</f>
        <v/>
      </c>
      <c r="K1037">
        <f>IF(AND(A1037&lt;&gt;"",C1037&lt;&gt;"",D1037&lt;&gt;"",H1037&gt;0),"✓","⚠ missing")</f>
        <v/>
      </c>
      <c r="L1037" s="44" t="n"/>
      <c r="M1037" s="45" t="n"/>
      <c r="N1037" s="39" t="n"/>
      <c r="O1037" s="46" t="n"/>
    </row>
    <row r="1038">
      <c r="H1038" s="47">
        <f>IF(AND(E1038&lt;&gt;"",F1038&lt;&gt;""), F1038-E1038, IF(G1038&lt;&gt;"", G1038, 0))</f>
        <v/>
      </c>
      <c r="I1038" s="48">
        <f>H1038*Settings!$B$5</f>
        <v/>
      </c>
      <c r="K1038">
        <f>IF(AND(A1038&lt;&gt;"",C1038&lt;&gt;"",D1038&lt;&gt;"",H1038&gt;0),"✓","⚠ missing")</f>
        <v/>
      </c>
      <c r="L1038" s="44" t="n"/>
      <c r="M1038" s="45" t="n"/>
      <c r="N1038" s="39" t="n"/>
      <c r="O1038" s="46" t="n"/>
    </row>
    <row r="1039">
      <c r="H1039" s="47">
        <f>IF(AND(E1039&lt;&gt;"",F1039&lt;&gt;""), F1039-E1039, IF(G1039&lt;&gt;"", G1039, 0))</f>
        <v/>
      </c>
      <c r="I1039" s="48">
        <f>H1039*Settings!$B$5</f>
        <v/>
      </c>
      <c r="K1039">
        <f>IF(AND(A1039&lt;&gt;"",C1039&lt;&gt;"",D1039&lt;&gt;"",H1039&gt;0),"✓","⚠ missing")</f>
        <v/>
      </c>
      <c r="L1039" s="44" t="n"/>
      <c r="M1039" s="45" t="n"/>
      <c r="N1039" s="39" t="n"/>
      <c r="O1039" s="46" t="n"/>
    </row>
    <row r="1040">
      <c r="H1040" s="47">
        <f>IF(AND(E1040&lt;&gt;"",F1040&lt;&gt;""), F1040-E1040, IF(G1040&lt;&gt;"", G1040, 0))</f>
        <v/>
      </c>
      <c r="I1040" s="48">
        <f>H1040*Settings!$B$5</f>
        <v/>
      </c>
      <c r="K1040">
        <f>IF(AND(A1040&lt;&gt;"",C1040&lt;&gt;"",D1040&lt;&gt;"",H1040&gt;0),"✓","⚠ missing")</f>
        <v/>
      </c>
      <c r="L1040" s="44" t="n"/>
      <c r="M1040" s="45" t="n"/>
      <c r="N1040" s="39" t="n"/>
      <c r="O1040" s="46" t="n"/>
    </row>
    <row r="1041">
      <c r="H1041" s="47">
        <f>IF(AND(E1041&lt;&gt;"",F1041&lt;&gt;""), F1041-E1041, IF(G1041&lt;&gt;"", G1041, 0))</f>
        <v/>
      </c>
      <c r="I1041" s="48">
        <f>H1041*Settings!$B$5</f>
        <v/>
      </c>
      <c r="K1041">
        <f>IF(AND(A1041&lt;&gt;"",C1041&lt;&gt;"",D1041&lt;&gt;"",H1041&gt;0),"✓","⚠ missing")</f>
        <v/>
      </c>
      <c r="L1041" s="44" t="n"/>
      <c r="M1041" s="45" t="n"/>
      <c r="N1041" s="39" t="n"/>
      <c r="O1041" s="46" t="n"/>
    </row>
    <row r="1042">
      <c r="H1042" s="47">
        <f>IF(AND(E1042&lt;&gt;"",F1042&lt;&gt;""), F1042-E1042, IF(G1042&lt;&gt;"", G1042, 0))</f>
        <v/>
      </c>
      <c r="I1042" s="48">
        <f>H1042*Settings!$B$5</f>
        <v/>
      </c>
      <c r="K1042">
        <f>IF(AND(A1042&lt;&gt;"",C1042&lt;&gt;"",D1042&lt;&gt;"",H1042&gt;0),"✓","⚠ missing")</f>
        <v/>
      </c>
      <c r="L1042" s="44" t="n"/>
      <c r="M1042" s="45" t="n"/>
      <c r="N1042" s="39" t="n"/>
      <c r="O1042" s="46" t="n"/>
    </row>
    <row r="1043">
      <c r="H1043" s="47">
        <f>IF(AND(E1043&lt;&gt;"",F1043&lt;&gt;""), F1043-E1043, IF(G1043&lt;&gt;"", G1043, 0))</f>
        <v/>
      </c>
      <c r="I1043" s="48">
        <f>H1043*Settings!$B$5</f>
        <v/>
      </c>
      <c r="K1043">
        <f>IF(AND(A1043&lt;&gt;"",C1043&lt;&gt;"",D1043&lt;&gt;"",H1043&gt;0),"✓","⚠ missing")</f>
        <v/>
      </c>
      <c r="L1043" s="44" t="n"/>
      <c r="M1043" s="45" t="n"/>
      <c r="N1043" s="39" t="n"/>
      <c r="O1043" s="46" t="n"/>
    </row>
    <row r="1044">
      <c r="H1044" s="47">
        <f>IF(AND(E1044&lt;&gt;"",F1044&lt;&gt;""), F1044-E1044, IF(G1044&lt;&gt;"", G1044, 0))</f>
        <v/>
      </c>
      <c r="I1044" s="48">
        <f>H1044*Settings!$B$5</f>
        <v/>
      </c>
      <c r="K1044">
        <f>IF(AND(A1044&lt;&gt;"",C1044&lt;&gt;"",D1044&lt;&gt;"",H1044&gt;0),"✓","⚠ missing")</f>
        <v/>
      </c>
      <c r="L1044" s="44" t="n"/>
      <c r="M1044" s="45" t="n"/>
      <c r="N1044" s="39" t="n"/>
      <c r="O1044" s="46" t="n"/>
    </row>
    <row r="1045">
      <c r="H1045" s="47">
        <f>IF(AND(E1045&lt;&gt;"",F1045&lt;&gt;""), F1045-E1045, IF(G1045&lt;&gt;"", G1045, 0))</f>
        <v/>
      </c>
      <c r="I1045" s="48">
        <f>H1045*Settings!$B$5</f>
        <v/>
      </c>
      <c r="K1045">
        <f>IF(AND(A1045&lt;&gt;"",C1045&lt;&gt;"",D1045&lt;&gt;"",H1045&gt;0),"✓","⚠ missing")</f>
        <v/>
      </c>
      <c r="L1045" s="44" t="n"/>
      <c r="M1045" s="45" t="n"/>
      <c r="N1045" s="39" t="n"/>
      <c r="O1045" s="46" t="n"/>
    </row>
    <row r="1046">
      <c r="H1046" s="47">
        <f>IF(AND(E1046&lt;&gt;"",F1046&lt;&gt;""), F1046-E1046, IF(G1046&lt;&gt;"", G1046, 0))</f>
        <v/>
      </c>
      <c r="I1046" s="48">
        <f>H1046*Settings!$B$5</f>
        <v/>
      </c>
      <c r="K1046">
        <f>IF(AND(A1046&lt;&gt;"",C1046&lt;&gt;"",D1046&lt;&gt;"",H1046&gt;0),"✓","⚠ missing")</f>
        <v/>
      </c>
      <c r="L1046" s="44" t="n"/>
      <c r="M1046" s="45" t="n"/>
      <c r="N1046" s="39" t="n"/>
      <c r="O1046" s="46" t="n"/>
    </row>
    <row r="1047">
      <c r="H1047" s="47">
        <f>IF(AND(E1047&lt;&gt;"",F1047&lt;&gt;""), F1047-E1047, IF(G1047&lt;&gt;"", G1047, 0))</f>
        <v/>
      </c>
      <c r="I1047" s="48">
        <f>H1047*Settings!$B$5</f>
        <v/>
      </c>
      <c r="K1047">
        <f>IF(AND(A1047&lt;&gt;"",C1047&lt;&gt;"",D1047&lt;&gt;"",H1047&gt;0),"✓","⚠ missing")</f>
        <v/>
      </c>
      <c r="L1047" s="44" t="n"/>
      <c r="M1047" s="45" t="n"/>
      <c r="N1047" s="39" t="n"/>
      <c r="O1047" s="46" t="n"/>
    </row>
    <row r="1048">
      <c r="H1048" s="47">
        <f>IF(AND(E1048&lt;&gt;"",F1048&lt;&gt;""), F1048-E1048, IF(G1048&lt;&gt;"", G1048, 0))</f>
        <v/>
      </c>
      <c r="I1048" s="48">
        <f>H1048*Settings!$B$5</f>
        <v/>
      </c>
      <c r="K1048">
        <f>IF(AND(A1048&lt;&gt;"",C1048&lt;&gt;"",D1048&lt;&gt;"",H1048&gt;0),"✓","⚠ missing")</f>
        <v/>
      </c>
      <c r="L1048" s="44" t="n"/>
      <c r="M1048" s="45" t="n"/>
      <c r="N1048" s="39" t="n"/>
      <c r="O1048" s="46" t="n"/>
    </row>
    <row r="1049">
      <c r="H1049" s="47">
        <f>IF(AND(E1049&lt;&gt;"",F1049&lt;&gt;""), F1049-E1049, IF(G1049&lt;&gt;"", G1049, 0))</f>
        <v/>
      </c>
      <c r="I1049" s="48">
        <f>H1049*Settings!$B$5</f>
        <v/>
      </c>
      <c r="K1049">
        <f>IF(AND(A1049&lt;&gt;"",C1049&lt;&gt;"",D1049&lt;&gt;"",H1049&gt;0),"✓","⚠ missing")</f>
        <v/>
      </c>
      <c r="L1049" s="44" t="n"/>
      <c r="M1049" s="45" t="n"/>
      <c r="N1049" s="39" t="n"/>
      <c r="O1049" s="46" t="n"/>
    </row>
    <row r="1050">
      <c r="H1050" s="47">
        <f>IF(AND(E1050&lt;&gt;"",F1050&lt;&gt;""), F1050-E1050, IF(G1050&lt;&gt;"", G1050, 0))</f>
        <v/>
      </c>
      <c r="I1050" s="48">
        <f>H1050*Settings!$B$5</f>
        <v/>
      </c>
      <c r="K1050">
        <f>IF(AND(A1050&lt;&gt;"",C1050&lt;&gt;"",D1050&lt;&gt;"",H1050&gt;0),"✓","⚠ missing")</f>
        <v/>
      </c>
      <c r="L1050" s="44" t="n"/>
      <c r="M1050" s="45" t="n"/>
      <c r="N1050" s="39" t="n"/>
      <c r="O1050" s="46" t="n"/>
    </row>
    <row r="1051">
      <c r="H1051" s="47">
        <f>IF(AND(E1051&lt;&gt;"",F1051&lt;&gt;""), F1051-E1051, IF(G1051&lt;&gt;"", G1051, 0))</f>
        <v/>
      </c>
      <c r="I1051" s="48">
        <f>H1051*Settings!$B$5</f>
        <v/>
      </c>
      <c r="K1051">
        <f>IF(AND(A1051&lt;&gt;"",C1051&lt;&gt;"",D1051&lt;&gt;"",H1051&gt;0),"✓","⚠ missing")</f>
        <v/>
      </c>
      <c r="L1051" s="44" t="n"/>
      <c r="M1051" s="45" t="n"/>
      <c r="N1051" s="39" t="n"/>
      <c r="O1051" s="46" t="n"/>
    </row>
    <row r="1052">
      <c r="H1052" s="47">
        <f>IF(AND(E1052&lt;&gt;"",F1052&lt;&gt;""), F1052-E1052, IF(G1052&lt;&gt;"", G1052, 0))</f>
        <v/>
      </c>
      <c r="I1052" s="48">
        <f>H1052*Settings!$B$5</f>
        <v/>
      </c>
      <c r="K1052">
        <f>IF(AND(A1052&lt;&gt;"",C1052&lt;&gt;"",D1052&lt;&gt;"",H1052&gt;0),"✓","⚠ missing")</f>
        <v/>
      </c>
      <c r="L1052" s="44" t="n"/>
      <c r="M1052" s="45" t="n"/>
      <c r="N1052" s="39" t="n"/>
      <c r="O1052" s="46" t="n"/>
    </row>
    <row r="1053">
      <c r="H1053" s="47">
        <f>IF(AND(E1053&lt;&gt;"",F1053&lt;&gt;""), F1053-E1053, IF(G1053&lt;&gt;"", G1053, 0))</f>
        <v/>
      </c>
      <c r="I1053" s="48">
        <f>H1053*Settings!$B$5</f>
        <v/>
      </c>
      <c r="K1053">
        <f>IF(AND(A1053&lt;&gt;"",C1053&lt;&gt;"",D1053&lt;&gt;"",H1053&gt;0),"✓","⚠ missing")</f>
        <v/>
      </c>
      <c r="L1053" s="44" t="n"/>
      <c r="M1053" s="45" t="n"/>
      <c r="N1053" s="39" t="n"/>
      <c r="O1053" s="46" t="n"/>
    </row>
    <row r="1054">
      <c r="H1054" s="47">
        <f>IF(AND(E1054&lt;&gt;"",F1054&lt;&gt;""), F1054-E1054, IF(G1054&lt;&gt;"", G1054, 0))</f>
        <v/>
      </c>
      <c r="I1054" s="48">
        <f>H1054*Settings!$B$5</f>
        <v/>
      </c>
      <c r="K1054">
        <f>IF(AND(A1054&lt;&gt;"",C1054&lt;&gt;"",D1054&lt;&gt;"",H1054&gt;0),"✓","⚠ missing")</f>
        <v/>
      </c>
      <c r="L1054" s="44" t="n"/>
      <c r="M1054" s="45" t="n"/>
      <c r="N1054" s="39" t="n"/>
      <c r="O1054" s="46" t="n"/>
    </row>
    <row r="1055">
      <c r="H1055" s="47">
        <f>IF(AND(E1055&lt;&gt;"",F1055&lt;&gt;""), F1055-E1055, IF(G1055&lt;&gt;"", G1055, 0))</f>
        <v/>
      </c>
      <c r="I1055" s="48">
        <f>H1055*Settings!$B$5</f>
        <v/>
      </c>
      <c r="K1055">
        <f>IF(AND(A1055&lt;&gt;"",C1055&lt;&gt;"",D1055&lt;&gt;"",H1055&gt;0),"✓","⚠ missing")</f>
        <v/>
      </c>
      <c r="L1055" s="44" t="n"/>
      <c r="M1055" s="45" t="n"/>
      <c r="N1055" s="39" t="n"/>
      <c r="O1055" s="46" t="n"/>
    </row>
    <row r="1056">
      <c r="H1056" s="47">
        <f>IF(AND(E1056&lt;&gt;"",F1056&lt;&gt;""), F1056-E1056, IF(G1056&lt;&gt;"", G1056, 0))</f>
        <v/>
      </c>
      <c r="I1056" s="48">
        <f>H1056*Settings!$B$5</f>
        <v/>
      </c>
      <c r="K1056">
        <f>IF(AND(A1056&lt;&gt;"",C1056&lt;&gt;"",D1056&lt;&gt;"",H1056&gt;0),"✓","⚠ missing")</f>
        <v/>
      </c>
      <c r="L1056" s="44" t="n"/>
      <c r="M1056" s="45" t="n"/>
      <c r="N1056" s="39" t="n"/>
      <c r="O1056" s="46" t="n"/>
    </row>
    <row r="1057">
      <c r="H1057" s="47">
        <f>IF(AND(E1057&lt;&gt;"",F1057&lt;&gt;""), F1057-E1057, IF(G1057&lt;&gt;"", G1057, 0))</f>
        <v/>
      </c>
      <c r="I1057" s="48">
        <f>H1057*Settings!$B$5</f>
        <v/>
      </c>
      <c r="K1057">
        <f>IF(AND(A1057&lt;&gt;"",C1057&lt;&gt;"",D1057&lt;&gt;"",H1057&gt;0),"✓","⚠ missing")</f>
        <v/>
      </c>
      <c r="L1057" s="44" t="n"/>
      <c r="M1057" s="45" t="n"/>
      <c r="N1057" s="39" t="n"/>
      <c r="O1057" s="46" t="n"/>
    </row>
    <row r="1058">
      <c r="H1058" s="47">
        <f>IF(AND(E1058&lt;&gt;"",F1058&lt;&gt;""), F1058-E1058, IF(G1058&lt;&gt;"", G1058, 0))</f>
        <v/>
      </c>
      <c r="I1058" s="48">
        <f>H1058*Settings!$B$5</f>
        <v/>
      </c>
      <c r="K1058">
        <f>IF(AND(A1058&lt;&gt;"",C1058&lt;&gt;"",D1058&lt;&gt;"",H1058&gt;0),"✓","⚠ missing")</f>
        <v/>
      </c>
      <c r="L1058" s="44" t="n"/>
      <c r="M1058" s="45" t="n"/>
      <c r="N1058" s="39" t="n"/>
      <c r="O1058" s="46" t="n"/>
    </row>
    <row r="1059">
      <c r="H1059" s="47">
        <f>IF(AND(E1059&lt;&gt;"",F1059&lt;&gt;""), F1059-E1059, IF(G1059&lt;&gt;"", G1059, 0))</f>
        <v/>
      </c>
      <c r="I1059" s="48">
        <f>H1059*Settings!$B$5</f>
        <v/>
      </c>
      <c r="K1059">
        <f>IF(AND(A1059&lt;&gt;"",C1059&lt;&gt;"",D1059&lt;&gt;"",H1059&gt;0),"✓","⚠ missing")</f>
        <v/>
      </c>
      <c r="L1059" s="44" t="n"/>
      <c r="M1059" s="45" t="n"/>
      <c r="N1059" s="39" t="n"/>
      <c r="O1059" s="46" t="n"/>
    </row>
    <row r="1060">
      <c r="H1060" s="47">
        <f>IF(AND(E1060&lt;&gt;"",F1060&lt;&gt;""), F1060-E1060, IF(G1060&lt;&gt;"", G1060, 0))</f>
        <v/>
      </c>
      <c r="I1060" s="48">
        <f>H1060*Settings!$B$5</f>
        <v/>
      </c>
      <c r="K1060">
        <f>IF(AND(A1060&lt;&gt;"",C1060&lt;&gt;"",D1060&lt;&gt;"",H1060&gt;0),"✓","⚠ missing")</f>
        <v/>
      </c>
      <c r="L1060" s="44" t="n"/>
      <c r="M1060" s="45" t="n"/>
      <c r="N1060" s="39" t="n"/>
      <c r="O1060" s="46" t="n"/>
    </row>
    <row r="1061">
      <c r="H1061" s="47">
        <f>IF(AND(E1061&lt;&gt;"",F1061&lt;&gt;""), F1061-E1061, IF(G1061&lt;&gt;"", G1061, 0))</f>
        <v/>
      </c>
      <c r="I1061" s="48">
        <f>H1061*Settings!$B$5</f>
        <v/>
      </c>
      <c r="K1061">
        <f>IF(AND(A1061&lt;&gt;"",C1061&lt;&gt;"",D1061&lt;&gt;"",H1061&gt;0),"✓","⚠ missing")</f>
        <v/>
      </c>
      <c r="L1061" s="44" t="n"/>
      <c r="M1061" s="45" t="n"/>
      <c r="N1061" s="39" t="n"/>
      <c r="O1061" s="46" t="n"/>
    </row>
    <row r="1062">
      <c r="H1062" s="47">
        <f>IF(AND(E1062&lt;&gt;"",F1062&lt;&gt;""), F1062-E1062, IF(G1062&lt;&gt;"", G1062, 0))</f>
        <v/>
      </c>
      <c r="I1062" s="48">
        <f>H1062*Settings!$B$5</f>
        <v/>
      </c>
      <c r="K1062">
        <f>IF(AND(A1062&lt;&gt;"",C1062&lt;&gt;"",D1062&lt;&gt;"",H1062&gt;0),"✓","⚠ missing")</f>
        <v/>
      </c>
      <c r="L1062" s="44" t="n"/>
      <c r="M1062" s="45" t="n"/>
      <c r="N1062" s="39" t="n"/>
      <c r="O1062" s="46" t="n"/>
    </row>
    <row r="1063">
      <c r="H1063" s="47">
        <f>IF(AND(E1063&lt;&gt;"",F1063&lt;&gt;""), F1063-E1063, IF(G1063&lt;&gt;"", G1063, 0))</f>
        <v/>
      </c>
      <c r="I1063" s="48">
        <f>H1063*Settings!$B$5</f>
        <v/>
      </c>
      <c r="K1063">
        <f>IF(AND(A1063&lt;&gt;"",C1063&lt;&gt;"",D1063&lt;&gt;"",H1063&gt;0),"✓","⚠ missing")</f>
        <v/>
      </c>
      <c r="L1063" s="44" t="n"/>
      <c r="M1063" s="45" t="n"/>
      <c r="N1063" s="39" t="n"/>
      <c r="O1063" s="46" t="n"/>
    </row>
    <row r="1064">
      <c r="H1064" s="47">
        <f>IF(AND(E1064&lt;&gt;"",F1064&lt;&gt;""), F1064-E1064, IF(G1064&lt;&gt;"", G1064, 0))</f>
        <v/>
      </c>
      <c r="I1064" s="48">
        <f>H1064*Settings!$B$5</f>
        <v/>
      </c>
      <c r="K1064">
        <f>IF(AND(A1064&lt;&gt;"",C1064&lt;&gt;"",D1064&lt;&gt;"",H1064&gt;0),"✓","⚠ missing")</f>
        <v/>
      </c>
      <c r="L1064" s="44" t="n"/>
      <c r="M1064" s="45" t="n"/>
      <c r="N1064" s="39" t="n"/>
      <c r="O1064" s="46" t="n"/>
    </row>
    <row r="1065">
      <c r="H1065" s="47">
        <f>IF(AND(E1065&lt;&gt;"",F1065&lt;&gt;""), F1065-E1065, IF(G1065&lt;&gt;"", G1065, 0))</f>
        <v/>
      </c>
      <c r="I1065" s="48">
        <f>H1065*Settings!$B$5</f>
        <v/>
      </c>
      <c r="K1065">
        <f>IF(AND(A1065&lt;&gt;"",C1065&lt;&gt;"",D1065&lt;&gt;"",H1065&gt;0),"✓","⚠ missing")</f>
        <v/>
      </c>
      <c r="L1065" s="44" t="n"/>
      <c r="M1065" s="45" t="n"/>
      <c r="N1065" s="39" t="n"/>
      <c r="O1065" s="46" t="n"/>
    </row>
    <row r="1066">
      <c r="H1066" s="47">
        <f>IF(AND(E1066&lt;&gt;"",F1066&lt;&gt;""), F1066-E1066, IF(G1066&lt;&gt;"", G1066, 0))</f>
        <v/>
      </c>
      <c r="I1066" s="48">
        <f>H1066*Settings!$B$5</f>
        <v/>
      </c>
      <c r="K1066">
        <f>IF(AND(A1066&lt;&gt;"",C1066&lt;&gt;"",D1066&lt;&gt;"",H1066&gt;0),"✓","⚠ missing")</f>
        <v/>
      </c>
      <c r="L1066" s="44" t="n"/>
      <c r="M1066" s="45" t="n"/>
      <c r="N1066" s="39" t="n"/>
      <c r="O1066" s="46" t="n"/>
    </row>
    <row r="1067">
      <c r="H1067" s="47">
        <f>IF(AND(E1067&lt;&gt;"",F1067&lt;&gt;""), F1067-E1067, IF(G1067&lt;&gt;"", G1067, 0))</f>
        <v/>
      </c>
      <c r="I1067" s="48">
        <f>H1067*Settings!$B$5</f>
        <v/>
      </c>
      <c r="K1067">
        <f>IF(AND(A1067&lt;&gt;"",C1067&lt;&gt;"",D1067&lt;&gt;"",H1067&gt;0),"✓","⚠ missing")</f>
        <v/>
      </c>
      <c r="L1067" s="44" t="n"/>
      <c r="M1067" s="45" t="n"/>
      <c r="N1067" s="39" t="n"/>
      <c r="O1067" s="46" t="n"/>
    </row>
    <row r="1068">
      <c r="H1068" s="47">
        <f>IF(AND(E1068&lt;&gt;"",F1068&lt;&gt;""), F1068-E1068, IF(G1068&lt;&gt;"", G1068, 0))</f>
        <v/>
      </c>
      <c r="I1068" s="48">
        <f>H1068*Settings!$B$5</f>
        <v/>
      </c>
      <c r="K1068">
        <f>IF(AND(A1068&lt;&gt;"",C1068&lt;&gt;"",D1068&lt;&gt;"",H1068&gt;0),"✓","⚠ missing")</f>
        <v/>
      </c>
      <c r="L1068" s="44" t="n"/>
      <c r="M1068" s="45" t="n"/>
      <c r="N1068" s="39" t="n"/>
      <c r="O1068" s="46" t="n"/>
    </row>
    <row r="1069">
      <c r="H1069" s="47">
        <f>IF(AND(E1069&lt;&gt;"",F1069&lt;&gt;""), F1069-E1069, IF(G1069&lt;&gt;"", G1069, 0))</f>
        <v/>
      </c>
      <c r="I1069" s="48">
        <f>H1069*Settings!$B$5</f>
        <v/>
      </c>
      <c r="K1069">
        <f>IF(AND(A1069&lt;&gt;"",C1069&lt;&gt;"",D1069&lt;&gt;"",H1069&gt;0),"✓","⚠ missing")</f>
        <v/>
      </c>
      <c r="L1069" s="44" t="n"/>
      <c r="M1069" s="45" t="n"/>
      <c r="N1069" s="39" t="n"/>
      <c r="O1069" s="46" t="n"/>
    </row>
    <row r="1070">
      <c r="H1070" s="47">
        <f>IF(AND(E1070&lt;&gt;"",F1070&lt;&gt;""), F1070-E1070, IF(G1070&lt;&gt;"", G1070, 0))</f>
        <v/>
      </c>
      <c r="I1070" s="48">
        <f>H1070*Settings!$B$5</f>
        <v/>
      </c>
      <c r="K1070">
        <f>IF(AND(A1070&lt;&gt;"",C1070&lt;&gt;"",D1070&lt;&gt;"",H1070&gt;0),"✓","⚠ missing")</f>
        <v/>
      </c>
      <c r="L1070" s="44" t="n"/>
      <c r="M1070" s="45" t="n"/>
      <c r="N1070" s="39" t="n"/>
      <c r="O1070" s="46" t="n"/>
    </row>
    <row r="1071">
      <c r="H1071" s="47">
        <f>IF(AND(E1071&lt;&gt;"",F1071&lt;&gt;""), F1071-E1071, IF(G1071&lt;&gt;"", G1071, 0))</f>
        <v/>
      </c>
      <c r="I1071" s="48">
        <f>H1071*Settings!$B$5</f>
        <v/>
      </c>
      <c r="K1071">
        <f>IF(AND(A1071&lt;&gt;"",C1071&lt;&gt;"",D1071&lt;&gt;"",H1071&gt;0),"✓","⚠ missing")</f>
        <v/>
      </c>
      <c r="L1071" s="44" t="n"/>
      <c r="M1071" s="45" t="n"/>
      <c r="N1071" s="39" t="n"/>
      <c r="O1071" s="46" t="n"/>
    </row>
    <row r="1072">
      <c r="H1072" s="47">
        <f>IF(AND(E1072&lt;&gt;"",F1072&lt;&gt;""), F1072-E1072, IF(G1072&lt;&gt;"", G1072, 0))</f>
        <v/>
      </c>
      <c r="I1072" s="48">
        <f>H1072*Settings!$B$5</f>
        <v/>
      </c>
      <c r="K1072">
        <f>IF(AND(A1072&lt;&gt;"",C1072&lt;&gt;"",D1072&lt;&gt;"",H1072&gt;0),"✓","⚠ missing")</f>
        <v/>
      </c>
      <c r="L1072" s="44" t="n"/>
      <c r="M1072" s="45" t="n"/>
      <c r="N1072" s="39" t="n"/>
      <c r="O1072" s="46" t="n"/>
    </row>
    <row r="1073">
      <c r="H1073" s="47">
        <f>IF(AND(E1073&lt;&gt;"",F1073&lt;&gt;""), F1073-E1073, IF(G1073&lt;&gt;"", G1073, 0))</f>
        <v/>
      </c>
      <c r="I1073" s="48">
        <f>H1073*Settings!$B$5</f>
        <v/>
      </c>
      <c r="K1073">
        <f>IF(AND(A1073&lt;&gt;"",C1073&lt;&gt;"",D1073&lt;&gt;"",H1073&gt;0),"✓","⚠ missing")</f>
        <v/>
      </c>
      <c r="L1073" s="44" t="n"/>
      <c r="M1073" s="45" t="n"/>
      <c r="N1073" s="39" t="n"/>
      <c r="O1073" s="46" t="n"/>
    </row>
    <row r="1074">
      <c r="H1074" s="47">
        <f>IF(AND(E1074&lt;&gt;"",F1074&lt;&gt;""), F1074-E1074, IF(G1074&lt;&gt;"", G1074, 0))</f>
        <v/>
      </c>
      <c r="I1074" s="48">
        <f>H1074*Settings!$B$5</f>
        <v/>
      </c>
      <c r="K1074">
        <f>IF(AND(A1074&lt;&gt;"",C1074&lt;&gt;"",D1074&lt;&gt;"",H1074&gt;0),"✓","⚠ missing")</f>
        <v/>
      </c>
      <c r="L1074" s="44" t="n"/>
      <c r="M1074" s="45" t="n"/>
      <c r="N1074" s="39" t="n"/>
      <c r="O1074" s="46" t="n"/>
    </row>
    <row r="1075">
      <c r="H1075" s="47">
        <f>IF(AND(E1075&lt;&gt;"",F1075&lt;&gt;""), F1075-E1075, IF(G1075&lt;&gt;"", G1075, 0))</f>
        <v/>
      </c>
      <c r="I1075" s="48">
        <f>H1075*Settings!$B$5</f>
        <v/>
      </c>
      <c r="K1075">
        <f>IF(AND(A1075&lt;&gt;"",C1075&lt;&gt;"",D1075&lt;&gt;"",H1075&gt;0),"✓","⚠ missing")</f>
        <v/>
      </c>
      <c r="L1075" s="44" t="n"/>
      <c r="M1075" s="45" t="n"/>
      <c r="N1075" s="39" t="n"/>
      <c r="O1075" s="46" t="n"/>
    </row>
    <row r="1076">
      <c r="H1076" s="47">
        <f>IF(AND(E1076&lt;&gt;"",F1076&lt;&gt;""), F1076-E1076, IF(G1076&lt;&gt;"", G1076, 0))</f>
        <v/>
      </c>
      <c r="I1076" s="48">
        <f>H1076*Settings!$B$5</f>
        <v/>
      </c>
      <c r="K1076">
        <f>IF(AND(A1076&lt;&gt;"",C1076&lt;&gt;"",D1076&lt;&gt;"",H1076&gt;0),"✓","⚠ missing")</f>
        <v/>
      </c>
      <c r="L1076" s="44" t="n"/>
      <c r="M1076" s="45" t="n"/>
      <c r="N1076" s="39" t="n"/>
      <c r="O1076" s="46" t="n"/>
    </row>
    <row r="1077">
      <c r="H1077" s="47">
        <f>IF(AND(E1077&lt;&gt;"",F1077&lt;&gt;""), F1077-E1077, IF(G1077&lt;&gt;"", G1077, 0))</f>
        <v/>
      </c>
      <c r="I1077" s="48">
        <f>H1077*Settings!$B$5</f>
        <v/>
      </c>
      <c r="K1077">
        <f>IF(AND(A1077&lt;&gt;"",C1077&lt;&gt;"",D1077&lt;&gt;"",H1077&gt;0),"✓","⚠ missing")</f>
        <v/>
      </c>
      <c r="L1077" s="44" t="n"/>
      <c r="M1077" s="45" t="n"/>
      <c r="N1077" s="39" t="n"/>
      <c r="O1077" s="46" t="n"/>
    </row>
    <row r="1078">
      <c r="H1078" s="47">
        <f>IF(AND(E1078&lt;&gt;"",F1078&lt;&gt;""), F1078-E1078, IF(G1078&lt;&gt;"", G1078, 0))</f>
        <v/>
      </c>
      <c r="I1078" s="48">
        <f>H1078*Settings!$B$5</f>
        <v/>
      </c>
      <c r="K1078">
        <f>IF(AND(A1078&lt;&gt;"",C1078&lt;&gt;"",D1078&lt;&gt;"",H1078&gt;0),"✓","⚠ missing")</f>
        <v/>
      </c>
      <c r="L1078" s="44" t="n"/>
      <c r="M1078" s="45" t="n"/>
      <c r="N1078" s="39" t="n"/>
      <c r="O1078" s="46" t="n"/>
    </row>
    <row r="1079">
      <c r="H1079" s="47">
        <f>IF(AND(E1079&lt;&gt;"",F1079&lt;&gt;""), F1079-E1079, IF(G1079&lt;&gt;"", G1079, 0))</f>
        <v/>
      </c>
      <c r="I1079" s="48">
        <f>H1079*Settings!$B$5</f>
        <v/>
      </c>
      <c r="K1079">
        <f>IF(AND(A1079&lt;&gt;"",C1079&lt;&gt;"",D1079&lt;&gt;"",H1079&gt;0),"✓","⚠ missing")</f>
        <v/>
      </c>
      <c r="L1079" s="44" t="n"/>
      <c r="M1079" s="45" t="n"/>
      <c r="N1079" s="39" t="n"/>
      <c r="O1079" s="46" t="n"/>
    </row>
    <row r="1080">
      <c r="H1080" s="47">
        <f>IF(AND(E1080&lt;&gt;"",F1080&lt;&gt;""), F1080-E1080, IF(G1080&lt;&gt;"", G1080, 0))</f>
        <v/>
      </c>
      <c r="I1080" s="48">
        <f>H1080*Settings!$B$5</f>
        <v/>
      </c>
      <c r="K1080">
        <f>IF(AND(A1080&lt;&gt;"",C1080&lt;&gt;"",D1080&lt;&gt;"",H1080&gt;0),"✓","⚠ missing")</f>
        <v/>
      </c>
      <c r="L1080" s="44" t="n"/>
      <c r="M1080" s="45" t="n"/>
      <c r="N1080" s="39" t="n"/>
      <c r="O1080" s="46" t="n"/>
    </row>
    <row r="1081">
      <c r="H1081" s="47">
        <f>IF(AND(E1081&lt;&gt;"",F1081&lt;&gt;""), F1081-E1081, IF(G1081&lt;&gt;"", G1081, 0))</f>
        <v/>
      </c>
      <c r="I1081" s="48">
        <f>H1081*Settings!$B$5</f>
        <v/>
      </c>
      <c r="K1081">
        <f>IF(AND(A1081&lt;&gt;"",C1081&lt;&gt;"",D1081&lt;&gt;"",H1081&gt;0),"✓","⚠ missing")</f>
        <v/>
      </c>
      <c r="L1081" s="44" t="n"/>
      <c r="M1081" s="45" t="n"/>
      <c r="N1081" s="39" t="n"/>
      <c r="O1081" s="46" t="n"/>
    </row>
    <row r="1082">
      <c r="H1082" s="47">
        <f>IF(AND(E1082&lt;&gt;"",F1082&lt;&gt;""), F1082-E1082, IF(G1082&lt;&gt;"", G1082, 0))</f>
        <v/>
      </c>
      <c r="I1082" s="48">
        <f>H1082*Settings!$B$5</f>
        <v/>
      </c>
      <c r="K1082">
        <f>IF(AND(A1082&lt;&gt;"",C1082&lt;&gt;"",D1082&lt;&gt;"",H1082&gt;0),"✓","⚠ missing")</f>
        <v/>
      </c>
      <c r="L1082" s="44" t="n"/>
      <c r="M1082" s="45" t="n"/>
      <c r="N1082" s="39" t="n"/>
      <c r="O1082" s="46" t="n"/>
    </row>
    <row r="1083">
      <c r="H1083" s="47">
        <f>IF(AND(E1083&lt;&gt;"",F1083&lt;&gt;""), F1083-E1083, IF(G1083&lt;&gt;"", G1083, 0))</f>
        <v/>
      </c>
      <c r="I1083" s="48">
        <f>H1083*Settings!$B$5</f>
        <v/>
      </c>
      <c r="K1083">
        <f>IF(AND(A1083&lt;&gt;"",C1083&lt;&gt;"",D1083&lt;&gt;"",H1083&gt;0),"✓","⚠ missing")</f>
        <v/>
      </c>
      <c r="L1083" s="44" t="n"/>
      <c r="M1083" s="45" t="n"/>
      <c r="N1083" s="39" t="n"/>
      <c r="O1083" s="46" t="n"/>
    </row>
    <row r="1084">
      <c r="H1084" s="47">
        <f>IF(AND(E1084&lt;&gt;"",F1084&lt;&gt;""), F1084-E1084, IF(G1084&lt;&gt;"", G1084, 0))</f>
        <v/>
      </c>
      <c r="I1084" s="48">
        <f>H1084*Settings!$B$5</f>
        <v/>
      </c>
      <c r="K1084">
        <f>IF(AND(A1084&lt;&gt;"",C1084&lt;&gt;"",D1084&lt;&gt;"",H1084&gt;0),"✓","⚠ missing")</f>
        <v/>
      </c>
      <c r="L1084" s="44" t="n"/>
      <c r="M1084" s="45" t="n"/>
      <c r="N1084" s="39" t="n"/>
      <c r="O1084" s="46" t="n"/>
    </row>
    <row r="1085">
      <c r="H1085" s="47">
        <f>IF(AND(E1085&lt;&gt;"",F1085&lt;&gt;""), F1085-E1085, IF(G1085&lt;&gt;"", G1085, 0))</f>
        <v/>
      </c>
      <c r="I1085" s="48">
        <f>H1085*Settings!$B$5</f>
        <v/>
      </c>
      <c r="K1085">
        <f>IF(AND(A1085&lt;&gt;"",C1085&lt;&gt;"",D1085&lt;&gt;"",H1085&gt;0),"✓","⚠ missing")</f>
        <v/>
      </c>
      <c r="L1085" s="44" t="n"/>
      <c r="M1085" s="45" t="n"/>
      <c r="N1085" s="39" t="n"/>
      <c r="O1085" s="46" t="n"/>
    </row>
    <row r="1086">
      <c r="H1086" s="47">
        <f>IF(AND(E1086&lt;&gt;"",F1086&lt;&gt;""), F1086-E1086, IF(G1086&lt;&gt;"", G1086, 0))</f>
        <v/>
      </c>
      <c r="I1086" s="48">
        <f>H1086*Settings!$B$5</f>
        <v/>
      </c>
      <c r="K1086">
        <f>IF(AND(A1086&lt;&gt;"",C1086&lt;&gt;"",D1086&lt;&gt;"",H1086&gt;0),"✓","⚠ missing")</f>
        <v/>
      </c>
      <c r="L1086" s="44" t="n"/>
      <c r="M1086" s="45" t="n"/>
      <c r="N1086" s="39" t="n"/>
      <c r="O1086" s="46" t="n"/>
    </row>
    <row r="1087">
      <c r="H1087" s="47">
        <f>IF(AND(E1087&lt;&gt;"",F1087&lt;&gt;""), F1087-E1087, IF(G1087&lt;&gt;"", G1087, 0))</f>
        <v/>
      </c>
      <c r="I1087" s="48">
        <f>H1087*Settings!$B$5</f>
        <v/>
      </c>
      <c r="K1087">
        <f>IF(AND(A1087&lt;&gt;"",C1087&lt;&gt;"",D1087&lt;&gt;"",H1087&gt;0),"✓","⚠ missing")</f>
        <v/>
      </c>
      <c r="L1087" s="44" t="n"/>
      <c r="M1087" s="45" t="n"/>
      <c r="N1087" s="39" t="n"/>
      <c r="O1087" s="46" t="n"/>
    </row>
    <row r="1088">
      <c r="H1088" s="47">
        <f>IF(AND(E1088&lt;&gt;"",F1088&lt;&gt;""), F1088-E1088, IF(G1088&lt;&gt;"", G1088, 0))</f>
        <v/>
      </c>
      <c r="I1088" s="48">
        <f>H1088*Settings!$B$5</f>
        <v/>
      </c>
      <c r="K1088">
        <f>IF(AND(A1088&lt;&gt;"",C1088&lt;&gt;"",D1088&lt;&gt;"",H1088&gt;0),"✓","⚠ missing")</f>
        <v/>
      </c>
      <c r="L1088" s="44" t="n"/>
      <c r="M1088" s="45" t="n"/>
      <c r="N1088" s="39" t="n"/>
      <c r="O1088" s="46" t="n"/>
    </row>
    <row r="1089">
      <c r="H1089" s="47">
        <f>IF(AND(E1089&lt;&gt;"",F1089&lt;&gt;""), F1089-E1089, IF(G1089&lt;&gt;"", G1089, 0))</f>
        <v/>
      </c>
      <c r="I1089" s="48">
        <f>H1089*Settings!$B$5</f>
        <v/>
      </c>
      <c r="K1089">
        <f>IF(AND(A1089&lt;&gt;"",C1089&lt;&gt;"",D1089&lt;&gt;"",H1089&gt;0),"✓","⚠ missing")</f>
        <v/>
      </c>
      <c r="L1089" s="44" t="n"/>
      <c r="M1089" s="45" t="n"/>
      <c r="N1089" s="39" t="n"/>
      <c r="O1089" s="46" t="n"/>
    </row>
    <row r="1090">
      <c r="H1090" s="47">
        <f>IF(AND(E1090&lt;&gt;"",F1090&lt;&gt;""), F1090-E1090, IF(G1090&lt;&gt;"", G1090, 0))</f>
        <v/>
      </c>
      <c r="I1090" s="48">
        <f>H1090*Settings!$B$5</f>
        <v/>
      </c>
      <c r="K1090">
        <f>IF(AND(A1090&lt;&gt;"",C1090&lt;&gt;"",D1090&lt;&gt;"",H1090&gt;0),"✓","⚠ missing")</f>
        <v/>
      </c>
      <c r="L1090" s="44" t="n"/>
      <c r="M1090" s="45" t="n"/>
      <c r="N1090" s="39" t="n"/>
      <c r="O1090" s="46" t="n"/>
    </row>
    <row r="1091">
      <c r="H1091" s="47">
        <f>IF(AND(E1091&lt;&gt;"",F1091&lt;&gt;""), F1091-E1091, IF(G1091&lt;&gt;"", G1091, 0))</f>
        <v/>
      </c>
      <c r="I1091" s="48">
        <f>H1091*Settings!$B$5</f>
        <v/>
      </c>
      <c r="K1091">
        <f>IF(AND(A1091&lt;&gt;"",C1091&lt;&gt;"",D1091&lt;&gt;"",H1091&gt;0),"✓","⚠ missing")</f>
        <v/>
      </c>
      <c r="L1091" s="44" t="n"/>
      <c r="M1091" s="45" t="n"/>
      <c r="N1091" s="39" t="n"/>
      <c r="O1091" s="46" t="n"/>
    </row>
    <row r="1092">
      <c r="H1092" s="47">
        <f>IF(AND(E1092&lt;&gt;"",F1092&lt;&gt;""), F1092-E1092, IF(G1092&lt;&gt;"", G1092, 0))</f>
        <v/>
      </c>
      <c r="I1092" s="48">
        <f>H1092*Settings!$B$5</f>
        <v/>
      </c>
      <c r="K1092">
        <f>IF(AND(A1092&lt;&gt;"",C1092&lt;&gt;"",D1092&lt;&gt;"",H1092&gt;0),"✓","⚠ missing")</f>
        <v/>
      </c>
      <c r="L1092" s="44" t="n"/>
      <c r="M1092" s="45" t="n"/>
      <c r="N1092" s="39" t="n"/>
      <c r="O1092" s="46" t="n"/>
    </row>
    <row r="1093">
      <c r="H1093" s="47">
        <f>IF(AND(E1093&lt;&gt;"",F1093&lt;&gt;""), F1093-E1093, IF(G1093&lt;&gt;"", G1093, 0))</f>
        <v/>
      </c>
      <c r="I1093" s="48">
        <f>H1093*Settings!$B$5</f>
        <v/>
      </c>
      <c r="K1093">
        <f>IF(AND(A1093&lt;&gt;"",C1093&lt;&gt;"",D1093&lt;&gt;"",H1093&gt;0),"✓","⚠ missing")</f>
        <v/>
      </c>
      <c r="L1093" s="44" t="n"/>
      <c r="M1093" s="45" t="n"/>
      <c r="N1093" s="39" t="n"/>
      <c r="O1093" s="46" t="n"/>
    </row>
    <row r="1094">
      <c r="H1094" s="47">
        <f>IF(AND(E1094&lt;&gt;"",F1094&lt;&gt;""), F1094-E1094, IF(G1094&lt;&gt;"", G1094, 0))</f>
        <v/>
      </c>
      <c r="I1094" s="48">
        <f>H1094*Settings!$B$5</f>
        <v/>
      </c>
      <c r="K1094">
        <f>IF(AND(A1094&lt;&gt;"",C1094&lt;&gt;"",D1094&lt;&gt;"",H1094&gt;0),"✓","⚠ missing")</f>
        <v/>
      </c>
      <c r="L1094" s="44" t="n"/>
      <c r="M1094" s="45" t="n"/>
      <c r="N1094" s="39" t="n"/>
      <c r="O1094" s="46" t="n"/>
    </row>
    <row r="1095">
      <c r="H1095" s="47">
        <f>IF(AND(E1095&lt;&gt;"",F1095&lt;&gt;""), F1095-E1095, IF(G1095&lt;&gt;"", G1095, 0))</f>
        <v/>
      </c>
      <c r="I1095" s="48">
        <f>H1095*Settings!$B$5</f>
        <v/>
      </c>
      <c r="K1095">
        <f>IF(AND(A1095&lt;&gt;"",C1095&lt;&gt;"",D1095&lt;&gt;"",H1095&gt;0),"✓","⚠ missing")</f>
        <v/>
      </c>
      <c r="L1095" s="44" t="n"/>
      <c r="M1095" s="45" t="n"/>
      <c r="N1095" s="39" t="n"/>
      <c r="O1095" s="46" t="n"/>
    </row>
    <row r="1096">
      <c r="H1096" s="47">
        <f>IF(AND(E1096&lt;&gt;"",F1096&lt;&gt;""), F1096-E1096, IF(G1096&lt;&gt;"", G1096, 0))</f>
        <v/>
      </c>
      <c r="I1096" s="48">
        <f>H1096*Settings!$B$5</f>
        <v/>
      </c>
      <c r="K1096">
        <f>IF(AND(A1096&lt;&gt;"",C1096&lt;&gt;"",D1096&lt;&gt;"",H1096&gt;0),"✓","⚠ missing")</f>
        <v/>
      </c>
      <c r="L1096" s="44" t="n"/>
      <c r="M1096" s="45" t="n"/>
      <c r="N1096" s="39" t="n"/>
      <c r="O1096" s="46" t="n"/>
    </row>
    <row r="1097">
      <c r="H1097" s="47">
        <f>IF(AND(E1097&lt;&gt;"",F1097&lt;&gt;""), F1097-E1097, IF(G1097&lt;&gt;"", G1097, 0))</f>
        <v/>
      </c>
      <c r="I1097" s="48">
        <f>H1097*Settings!$B$5</f>
        <v/>
      </c>
      <c r="K1097">
        <f>IF(AND(A1097&lt;&gt;"",C1097&lt;&gt;"",D1097&lt;&gt;"",H1097&gt;0),"✓","⚠ missing")</f>
        <v/>
      </c>
      <c r="L1097" s="44" t="n"/>
      <c r="M1097" s="45" t="n"/>
      <c r="N1097" s="39" t="n"/>
      <c r="O1097" s="46" t="n"/>
    </row>
    <row r="1098">
      <c r="H1098" s="47">
        <f>IF(AND(E1098&lt;&gt;"",F1098&lt;&gt;""), F1098-E1098, IF(G1098&lt;&gt;"", G1098, 0))</f>
        <v/>
      </c>
      <c r="I1098" s="48">
        <f>H1098*Settings!$B$5</f>
        <v/>
      </c>
      <c r="K1098">
        <f>IF(AND(A1098&lt;&gt;"",C1098&lt;&gt;"",D1098&lt;&gt;"",H1098&gt;0),"✓","⚠ missing")</f>
        <v/>
      </c>
      <c r="L1098" s="44" t="n"/>
      <c r="M1098" s="45" t="n"/>
      <c r="N1098" s="39" t="n"/>
      <c r="O1098" s="46" t="n"/>
    </row>
    <row r="1099">
      <c r="H1099" s="47">
        <f>IF(AND(E1099&lt;&gt;"",F1099&lt;&gt;""), F1099-E1099, IF(G1099&lt;&gt;"", G1099, 0))</f>
        <v/>
      </c>
      <c r="I1099" s="48">
        <f>H1099*Settings!$B$5</f>
        <v/>
      </c>
      <c r="K1099">
        <f>IF(AND(A1099&lt;&gt;"",C1099&lt;&gt;"",D1099&lt;&gt;"",H1099&gt;0),"✓","⚠ missing")</f>
        <v/>
      </c>
      <c r="L1099" s="44" t="n"/>
      <c r="M1099" s="45" t="n"/>
      <c r="N1099" s="39" t="n"/>
      <c r="O1099" s="46" t="n"/>
    </row>
    <row r="1100">
      <c r="H1100" s="47">
        <f>IF(AND(E1100&lt;&gt;"",F1100&lt;&gt;""), F1100-E1100, IF(G1100&lt;&gt;"", G1100, 0))</f>
        <v/>
      </c>
      <c r="I1100" s="48">
        <f>H1100*Settings!$B$5</f>
        <v/>
      </c>
      <c r="K1100">
        <f>IF(AND(A1100&lt;&gt;"",C1100&lt;&gt;"",D1100&lt;&gt;"",H1100&gt;0),"✓","⚠ missing")</f>
        <v/>
      </c>
      <c r="L1100" s="44" t="n"/>
      <c r="M1100" s="45" t="n"/>
      <c r="N1100" s="39" t="n"/>
      <c r="O1100" s="46" t="n"/>
    </row>
    <row r="1101">
      <c r="H1101" s="47">
        <f>IF(AND(E1101&lt;&gt;"",F1101&lt;&gt;""), F1101-E1101, IF(G1101&lt;&gt;"", G1101, 0))</f>
        <v/>
      </c>
      <c r="I1101" s="48">
        <f>H1101*Settings!$B$5</f>
        <v/>
      </c>
      <c r="K1101">
        <f>IF(AND(A1101&lt;&gt;"",C1101&lt;&gt;"",D1101&lt;&gt;"",H1101&gt;0),"✓","⚠ missing")</f>
        <v/>
      </c>
      <c r="L1101" s="44" t="n"/>
      <c r="M1101" s="45" t="n"/>
      <c r="N1101" s="39" t="n"/>
      <c r="O1101" s="46" t="n"/>
    </row>
    <row r="1102">
      <c r="H1102" s="47">
        <f>IF(AND(E1102&lt;&gt;"",F1102&lt;&gt;""), F1102-E1102, IF(G1102&lt;&gt;"", G1102, 0))</f>
        <v/>
      </c>
      <c r="I1102" s="48">
        <f>H1102*Settings!$B$5</f>
        <v/>
      </c>
      <c r="K1102">
        <f>IF(AND(A1102&lt;&gt;"",C1102&lt;&gt;"",D1102&lt;&gt;"",H1102&gt;0),"✓","⚠ missing")</f>
        <v/>
      </c>
      <c r="L1102" s="44" t="n"/>
      <c r="M1102" s="45" t="n"/>
      <c r="N1102" s="39" t="n"/>
      <c r="O1102" s="46" t="n"/>
    </row>
    <row r="1103">
      <c r="H1103" s="47">
        <f>IF(AND(E1103&lt;&gt;"",F1103&lt;&gt;""), F1103-E1103, IF(G1103&lt;&gt;"", G1103, 0))</f>
        <v/>
      </c>
      <c r="I1103" s="48">
        <f>H1103*Settings!$B$5</f>
        <v/>
      </c>
      <c r="K1103">
        <f>IF(AND(A1103&lt;&gt;"",C1103&lt;&gt;"",D1103&lt;&gt;"",H1103&gt;0),"✓","⚠ missing")</f>
        <v/>
      </c>
      <c r="L1103" s="44" t="n"/>
      <c r="M1103" s="45" t="n"/>
      <c r="N1103" s="39" t="n"/>
      <c r="O1103" s="46" t="n"/>
    </row>
    <row r="1104">
      <c r="H1104" s="47">
        <f>IF(AND(E1104&lt;&gt;"",F1104&lt;&gt;""), F1104-E1104, IF(G1104&lt;&gt;"", G1104, 0))</f>
        <v/>
      </c>
      <c r="I1104" s="48">
        <f>H1104*Settings!$B$5</f>
        <v/>
      </c>
      <c r="K1104">
        <f>IF(AND(A1104&lt;&gt;"",C1104&lt;&gt;"",D1104&lt;&gt;"",H1104&gt;0),"✓","⚠ missing")</f>
        <v/>
      </c>
      <c r="L1104" s="44" t="n"/>
      <c r="M1104" s="45" t="n"/>
      <c r="N1104" s="39" t="n"/>
      <c r="O1104" s="46" t="n"/>
    </row>
    <row r="1105">
      <c r="H1105" s="47">
        <f>IF(AND(E1105&lt;&gt;"",F1105&lt;&gt;""), F1105-E1105, IF(G1105&lt;&gt;"", G1105, 0))</f>
        <v/>
      </c>
      <c r="I1105" s="48">
        <f>H1105*Settings!$B$5</f>
        <v/>
      </c>
      <c r="K1105">
        <f>IF(AND(A1105&lt;&gt;"",C1105&lt;&gt;"",D1105&lt;&gt;"",H1105&gt;0),"✓","⚠ missing")</f>
        <v/>
      </c>
      <c r="L1105" s="44" t="n"/>
      <c r="M1105" s="45" t="n"/>
      <c r="N1105" s="39" t="n"/>
      <c r="O1105" s="46" t="n"/>
    </row>
    <row r="1106">
      <c r="H1106" s="47">
        <f>IF(AND(E1106&lt;&gt;"",F1106&lt;&gt;""), F1106-E1106, IF(G1106&lt;&gt;"", G1106, 0))</f>
        <v/>
      </c>
      <c r="I1106" s="48">
        <f>H1106*Settings!$B$5</f>
        <v/>
      </c>
      <c r="K1106">
        <f>IF(AND(A1106&lt;&gt;"",C1106&lt;&gt;"",D1106&lt;&gt;"",H1106&gt;0),"✓","⚠ missing")</f>
        <v/>
      </c>
      <c r="L1106" s="44" t="n"/>
      <c r="M1106" s="45" t="n"/>
      <c r="N1106" s="39" t="n"/>
      <c r="O1106" s="46" t="n"/>
    </row>
    <row r="1107">
      <c r="H1107" s="47">
        <f>IF(AND(E1107&lt;&gt;"",F1107&lt;&gt;""), F1107-E1107, IF(G1107&lt;&gt;"", G1107, 0))</f>
        <v/>
      </c>
      <c r="I1107" s="48">
        <f>H1107*Settings!$B$5</f>
        <v/>
      </c>
      <c r="K1107">
        <f>IF(AND(A1107&lt;&gt;"",C1107&lt;&gt;"",D1107&lt;&gt;"",H1107&gt;0),"✓","⚠ missing")</f>
        <v/>
      </c>
      <c r="L1107" s="44" t="n"/>
      <c r="M1107" s="45" t="n"/>
      <c r="N1107" s="39" t="n"/>
      <c r="O1107" s="46" t="n"/>
    </row>
    <row r="1108">
      <c r="H1108" s="47">
        <f>IF(AND(E1108&lt;&gt;"",F1108&lt;&gt;""), F1108-E1108, IF(G1108&lt;&gt;"", G1108, 0))</f>
        <v/>
      </c>
      <c r="I1108" s="48">
        <f>H1108*Settings!$B$5</f>
        <v/>
      </c>
      <c r="K1108">
        <f>IF(AND(A1108&lt;&gt;"",C1108&lt;&gt;"",D1108&lt;&gt;"",H1108&gt;0),"✓","⚠ missing")</f>
        <v/>
      </c>
      <c r="L1108" s="44" t="n"/>
      <c r="M1108" s="45" t="n"/>
      <c r="N1108" s="39" t="n"/>
      <c r="O1108" s="46" t="n"/>
    </row>
    <row r="1109">
      <c r="H1109" s="47">
        <f>IF(AND(E1109&lt;&gt;"",F1109&lt;&gt;""), F1109-E1109, IF(G1109&lt;&gt;"", G1109, 0))</f>
        <v/>
      </c>
      <c r="I1109" s="48">
        <f>H1109*Settings!$B$5</f>
        <v/>
      </c>
      <c r="K1109">
        <f>IF(AND(A1109&lt;&gt;"",C1109&lt;&gt;"",D1109&lt;&gt;"",H1109&gt;0),"✓","⚠ missing")</f>
        <v/>
      </c>
      <c r="L1109" s="44" t="n"/>
      <c r="M1109" s="45" t="n"/>
      <c r="N1109" s="39" t="n"/>
      <c r="O1109" s="46" t="n"/>
    </row>
    <row r="1110">
      <c r="H1110" s="47">
        <f>IF(AND(E1110&lt;&gt;"",F1110&lt;&gt;""), F1110-E1110, IF(G1110&lt;&gt;"", G1110, 0))</f>
        <v/>
      </c>
      <c r="I1110" s="48">
        <f>H1110*Settings!$B$5</f>
        <v/>
      </c>
      <c r="K1110">
        <f>IF(AND(A1110&lt;&gt;"",C1110&lt;&gt;"",D1110&lt;&gt;"",H1110&gt;0),"✓","⚠ missing")</f>
        <v/>
      </c>
      <c r="L1110" s="44" t="n"/>
      <c r="M1110" s="45" t="n"/>
      <c r="N1110" s="39" t="n"/>
      <c r="O1110" s="46" t="n"/>
    </row>
    <row r="1111">
      <c r="H1111" s="47">
        <f>IF(AND(E1111&lt;&gt;"",F1111&lt;&gt;""), F1111-E1111, IF(G1111&lt;&gt;"", G1111, 0))</f>
        <v/>
      </c>
      <c r="I1111" s="48">
        <f>H1111*Settings!$B$5</f>
        <v/>
      </c>
      <c r="K1111">
        <f>IF(AND(A1111&lt;&gt;"",C1111&lt;&gt;"",D1111&lt;&gt;"",H1111&gt;0),"✓","⚠ missing")</f>
        <v/>
      </c>
      <c r="L1111" s="44" t="n"/>
      <c r="M1111" s="45" t="n"/>
      <c r="N1111" s="39" t="n"/>
      <c r="O1111" s="46" t="n"/>
    </row>
    <row r="1112">
      <c r="H1112" s="47">
        <f>IF(AND(E1112&lt;&gt;"",F1112&lt;&gt;""), F1112-E1112, IF(G1112&lt;&gt;"", G1112, 0))</f>
        <v/>
      </c>
      <c r="I1112" s="48">
        <f>H1112*Settings!$B$5</f>
        <v/>
      </c>
      <c r="K1112">
        <f>IF(AND(A1112&lt;&gt;"",C1112&lt;&gt;"",D1112&lt;&gt;"",H1112&gt;0),"✓","⚠ missing")</f>
        <v/>
      </c>
      <c r="L1112" s="44" t="n"/>
      <c r="M1112" s="45" t="n"/>
      <c r="N1112" s="39" t="n"/>
      <c r="O1112" s="46" t="n"/>
    </row>
    <row r="1113">
      <c r="H1113" s="47">
        <f>IF(AND(E1113&lt;&gt;"",F1113&lt;&gt;""), F1113-E1113, IF(G1113&lt;&gt;"", G1113, 0))</f>
        <v/>
      </c>
      <c r="I1113" s="48">
        <f>H1113*Settings!$B$5</f>
        <v/>
      </c>
      <c r="K1113">
        <f>IF(AND(A1113&lt;&gt;"",C1113&lt;&gt;"",D1113&lt;&gt;"",H1113&gt;0),"✓","⚠ missing")</f>
        <v/>
      </c>
      <c r="L1113" s="44" t="n"/>
      <c r="M1113" s="45" t="n"/>
      <c r="N1113" s="39" t="n"/>
      <c r="O1113" s="46" t="n"/>
    </row>
    <row r="1114">
      <c r="H1114" s="47">
        <f>IF(AND(E1114&lt;&gt;"",F1114&lt;&gt;""), F1114-E1114, IF(G1114&lt;&gt;"", G1114, 0))</f>
        <v/>
      </c>
      <c r="I1114" s="48">
        <f>H1114*Settings!$B$5</f>
        <v/>
      </c>
      <c r="K1114">
        <f>IF(AND(A1114&lt;&gt;"",C1114&lt;&gt;"",D1114&lt;&gt;"",H1114&gt;0),"✓","⚠ missing")</f>
        <v/>
      </c>
      <c r="L1114" s="44" t="n"/>
      <c r="M1114" s="45" t="n"/>
      <c r="N1114" s="39" t="n"/>
      <c r="O1114" s="46" t="n"/>
    </row>
    <row r="1115">
      <c r="H1115" s="47">
        <f>IF(AND(E1115&lt;&gt;"",F1115&lt;&gt;""), F1115-E1115, IF(G1115&lt;&gt;"", G1115, 0))</f>
        <v/>
      </c>
      <c r="I1115" s="48">
        <f>H1115*Settings!$B$5</f>
        <v/>
      </c>
      <c r="K1115">
        <f>IF(AND(A1115&lt;&gt;"",C1115&lt;&gt;"",D1115&lt;&gt;"",H1115&gt;0),"✓","⚠ missing")</f>
        <v/>
      </c>
      <c r="L1115" s="44" t="n"/>
      <c r="M1115" s="45" t="n"/>
      <c r="N1115" s="39" t="n"/>
      <c r="O1115" s="46" t="n"/>
    </row>
    <row r="1116">
      <c r="H1116" s="47">
        <f>IF(AND(E1116&lt;&gt;"",F1116&lt;&gt;""), F1116-E1116, IF(G1116&lt;&gt;"", G1116, 0))</f>
        <v/>
      </c>
      <c r="I1116" s="48">
        <f>H1116*Settings!$B$5</f>
        <v/>
      </c>
      <c r="K1116">
        <f>IF(AND(A1116&lt;&gt;"",C1116&lt;&gt;"",D1116&lt;&gt;"",H1116&gt;0),"✓","⚠ missing")</f>
        <v/>
      </c>
      <c r="L1116" s="44" t="n"/>
      <c r="M1116" s="45" t="n"/>
      <c r="N1116" s="39" t="n"/>
      <c r="O1116" s="46" t="n"/>
    </row>
    <row r="1117">
      <c r="H1117" s="47">
        <f>IF(AND(E1117&lt;&gt;"",F1117&lt;&gt;""), F1117-E1117, IF(G1117&lt;&gt;"", G1117, 0))</f>
        <v/>
      </c>
      <c r="I1117" s="48">
        <f>H1117*Settings!$B$5</f>
        <v/>
      </c>
      <c r="K1117">
        <f>IF(AND(A1117&lt;&gt;"",C1117&lt;&gt;"",D1117&lt;&gt;"",H1117&gt;0),"✓","⚠ missing")</f>
        <v/>
      </c>
      <c r="L1117" s="44" t="n"/>
      <c r="M1117" s="45" t="n"/>
      <c r="N1117" s="39" t="n"/>
      <c r="O1117" s="46" t="n"/>
    </row>
    <row r="1118">
      <c r="H1118" s="47">
        <f>IF(AND(E1118&lt;&gt;"",F1118&lt;&gt;""), F1118-E1118, IF(G1118&lt;&gt;"", G1118, 0))</f>
        <v/>
      </c>
      <c r="I1118" s="48">
        <f>H1118*Settings!$B$5</f>
        <v/>
      </c>
      <c r="K1118">
        <f>IF(AND(A1118&lt;&gt;"",C1118&lt;&gt;"",D1118&lt;&gt;"",H1118&gt;0),"✓","⚠ missing")</f>
        <v/>
      </c>
      <c r="L1118" s="44" t="n"/>
      <c r="M1118" s="45" t="n"/>
      <c r="N1118" s="39" t="n"/>
      <c r="O1118" s="46" t="n"/>
    </row>
    <row r="1119">
      <c r="H1119" s="47">
        <f>IF(AND(E1119&lt;&gt;"",F1119&lt;&gt;""), F1119-E1119, IF(G1119&lt;&gt;"", G1119, 0))</f>
        <v/>
      </c>
      <c r="I1119" s="48">
        <f>H1119*Settings!$B$5</f>
        <v/>
      </c>
      <c r="K1119">
        <f>IF(AND(A1119&lt;&gt;"",C1119&lt;&gt;"",D1119&lt;&gt;"",H1119&gt;0),"✓","⚠ missing")</f>
        <v/>
      </c>
      <c r="L1119" s="44" t="n"/>
      <c r="M1119" s="45" t="n"/>
      <c r="N1119" s="39" t="n"/>
      <c r="O1119" s="46" t="n"/>
    </row>
    <row r="1120">
      <c r="H1120" s="47">
        <f>IF(AND(E1120&lt;&gt;"",F1120&lt;&gt;""), F1120-E1120, IF(G1120&lt;&gt;"", G1120, 0))</f>
        <v/>
      </c>
      <c r="I1120" s="48">
        <f>H1120*Settings!$B$5</f>
        <v/>
      </c>
      <c r="K1120">
        <f>IF(AND(A1120&lt;&gt;"",C1120&lt;&gt;"",D1120&lt;&gt;"",H1120&gt;0),"✓","⚠ missing")</f>
        <v/>
      </c>
      <c r="L1120" s="44" t="n"/>
      <c r="M1120" s="45" t="n"/>
      <c r="N1120" s="39" t="n"/>
      <c r="O1120" s="46" t="n"/>
    </row>
    <row r="1121">
      <c r="H1121" s="47">
        <f>IF(AND(E1121&lt;&gt;"",F1121&lt;&gt;""), F1121-E1121, IF(G1121&lt;&gt;"", G1121, 0))</f>
        <v/>
      </c>
      <c r="I1121" s="48">
        <f>H1121*Settings!$B$5</f>
        <v/>
      </c>
      <c r="K1121">
        <f>IF(AND(A1121&lt;&gt;"",C1121&lt;&gt;"",D1121&lt;&gt;"",H1121&gt;0),"✓","⚠ missing")</f>
        <v/>
      </c>
      <c r="L1121" s="44" t="n"/>
      <c r="M1121" s="45" t="n"/>
      <c r="N1121" s="39" t="n"/>
      <c r="O1121" s="46" t="n"/>
    </row>
    <row r="1122">
      <c r="H1122" s="47">
        <f>IF(AND(E1122&lt;&gt;"",F1122&lt;&gt;""), F1122-E1122, IF(G1122&lt;&gt;"", G1122, 0))</f>
        <v/>
      </c>
      <c r="I1122" s="48">
        <f>H1122*Settings!$B$5</f>
        <v/>
      </c>
      <c r="K1122">
        <f>IF(AND(A1122&lt;&gt;"",C1122&lt;&gt;"",D1122&lt;&gt;"",H1122&gt;0),"✓","⚠ missing")</f>
        <v/>
      </c>
      <c r="L1122" s="44" t="n"/>
      <c r="M1122" s="45" t="n"/>
      <c r="N1122" s="39" t="n"/>
      <c r="O1122" s="46" t="n"/>
    </row>
    <row r="1123">
      <c r="H1123" s="47">
        <f>IF(AND(E1123&lt;&gt;"",F1123&lt;&gt;""), F1123-E1123, IF(G1123&lt;&gt;"", G1123, 0))</f>
        <v/>
      </c>
      <c r="I1123" s="48">
        <f>H1123*Settings!$B$5</f>
        <v/>
      </c>
      <c r="K1123">
        <f>IF(AND(A1123&lt;&gt;"",C1123&lt;&gt;"",D1123&lt;&gt;"",H1123&gt;0),"✓","⚠ missing")</f>
        <v/>
      </c>
      <c r="L1123" s="44" t="n"/>
      <c r="M1123" s="45" t="n"/>
      <c r="N1123" s="39" t="n"/>
      <c r="O1123" s="46" t="n"/>
    </row>
    <row r="1124">
      <c r="H1124" s="47">
        <f>IF(AND(E1124&lt;&gt;"",F1124&lt;&gt;""), F1124-E1124, IF(G1124&lt;&gt;"", G1124, 0))</f>
        <v/>
      </c>
      <c r="I1124" s="48">
        <f>H1124*Settings!$B$5</f>
        <v/>
      </c>
      <c r="K1124">
        <f>IF(AND(A1124&lt;&gt;"",C1124&lt;&gt;"",D1124&lt;&gt;"",H1124&gt;0),"✓","⚠ missing")</f>
        <v/>
      </c>
      <c r="L1124" s="44" t="n"/>
      <c r="M1124" s="45" t="n"/>
      <c r="N1124" s="39" t="n"/>
      <c r="O1124" s="46" t="n"/>
    </row>
    <row r="1125">
      <c r="H1125" s="47">
        <f>IF(AND(E1125&lt;&gt;"",F1125&lt;&gt;""), F1125-E1125, IF(G1125&lt;&gt;"", G1125, 0))</f>
        <v/>
      </c>
      <c r="I1125" s="48">
        <f>H1125*Settings!$B$5</f>
        <v/>
      </c>
      <c r="K1125">
        <f>IF(AND(A1125&lt;&gt;"",C1125&lt;&gt;"",D1125&lt;&gt;"",H1125&gt;0),"✓","⚠ missing")</f>
        <v/>
      </c>
      <c r="L1125" s="44" t="n"/>
      <c r="M1125" s="45" t="n"/>
      <c r="N1125" s="39" t="n"/>
      <c r="O1125" s="46" t="n"/>
    </row>
    <row r="1126">
      <c r="H1126" s="47">
        <f>IF(AND(E1126&lt;&gt;"",F1126&lt;&gt;""), F1126-E1126, IF(G1126&lt;&gt;"", G1126, 0))</f>
        <v/>
      </c>
      <c r="I1126" s="48">
        <f>H1126*Settings!$B$5</f>
        <v/>
      </c>
      <c r="K1126">
        <f>IF(AND(A1126&lt;&gt;"",C1126&lt;&gt;"",D1126&lt;&gt;"",H1126&gt;0),"✓","⚠ missing")</f>
        <v/>
      </c>
      <c r="L1126" s="44" t="n"/>
      <c r="M1126" s="45" t="n"/>
      <c r="N1126" s="39" t="n"/>
      <c r="O1126" s="46" t="n"/>
    </row>
    <row r="1127">
      <c r="H1127" s="47">
        <f>IF(AND(E1127&lt;&gt;"",F1127&lt;&gt;""), F1127-E1127, IF(G1127&lt;&gt;"", G1127, 0))</f>
        <v/>
      </c>
      <c r="I1127" s="48">
        <f>H1127*Settings!$B$5</f>
        <v/>
      </c>
      <c r="K1127">
        <f>IF(AND(A1127&lt;&gt;"",C1127&lt;&gt;"",D1127&lt;&gt;"",H1127&gt;0),"✓","⚠ missing")</f>
        <v/>
      </c>
      <c r="L1127" s="44" t="n"/>
      <c r="M1127" s="45" t="n"/>
      <c r="N1127" s="39" t="n"/>
      <c r="O1127" s="46" t="n"/>
    </row>
    <row r="1128">
      <c r="H1128" s="47">
        <f>IF(AND(E1128&lt;&gt;"",F1128&lt;&gt;""), F1128-E1128, IF(G1128&lt;&gt;"", G1128, 0))</f>
        <v/>
      </c>
      <c r="I1128" s="48">
        <f>H1128*Settings!$B$5</f>
        <v/>
      </c>
      <c r="K1128">
        <f>IF(AND(A1128&lt;&gt;"",C1128&lt;&gt;"",D1128&lt;&gt;"",H1128&gt;0),"✓","⚠ missing")</f>
        <v/>
      </c>
      <c r="L1128" s="44" t="n"/>
      <c r="M1128" s="45" t="n"/>
      <c r="N1128" s="39" t="n"/>
      <c r="O1128" s="46" t="n"/>
    </row>
    <row r="1129">
      <c r="H1129" s="47">
        <f>IF(AND(E1129&lt;&gt;"",F1129&lt;&gt;""), F1129-E1129, IF(G1129&lt;&gt;"", G1129, 0))</f>
        <v/>
      </c>
      <c r="I1129" s="48">
        <f>H1129*Settings!$B$5</f>
        <v/>
      </c>
      <c r="K1129">
        <f>IF(AND(A1129&lt;&gt;"",C1129&lt;&gt;"",D1129&lt;&gt;"",H1129&gt;0),"✓","⚠ missing")</f>
        <v/>
      </c>
      <c r="L1129" s="44" t="n"/>
      <c r="M1129" s="45" t="n"/>
      <c r="N1129" s="39" t="n"/>
      <c r="O1129" s="46" t="n"/>
    </row>
    <row r="1130">
      <c r="H1130" s="47">
        <f>IF(AND(E1130&lt;&gt;"",F1130&lt;&gt;""), F1130-E1130, IF(G1130&lt;&gt;"", G1130, 0))</f>
        <v/>
      </c>
      <c r="I1130" s="48">
        <f>H1130*Settings!$B$5</f>
        <v/>
      </c>
      <c r="K1130">
        <f>IF(AND(A1130&lt;&gt;"",C1130&lt;&gt;"",D1130&lt;&gt;"",H1130&gt;0),"✓","⚠ missing")</f>
        <v/>
      </c>
      <c r="L1130" s="44" t="n"/>
      <c r="M1130" s="45" t="n"/>
      <c r="N1130" s="39" t="n"/>
      <c r="O1130" s="46" t="n"/>
    </row>
    <row r="1131">
      <c r="H1131" s="47">
        <f>IF(AND(E1131&lt;&gt;"",F1131&lt;&gt;""), F1131-E1131, IF(G1131&lt;&gt;"", G1131, 0))</f>
        <v/>
      </c>
      <c r="I1131" s="48">
        <f>H1131*Settings!$B$5</f>
        <v/>
      </c>
      <c r="K1131">
        <f>IF(AND(A1131&lt;&gt;"",C1131&lt;&gt;"",D1131&lt;&gt;"",H1131&gt;0),"✓","⚠ missing")</f>
        <v/>
      </c>
      <c r="L1131" s="44" t="n"/>
      <c r="M1131" s="45" t="n"/>
      <c r="N1131" s="39" t="n"/>
      <c r="O1131" s="46" t="n"/>
    </row>
    <row r="1132">
      <c r="H1132" s="47">
        <f>IF(AND(E1132&lt;&gt;"",F1132&lt;&gt;""), F1132-E1132, IF(G1132&lt;&gt;"", G1132, 0))</f>
        <v/>
      </c>
      <c r="I1132" s="48">
        <f>H1132*Settings!$B$5</f>
        <v/>
      </c>
      <c r="K1132">
        <f>IF(AND(A1132&lt;&gt;"",C1132&lt;&gt;"",D1132&lt;&gt;"",H1132&gt;0),"✓","⚠ missing")</f>
        <v/>
      </c>
      <c r="L1132" s="44" t="n"/>
      <c r="M1132" s="45" t="n"/>
      <c r="N1132" s="39" t="n"/>
      <c r="O1132" s="46" t="n"/>
    </row>
    <row r="1133">
      <c r="H1133" s="47">
        <f>IF(AND(E1133&lt;&gt;"",F1133&lt;&gt;""), F1133-E1133, IF(G1133&lt;&gt;"", G1133, 0))</f>
        <v/>
      </c>
      <c r="I1133" s="48">
        <f>H1133*Settings!$B$5</f>
        <v/>
      </c>
      <c r="K1133">
        <f>IF(AND(A1133&lt;&gt;"",C1133&lt;&gt;"",D1133&lt;&gt;"",H1133&gt;0),"✓","⚠ missing")</f>
        <v/>
      </c>
      <c r="L1133" s="44" t="n"/>
      <c r="M1133" s="45" t="n"/>
      <c r="N1133" s="39" t="n"/>
      <c r="O1133" s="46" t="n"/>
    </row>
    <row r="1134">
      <c r="H1134" s="47">
        <f>IF(AND(E1134&lt;&gt;"",F1134&lt;&gt;""), F1134-E1134, IF(G1134&lt;&gt;"", G1134, 0))</f>
        <v/>
      </c>
      <c r="I1134" s="48">
        <f>H1134*Settings!$B$5</f>
        <v/>
      </c>
      <c r="K1134">
        <f>IF(AND(A1134&lt;&gt;"",C1134&lt;&gt;"",D1134&lt;&gt;"",H1134&gt;0),"✓","⚠ missing")</f>
        <v/>
      </c>
      <c r="L1134" s="44" t="n"/>
      <c r="M1134" s="45" t="n"/>
      <c r="N1134" s="39" t="n"/>
      <c r="O1134" s="46" t="n"/>
    </row>
    <row r="1135">
      <c r="H1135" s="47">
        <f>IF(AND(E1135&lt;&gt;"",F1135&lt;&gt;""), F1135-E1135, IF(G1135&lt;&gt;"", G1135, 0))</f>
        <v/>
      </c>
      <c r="I1135" s="48">
        <f>H1135*Settings!$B$5</f>
        <v/>
      </c>
      <c r="K1135">
        <f>IF(AND(A1135&lt;&gt;"",C1135&lt;&gt;"",D1135&lt;&gt;"",H1135&gt;0),"✓","⚠ missing")</f>
        <v/>
      </c>
      <c r="L1135" s="44" t="n"/>
      <c r="M1135" s="45" t="n"/>
      <c r="N1135" s="39" t="n"/>
      <c r="O1135" s="46" t="n"/>
    </row>
    <row r="1136">
      <c r="H1136" s="47">
        <f>IF(AND(E1136&lt;&gt;"",F1136&lt;&gt;""), F1136-E1136, IF(G1136&lt;&gt;"", G1136, 0))</f>
        <v/>
      </c>
      <c r="I1136" s="48">
        <f>H1136*Settings!$B$5</f>
        <v/>
      </c>
      <c r="K1136">
        <f>IF(AND(A1136&lt;&gt;"",C1136&lt;&gt;"",D1136&lt;&gt;"",H1136&gt;0),"✓","⚠ missing")</f>
        <v/>
      </c>
      <c r="L1136" s="44" t="n"/>
      <c r="M1136" s="45" t="n"/>
      <c r="N1136" s="39" t="n"/>
      <c r="O1136" s="46" t="n"/>
    </row>
    <row r="1137">
      <c r="H1137" s="47">
        <f>IF(AND(E1137&lt;&gt;"",F1137&lt;&gt;""), F1137-E1137, IF(G1137&lt;&gt;"", G1137, 0))</f>
        <v/>
      </c>
      <c r="I1137" s="48">
        <f>H1137*Settings!$B$5</f>
        <v/>
      </c>
      <c r="K1137">
        <f>IF(AND(A1137&lt;&gt;"",C1137&lt;&gt;"",D1137&lt;&gt;"",H1137&gt;0),"✓","⚠ missing")</f>
        <v/>
      </c>
      <c r="L1137" s="44" t="n"/>
      <c r="M1137" s="45" t="n"/>
      <c r="N1137" s="39" t="n"/>
      <c r="O1137" s="46" t="n"/>
    </row>
    <row r="1138">
      <c r="H1138" s="47">
        <f>IF(AND(E1138&lt;&gt;"",F1138&lt;&gt;""), F1138-E1138, IF(G1138&lt;&gt;"", G1138, 0))</f>
        <v/>
      </c>
      <c r="I1138" s="48">
        <f>H1138*Settings!$B$5</f>
        <v/>
      </c>
      <c r="K1138">
        <f>IF(AND(A1138&lt;&gt;"",C1138&lt;&gt;"",D1138&lt;&gt;"",H1138&gt;0),"✓","⚠ missing")</f>
        <v/>
      </c>
      <c r="L1138" s="44" t="n"/>
      <c r="M1138" s="45" t="n"/>
      <c r="N1138" s="39" t="n"/>
      <c r="O1138" s="46" t="n"/>
    </row>
    <row r="1139">
      <c r="H1139" s="47">
        <f>IF(AND(E1139&lt;&gt;"",F1139&lt;&gt;""), F1139-E1139, IF(G1139&lt;&gt;"", G1139, 0))</f>
        <v/>
      </c>
      <c r="I1139" s="48">
        <f>H1139*Settings!$B$5</f>
        <v/>
      </c>
      <c r="K1139">
        <f>IF(AND(A1139&lt;&gt;"",C1139&lt;&gt;"",D1139&lt;&gt;"",H1139&gt;0),"✓","⚠ missing")</f>
        <v/>
      </c>
      <c r="L1139" s="44" t="n"/>
      <c r="M1139" s="45" t="n"/>
      <c r="N1139" s="39" t="n"/>
      <c r="O1139" s="46" t="n"/>
    </row>
    <row r="1140">
      <c r="H1140" s="47">
        <f>IF(AND(E1140&lt;&gt;"",F1140&lt;&gt;""), F1140-E1140, IF(G1140&lt;&gt;"", G1140, 0))</f>
        <v/>
      </c>
      <c r="I1140" s="48">
        <f>H1140*Settings!$B$5</f>
        <v/>
      </c>
      <c r="K1140">
        <f>IF(AND(A1140&lt;&gt;"",C1140&lt;&gt;"",D1140&lt;&gt;"",H1140&gt;0),"✓","⚠ missing")</f>
        <v/>
      </c>
      <c r="L1140" s="44" t="n"/>
      <c r="M1140" s="45" t="n"/>
      <c r="N1140" s="39" t="n"/>
      <c r="O1140" s="46" t="n"/>
    </row>
    <row r="1141">
      <c r="H1141" s="47">
        <f>IF(AND(E1141&lt;&gt;"",F1141&lt;&gt;""), F1141-E1141, IF(G1141&lt;&gt;"", G1141, 0))</f>
        <v/>
      </c>
      <c r="I1141" s="48">
        <f>H1141*Settings!$B$5</f>
        <v/>
      </c>
      <c r="K1141">
        <f>IF(AND(A1141&lt;&gt;"",C1141&lt;&gt;"",D1141&lt;&gt;"",H1141&gt;0),"✓","⚠ missing")</f>
        <v/>
      </c>
      <c r="L1141" s="44" t="n"/>
      <c r="M1141" s="45" t="n"/>
      <c r="N1141" s="39" t="n"/>
      <c r="O1141" s="46" t="n"/>
    </row>
    <row r="1142">
      <c r="H1142" s="47">
        <f>IF(AND(E1142&lt;&gt;"",F1142&lt;&gt;""), F1142-E1142, IF(G1142&lt;&gt;"", G1142, 0))</f>
        <v/>
      </c>
      <c r="I1142" s="48">
        <f>H1142*Settings!$B$5</f>
        <v/>
      </c>
      <c r="K1142">
        <f>IF(AND(A1142&lt;&gt;"",C1142&lt;&gt;"",D1142&lt;&gt;"",H1142&gt;0),"✓","⚠ missing")</f>
        <v/>
      </c>
      <c r="L1142" s="44" t="n"/>
      <c r="M1142" s="45" t="n"/>
      <c r="N1142" s="39" t="n"/>
      <c r="O1142" s="46" t="n"/>
    </row>
    <row r="1143">
      <c r="H1143" s="47">
        <f>IF(AND(E1143&lt;&gt;"",F1143&lt;&gt;""), F1143-E1143, IF(G1143&lt;&gt;"", G1143, 0))</f>
        <v/>
      </c>
      <c r="I1143" s="48">
        <f>H1143*Settings!$B$5</f>
        <v/>
      </c>
      <c r="K1143">
        <f>IF(AND(A1143&lt;&gt;"",C1143&lt;&gt;"",D1143&lt;&gt;"",H1143&gt;0),"✓","⚠ missing")</f>
        <v/>
      </c>
      <c r="L1143" s="44" t="n"/>
      <c r="M1143" s="45" t="n"/>
      <c r="N1143" s="39" t="n"/>
      <c r="O1143" s="46" t="n"/>
    </row>
    <row r="1144">
      <c r="H1144" s="47">
        <f>IF(AND(E1144&lt;&gt;"",F1144&lt;&gt;""), F1144-E1144, IF(G1144&lt;&gt;"", G1144, 0))</f>
        <v/>
      </c>
      <c r="I1144" s="48">
        <f>H1144*Settings!$B$5</f>
        <v/>
      </c>
      <c r="K1144">
        <f>IF(AND(A1144&lt;&gt;"",C1144&lt;&gt;"",D1144&lt;&gt;"",H1144&gt;0),"✓","⚠ missing")</f>
        <v/>
      </c>
      <c r="L1144" s="44" t="n"/>
      <c r="M1144" s="45" t="n"/>
      <c r="N1144" s="39" t="n"/>
      <c r="O1144" s="46" t="n"/>
    </row>
    <row r="1145">
      <c r="H1145" s="47">
        <f>IF(AND(E1145&lt;&gt;"",F1145&lt;&gt;""), F1145-E1145, IF(G1145&lt;&gt;"", G1145, 0))</f>
        <v/>
      </c>
      <c r="I1145" s="48">
        <f>H1145*Settings!$B$5</f>
        <v/>
      </c>
      <c r="K1145">
        <f>IF(AND(A1145&lt;&gt;"",C1145&lt;&gt;"",D1145&lt;&gt;"",H1145&gt;0),"✓","⚠ missing")</f>
        <v/>
      </c>
      <c r="L1145" s="44" t="n"/>
      <c r="M1145" s="45" t="n"/>
      <c r="N1145" s="39" t="n"/>
      <c r="O1145" s="46" t="n"/>
    </row>
    <row r="1146">
      <c r="H1146" s="47">
        <f>IF(AND(E1146&lt;&gt;"",F1146&lt;&gt;""), F1146-E1146, IF(G1146&lt;&gt;"", G1146, 0))</f>
        <v/>
      </c>
      <c r="I1146" s="48">
        <f>H1146*Settings!$B$5</f>
        <v/>
      </c>
      <c r="K1146">
        <f>IF(AND(A1146&lt;&gt;"",C1146&lt;&gt;"",D1146&lt;&gt;"",H1146&gt;0),"✓","⚠ missing")</f>
        <v/>
      </c>
      <c r="L1146" s="44" t="n"/>
      <c r="M1146" s="45" t="n"/>
      <c r="N1146" s="39" t="n"/>
      <c r="O1146" s="46" t="n"/>
    </row>
    <row r="1147">
      <c r="H1147" s="47">
        <f>IF(AND(E1147&lt;&gt;"",F1147&lt;&gt;""), F1147-E1147, IF(G1147&lt;&gt;"", G1147, 0))</f>
        <v/>
      </c>
      <c r="I1147" s="48">
        <f>H1147*Settings!$B$5</f>
        <v/>
      </c>
      <c r="K1147">
        <f>IF(AND(A1147&lt;&gt;"",C1147&lt;&gt;"",D1147&lt;&gt;"",H1147&gt;0),"✓","⚠ missing")</f>
        <v/>
      </c>
      <c r="L1147" s="44" t="n"/>
      <c r="M1147" s="45" t="n"/>
      <c r="N1147" s="39" t="n"/>
      <c r="O1147" s="46" t="n"/>
    </row>
    <row r="1148">
      <c r="H1148" s="47">
        <f>IF(AND(E1148&lt;&gt;"",F1148&lt;&gt;""), F1148-E1148, IF(G1148&lt;&gt;"", G1148, 0))</f>
        <v/>
      </c>
      <c r="I1148" s="48">
        <f>H1148*Settings!$B$5</f>
        <v/>
      </c>
      <c r="K1148">
        <f>IF(AND(A1148&lt;&gt;"",C1148&lt;&gt;"",D1148&lt;&gt;"",H1148&gt;0),"✓","⚠ missing")</f>
        <v/>
      </c>
      <c r="L1148" s="44" t="n"/>
      <c r="M1148" s="45" t="n"/>
      <c r="N1148" s="39" t="n"/>
      <c r="O1148" s="46" t="n"/>
    </row>
    <row r="1149">
      <c r="H1149" s="47">
        <f>IF(AND(E1149&lt;&gt;"",F1149&lt;&gt;""), F1149-E1149, IF(G1149&lt;&gt;"", G1149, 0))</f>
        <v/>
      </c>
      <c r="I1149" s="48">
        <f>H1149*Settings!$B$5</f>
        <v/>
      </c>
      <c r="K1149">
        <f>IF(AND(A1149&lt;&gt;"",C1149&lt;&gt;"",D1149&lt;&gt;"",H1149&gt;0),"✓","⚠ missing")</f>
        <v/>
      </c>
      <c r="L1149" s="44" t="n"/>
      <c r="M1149" s="45" t="n"/>
      <c r="N1149" s="39" t="n"/>
      <c r="O1149" s="46" t="n"/>
    </row>
    <row r="1150">
      <c r="H1150" s="47">
        <f>IF(AND(E1150&lt;&gt;"",F1150&lt;&gt;""), F1150-E1150, IF(G1150&lt;&gt;"", G1150, 0))</f>
        <v/>
      </c>
      <c r="I1150" s="48">
        <f>H1150*Settings!$B$5</f>
        <v/>
      </c>
      <c r="K1150">
        <f>IF(AND(A1150&lt;&gt;"",C1150&lt;&gt;"",D1150&lt;&gt;"",H1150&gt;0),"✓","⚠ missing")</f>
        <v/>
      </c>
      <c r="L1150" s="44" t="n"/>
      <c r="M1150" s="45" t="n"/>
      <c r="N1150" s="39" t="n"/>
      <c r="O1150" s="46" t="n"/>
    </row>
    <row r="1151">
      <c r="H1151" s="47">
        <f>IF(AND(E1151&lt;&gt;"",F1151&lt;&gt;""), F1151-E1151, IF(G1151&lt;&gt;"", G1151, 0))</f>
        <v/>
      </c>
      <c r="I1151" s="48">
        <f>H1151*Settings!$B$5</f>
        <v/>
      </c>
      <c r="K1151">
        <f>IF(AND(A1151&lt;&gt;"",C1151&lt;&gt;"",D1151&lt;&gt;"",H1151&gt;0),"✓","⚠ missing")</f>
        <v/>
      </c>
      <c r="L1151" s="44" t="n"/>
      <c r="M1151" s="45" t="n"/>
      <c r="N1151" s="39" t="n"/>
      <c r="O1151" s="46" t="n"/>
    </row>
    <row r="1152">
      <c r="H1152" s="47">
        <f>IF(AND(E1152&lt;&gt;"",F1152&lt;&gt;""), F1152-E1152, IF(G1152&lt;&gt;"", G1152, 0))</f>
        <v/>
      </c>
      <c r="I1152" s="48">
        <f>H1152*Settings!$B$5</f>
        <v/>
      </c>
      <c r="K1152">
        <f>IF(AND(A1152&lt;&gt;"",C1152&lt;&gt;"",D1152&lt;&gt;"",H1152&gt;0),"✓","⚠ missing")</f>
        <v/>
      </c>
      <c r="L1152" s="44" t="n"/>
      <c r="M1152" s="45" t="n"/>
      <c r="N1152" s="39" t="n"/>
      <c r="O1152" s="46" t="n"/>
    </row>
    <row r="1153">
      <c r="H1153" s="47">
        <f>IF(AND(E1153&lt;&gt;"",F1153&lt;&gt;""), F1153-E1153, IF(G1153&lt;&gt;"", G1153, 0))</f>
        <v/>
      </c>
      <c r="I1153" s="48">
        <f>H1153*Settings!$B$5</f>
        <v/>
      </c>
      <c r="K1153">
        <f>IF(AND(A1153&lt;&gt;"",C1153&lt;&gt;"",D1153&lt;&gt;"",H1153&gt;0),"✓","⚠ missing")</f>
        <v/>
      </c>
      <c r="L1153" s="44" t="n"/>
      <c r="M1153" s="45" t="n"/>
      <c r="N1153" s="39" t="n"/>
      <c r="O1153" s="46" t="n"/>
    </row>
    <row r="1154">
      <c r="H1154" s="47">
        <f>IF(AND(E1154&lt;&gt;"",F1154&lt;&gt;""), F1154-E1154, IF(G1154&lt;&gt;"", G1154, 0))</f>
        <v/>
      </c>
      <c r="I1154" s="48">
        <f>H1154*Settings!$B$5</f>
        <v/>
      </c>
      <c r="K1154">
        <f>IF(AND(A1154&lt;&gt;"",C1154&lt;&gt;"",D1154&lt;&gt;"",H1154&gt;0),"✓","⚠ missing")</f>
        <v/>
      </c>
      <c r="L1154" s="44" t="n"/>
      <c r="M1154" s="45" t="n"/>
      <c r="N1154" s="39" t="n"/>
      <c r="O1154" s="46" t="n"/>
    </row>
    <row r="1155">
      <c r="H1155" s="47">
        <f>IF(AND(E1155&lt;&gt;"",F1155&lt;&gt;""), F1155-E1155, IF(G1155&lt;&gt;"", G1155, 0))</f>
        <v/>
      </c>
      <c r="I1155" s="48">
        <f>H1155*Settings!$B$5</f>
        <v/>
      </c>
      <c r="K1155">
        <f>IF(AND(A1155&lt;&gt;"",C1155&lt;&gt;"",D1155&lt;&gt;"",H1155&gt;0),"✓","⚠ missing")</f>
        <v/>
      </c>
      <c r="L1155" s="44" t="n"/>
      <c r="M1155" s="45" t="n"/>
      <c r="N1155" s="39" t="n"/>
      <c r="O1155" s="46" t="n"/>
    </row>
    <row r="1156">
      <c r="H1156" s="47">
        <f>IF(AND(E1156&lt;&gt;"",F1156&lt;&gt;""), F1156-E1156, IF(G1156&lt;&gt;"", G1156, 0))</f>
        <v/>
      </c>
      <c r="I1156" s="48">
        <f>H1156*Settings!$B$5</f>
        <v/>
      </c>
      <c r="K1156">
        <f>IF(AND(A1156&lt;&gt;"",C1156&lt;&gt;"",D1156&lt;&gt;"",H1156&gt;0),"✓","⚠ missing")</f>
        <v/>
      </c>
      <c r="L1156" s="44" t="n"/>
      <c r="M1156" s="45" t="n"/>
      <c r="N1156" s="39" t="n"/>
      <c r="O1156" s="46" t="n"/>
    </row>
    <row r="1157">
      <c r="H1157" s="47">
        <f>IF(AND(E1157&lt;&gt;"",F1157&lt;&gt;""), F1157-E1157, IF(G1157&lt;&gt;"", G1157, 0))</f>
        <v/>
      </c>
      <c r="I1157" s="48">
        <f>H1157*Settings!$B$5</f>
        <v/>
      </c>
      <c r="K1157">
        <f>IF(AND(A1157&lt;&gt;"",C1157&lt;&gt;"",D1157&lt;&gt;"",H1157&gt;0),"✓","⚠ missing")</f>
        <v/>
      </c>
      <c r="L1157" s="44" t="n"/>
      <c r="M1157" s="45" t="n"/>
      <c r="N1157" s="39" t="n"/>
      <c r="O1157" s="46" t="n"/>
    </row>
    <row r="1158">
      <c r="H1158" s="47">
        <f>IF(AND(E1158&lt;&gt;"",F1158&lt;&gt;""), F1158-E1158, IF(G1158&lt;&gt;"", G1158, 0))</f>
        <v/>
      </c>
      <c r="I1158" s="48">
        <f>H1158*Settings!$B$5</f>
        <v/>
      </c>
      <c r="K1158">
        <f>IF(AND(A1158&lt;&gt;"",C1158&lt;&gt;"",D1158&lt;&gt;"",H1158&gt;0),"✓","⚠ missing")</f>
        <v/>
      </c>
      <c r="L1158" s="44" t="n"/>
      <c r="M1158" s="45" t="n"/>
      <c r="N1158" s="39" t="n"/>
      <c r="O1158" s="46" t="n"/>
    </row>
    <row r="1159">
      <c r="H1159" s="47">
        <f>IF(AND(E1159&lt;&gt;"",F1159&lt;&gt;""), F1159-E1159, IF(G1159&lt;&gt;"", G1159, 0))</f>
        <v/>
      </c>
      <c r="I1159" s="48">
        <f>H1159*Settings!$B$5</f>
        <v/>
      </c>
      <c r="K1159">
        <f>IF(AND(A1159&lt;&gt;"",C1159&lt;&gt;"",D1159&lt;&gt;"",H1159&gt;0),"✓","⚠ missing")</f>
        <v/>
      </c>
      <c r="L1159" s="44" t="n"/>
      <c r="M1159" s="45" t="n"/>
      <c r="N1159" s="39" t="n"/>
      <c r="O1159" s="46" t="n"/>
    </row>
    <row r="1160">
      <c r="H1160" s="47">
        <f>IF(AND(E1160&lt;&gt;"",F1160&lt;&gt;""), F1160-E1160, IF(G1160&lt;&gt;"", G1160, 0))</f>
        <v/>
      </c>
      <c r="I1160" s="48">
        <f>H1160*Settings!$B$5</f>
        <v/>
      </c>
      <c r="K1160">
        <f>IF(AND(A1160&lt;&gt;"",C1160&lt;&gt;"",D1160&lt;&gt;"",H1160&gt;0),"✓","⚠ missing")</f>
        <v/>
      </c>
      <c r="L1160" s="44" t="n"/>
      <c r="M1160" s="45" t="n"/>
      <c r="N1160" s="39" t="n"/>
      <c r="O1160" s="46" t="n"/>
    </row>
    <row r="1161">
      <c r="H1161" s="47">
        <f>IF(AND(E1161&lt;&gt;"",F1161&lt;&gt;""), F1161-E1161, IF(G1161&lt;&gt;"", G1161, 0))</f>
        <v/>
      </c>
      <c r="I1161" s="48">
        <f>H1161*Settings!$B$5</f>
        <v/>
      </c>
      <c r="K1161">
        <f>IF(AND(A1161&lt;&gt;"",C1161&lt;&gt;"",D1161&lt;&gt;"",H1161&gt;0),"✓","⚠ missing")</f>
        <v/>
      </c>
      <c r="L1161" s="44" t="n"/>
      <c r="M1161" s="45" t="n"/>
      <c r="N1161" s="39" t="n"/>
      <c r="O1161" s="46" t="n"/>
    </row>
    <row r="1162">
      <c r="H1162" s="47">
        <f>IF(AND(E1162&lt;&gt;"",F1162&lt;&gt;""), F1162-E1162, IF(G1162&lt;&gt;"", G1162, 0))</f>
        <v/>
      </c>
      <c r="I1162" s="48">
        <f>H1162*Settings!$B$5</f>
        <v/>
      </c>
      <c r="K1162">
        <f>IF(AND(A1162&lt;&gt;"",C1162&lt;&gt;"",D1162&lt;&gt;"",H1162&gt;0),"✓","⚠ missing")</f>
        <v/>
      </c>
      <c r="L1162" s="44" t="n"/>
      <c r="M1162" s="45" t="n"/>
      <c r="N1162" s="39" t="n"/>
      <c r="O1162" s="46" t="n"/>
    </row>
    <row r="1163">
      <c r="H1163" s="47">
        <f>IF(AND(E1163&lt;&gt;"",F1163&lt;&gt;""), F1163-E1163, IF(G1163&lt;&gt;"", G1163, 0))</f>
        <v/>
      </c>
      <c r="I1163" s="48">
        <f>H1163*Settings!$B$5</f>
        <v/>
      </c>
      <c r="K1163">
        <f>IF(AND(A1163&lt;&gt;"",C1163&lt;&gt;"",D1163&lt;&gt;"",H1163&gt;0),"✓","⚠ missing")</f>
        <v/>
      </c>
      <c r="L1163" s="44" t="n"/>
      <c r="M1163" s="45" t="n"/>
      <c r="N1163" s="39" t="n"/>
      <c r="O1163" s="46" t="n"/>
    </row>
    <row r="1164">
      <c r="H1164" s="47">
        <f>IF(AND(E1164&lt;&gt;"",F1164&lt;&gt;""), F1164-E1164, IF(G1164&lt;&gt;"", G1164, 0))</f>
        <v/>
      </c>
      <c r="I1164" s="48">
        <f>H1164*Settings!$B$5</f>
        <v/>
      </c>
      <c r="K1164">
        <f>IF(AND(A1164&lt;&gt;"",C1164&lt;&gt;"",D1164&lt;&gt;"",H1164&gt;0),"✓","⚠ missing")</f>
        <v/>
      </c>
      <c r="L1164" s="44" t="n"/>
      <c r="M1164" s="45" t="n"/>
      <c r="N1164" s="39" t="n"/>
      <c r="O1164" s="46" t="n"/>
    </row>
    <row r="1165">
      <c r="H1165" s="47">
        <f>IF(AND(E1165&lt;&gt;"",F1165&lt;&gt;""), F1165-E1165, IF(G1165&lt;&gt;"", G1165, 0))</f>
        <v/>
      </c>
      <c r="I1165" s="48">
        <f>H1165*Settings!$B$5</f>
        <v/>
      </c>
      <c r="K1165">
        <f>IF(AND(A1165&lt;&gt;"",C1165&lt;&gt;"",D1165&lt;&gt;"",H1165&gt;0),"✓","⚠ missing")</f>
        <v/>
      </c>
      <c r="L1165" s="44" t="n"/>
      <c r="M1165" s="45" t="n"/>
      <c r="N1165" s="39" t="n"/>
      <c r="O1165" s="46" t="n"/>
    </row>
    <row r="1166">
      <c r="H1166" s="47">
        <f>IF(AND(E1166&lt;&gt;"",F1166&lt;&gt;""), F1166-E1166, IF(G1166&lt;&gt;"", G1166, 0))</f>
        <v/>
      </c>
      <c r="I1166" s="48">
        <f>H1166*Settings!$B$5</f>
        <v/>
      </c>
      <c r="K1166">
        <f>IF(AND(A1166&lt;&gt;"",C1166&lt;&gt;"",D1166&lt;&gt;"",H1166&gt;0),"✓","⚠ missing")</f>
        <v/>
      </c>
      <c r="L1166" s="44" t="n"/>
      <c r="M1166" s="45" t="n"/>
      <c r="N1166" s="39" t="n"/>
      <c r="O1166" s="46" t="n"/>
    </row>
    <row r="1167">
      <c r="H1167" s="47">
        <f>IF(AND(E1167&lt;&gt;"",F1167&lt;&gt;""), F1167-E1167, IF(G1167&lt;&gt;"", G1167, 0))</f>
        <v/>
      </c>
      <c r="I1167" s="48">
        <f>H1167*Settings!$B$5</f>
        <v/>
      </c>
      <c r="K1167">
        <f>IF(AND(A1167&lt;&gt;"",C1167&lt;&gt;"",D1167&lt;&gt;"",H1167&gt;0),"✓","⚠ missing")</f>
        <v/>
      </c>
      <c r="L1167" s="44" t="n"/>
      <c r="M1167" s="45" t="n"/>
      <c r="N1167" s="39" t="n"/>
      <c r="O1167" s="46" t="n"/>
    </row>
    <row r="1168">
      <c r="H1168" s="47">
        <f>IF(AND(E1168&lt;&gt;"",F1168&lt;&gt;""), F1168-E1168, IF(G1168&lt;&gt;"", G1168, 0))</f>
        <v/>
      </c>
      <c r="I1168" s="48">
        <f>H1168*Settings!$B$5</f>
        <v/>
      </c>
      <c r="K1168">
        <f>IF(AND(A1168&lt;&gt;"",C1168&lt;&gt;"",D1168&lt;&gt;"",H1168&gt;0),"✓","⚠ missing")</f>
        <v/>
      </c>
      <c r="L1168" s="44" t="n"/>
      <c r="M1168" s="45" t="n"/>
      <c r="N1168" s="39" t="n"/>
      <c r="O1168" s="46" t="n"/>
    </row>
    <row r="1169">
      <c r="H1169" s="47">
        <f>IF(AND(E1169&lt;&gt;"",F1169&lt;&gt;""), F1169-E1169, IF(G1169&lt;&gt;"", G1169, 0))</f>
        <v/>
      </c>
      <c r="I1169" s="48">
        <f>H1169*Settings!$B$5</f>
        <v/>
      </c>
      <c r="K1169">
        <f>IF(AND(A1169&lt;&gt;"",C1169&lt;&gt;"",D1169&lt;&gt;"",H1169&gt;0),"✓","⚠ missing")</f>
        <v/>
      </c>
      <c r="L1169" s="44" t="n"/>
      <c r="M1169" s="45" t="n"/>
      <c r="N1169" s="39" t="n"/>
      <c r="O1169" s="46" t="n"/>
    </row>
    <row r="1170">
      <c r="H1170" s="47">
        <f>IF(AND(E1170&lt;&gt;"",F1170&lt;&gt;""), F1170-E1170, IF(G1170&lt;&gt;"", G1170, 0))</f>
        <v/>
      </c>
      <c r="I1170" s="48">
        <f>H1170*Settings!$B$5</f>
        <v/>
      </c>
      <c r="K1170">
        <f>IF(AND(A1170&lt;&gt;"",C1170&lt;&gt;"",D1170&lt;&gt;"",H1170&gt;0),"✓","⚠ missing")</f>
        <v/>
      </c>
      <c r="L1170" s="44" t="n"/>
      <c r="M1170" s="45" t="n"/>
      <c r="N1170" s="39" t="n"/>
      <c r="O1170" s="46" t="n"/>
    </row>
    <row r="1171">
      <c r="H1171" s="47">
        <f>IF(AND(E1171&lt;&gt;"",F1171&lt;&gt;""), F1171-E1171, IF(G1171&lt;&gt;"", G1171, 0))</f>
        <v/>
      </c>
      <c r="I1171" s="48">
        <f>H1171*Settings!$B$5</f>
        <v/>
      </c>
      <c r="K1171">
        <f>IF(AND(A1171&lt;&gt;"",C1171&lt;&gt;"",D1171&lt;&gt;"",H1171&gt;0),"✓","⚠ missing")</f>
        <v/>
      </c>
      <c r="L1171" s="44" t="n"/>
      <c r="M1171" s="45" t="n"/>
      <c r="N1171" s="39" t="n"/>
      <c r="O1171" s="46" t="n"/>
    </row>
    <row r="1172">
      <c r="H1172" s="47">
        <f>IF(AND(E1172&lt;&gt;"",F1172&lt;&gt;""), F1172-E1172, IF(G1172&lt;&gt;"", G1172, 0))</f>
        <v/>
      </c>
      <c r="I1172" s="48">
        <f>H1172*Settings!$B$5</f>
        <v/>
      </c>
      <c r="K1172">
        <f>IF(AND(A1172&lt;&gt;"",C1172&lt;&gt;"",D1172&lt;&gt;"",H1172&gt;0),"✓","⚠ missing")</f>
        <v/>
      </c>
      <c r="L1172" s="44" t="n"/>
      <c r="M1172" s="45" t="n"/>
      <c r="N1172" s="39" t="n"/>
      <c r="O1172" s="46" t="n"/>
    </row>
    <row r="1173">
      <c r="H1173" s="47">
        <f>IF(AND(E1173&lt;&gt;"",F1173&lt;&gt;""), F1173-E1173, IF(G1173&lt;&gt;"", G1173, 0))</f>
        <v/>
      </c>
      <c r="I1173" s="48">
        <f>H1173*Settings!$B$5</f>
        <v/>
      </c>
      <c r="K1173">
        <f>IF(AND(A1173&lt;&gt;"",C1173&lt;&gt;"",D1173&lt;&gt;"",H1173&gt;0),"✓","⚠ missing")</f>
        <v/>
      </c>
      <c r="L1173" s="44" t="n"/>
      <c r="M1173" s="45" t="n"/>
      <c r="N1173" s="39" t="n"/>
      <c r="O1173" s="46" t="n"/>
    </row>
    <row r="1174">
      <c r="H1174" s="47">
        <f>IF(AND(E1174&lt;&gt;"",F1174&lt;&gt;""), F1174-E1174, IF(G1174&lt;&gt;"", G1174, 0))</f>
        <v/>
      </c>
      <c r="I1174" s="48">
        <f>H1174*Settings!$B$5</f>
        <v/>
      </c>
      <c r="K1174">
        <f>IF(AND(A1174&lt;&gt;"",C1174&lt;&gt;"",D1174&lt;&gt;"",H1174&gt;0),"✓","⚠ missing")</f>
        <v/>
      </c>
      <c r="L1174" s="44" t="n"/>
      <c r="M1174" s="45" t="n"/>
      <c r="N1174" s="39" t="n"/>
      <c r="O1174" s="46" t="n"/>
    </row>
    <row r="1175">
      <c r="H1175" s="47">
        <f>IF(AND(E1175&lt;&gt;"",F1175&lt;&gt;""), F1175-E1175, IF(G1175&lt;&gt;"", G1175, 0))</f>
        <v/>
      </c>
      <c r="I1175" s="48">
        <f>H1175*Settings!$B$5</f>
        <v/>
      </c>
      <c r="K1175">
        <f>IF(AND(A1175&lt;&gt;"",C1175&lt;&gt;"",D1175&lt;&gt;"",H1175&gt;0),"✓","⚠ missing")</f>
        <v/>
      </c>
      <c r="L1175" s="44" t="n"/>
      <c r="M1175" s="45" t="n"/>
      <c r="N1175" s="39" t="n"/>
      <c r="O1175" s="46" t="n"/>
    </row>
    <row r="1176">
      <c r="H1176" s="47">
        <f>IF(AND(E1176&lt;&gt;"",F1176&lt;&gt;""), F1176-E1176, IF(G1176&lt;&gt;"", G1176, 0))</f>
        <v/>
      </c>
      <c r="I1176" s="48">
        <f>H1176*Settings!$B$5</f>
        <v/>
      </c>
      <c r="K1176">
        <f>IF(AND(A1176&lt;&gt;"",C1176&lt;&gt;"",D1176&lt;&gt;"",H1176&gt;0),"✓","⚠ missing")</f>
        <v/>
      </c>
      <c r="L1176" s="44" t="n"/>
      <c r="M1176" s="45" t="n"/>
      <c r="N1176" s="39" t="n"/>
      <c r="O1176" s="46" t="n"/>
    </row>
    <row r="1177">
      <c r="H1177" s="47">
        <f>IF(AND(E1177&lt;&gt;"",F1177&lt;&gt;""), F1177-E1177, IF(G1177&lt;&gt;"", G1177, 0))</f>
        <v/>
      </c>
      <c r="I1177" s="48">
        <f>H1177*Settings!$B$5</f>
        <v/>
      </c>
      <c r="K1177">
        <f>IF(AND(A1177&lt;&gt;"",C1177&lt;&gt;"",D1177&lt;&gt;"",H1177&gt;0),"✓","⚠ missing")</f>
        <v/>
      </c>
      <c r="L1177" s="44" t="n"/>
      <c r="M1177" s="45" t="n"/>
      <c r="N1177" s="39" t="n"/>
      <c r="O1177" s="46" t="n"/>
    </row>
    <row r="1178">
      <c r="H1178" s="47">
        <f>IF(AND(E1178&lt;&gt;"",F1178&lt;&gt;""), F1178-E1178, IF(G1178&lt;&gt;"", G1178, 0))</f>
        <v/>
      </c>
      <c r="I1178" s="48">
        <f>H1178*Settings!$B$5</f>
        <v/>
      </c>
      <c r="K1178">
        <f>IF(AND(A1178&lt;&gt;"",C1178&lt;&gt;"",D1178&lt;&gt;"",H1178&gt;0),"✓","⚠ missing")</f>
        <v/>
      </c>
      <c r="L1178" s="44" t="n"/>
      <c r="M1178" s="45" t="n"/>
      <c r="N1178" s="39" t="n"/>
      <c r="O1178" s="46" t="n"/>
    </row>
    <row r="1179">
      <c r="H1179" s="47">
        <f>IF(AND(E1179&lt;&gt;"",F1179&lt;&gt;""), F1179-E1179, IF(G1179&lt;&gt;"", G1179, 0))</f>
        <v/>
      </c>
      <c r="I1179" s="48">
        <f>H1179*Settings!$B$5</f>
        <v/>
      </c>
      <c r="K1179">
        <f>IF(AND(A1179&lt;&gt;"",C1179&lt;&gt;"",D1179&lt;&gt;"",H1179&gt;0),"✓","⚠ missing")</f>
        <v/>
      </c>
      <c r="L1179" s="44" t="n"/>
      <c r="M1179" s="45" t="n"/>
      <c r="N1179" s="39" t="n"/>
      <c r="O1179" s="46" t="n"/>
    </row>
    <row r="1180">
      <c r="H1180" s="47">
        <f>IF(AND(E1180&lt;&gt;"",F1180&lt;&gt;""), F1180-E1180, IF(G1180&lt;&gt;"", G1180, 0))</f>
        <v/>
      </c>
      <c r="I1180" s="48">
        <f>H1180*Settings!$B$5</f>
        <v/>
      </c>
      <c r="K1180">
        <f>IF(AND(A1180&lt;&gt;"",C1180&lt;&gt;"",D1180&lt;&gt;"",H1180&gt;0),"✓","⚠ missing")</f>
        <v/>
      </c>
      <c r="L1180" s="44" t="n"/>
      <c r="M1180" s="45" t="n"/>
      <c r="N1180" s="39" t="n"/>
      <c r="O1180" s="46" t="n"/>
    </row>
    <row r="1181">
      <c r="H1181" s="47">
        <f>IF(AND(E1181&lt;&gt;"",F1181&lt;&gt;""), F1181-E1181, IF(G1181&lt;&gt;"", G1181, 0))</f>
        <v/>
      </c>
      <c r="I1181" s="48">
        <f>H1181*Settings!$B$5</f>
        <v/>
      </c>
      <c r="K1181">
        <f>IF(AND(A1181&lt;&gt;"",C1181&lt;&gt;"",D1181&lt;&gt;"",H1181&gt;0),"✓","⚠ missing")</f>
        <v/>
      </c>
      <c r="L1181" s="44" t="n"/>
      <c r="M1181" s="45" t="n"/>
      <c r="N1181" s="39" t="n"/>
      <c r="O1181" s="46" t="n"/>
    </row>
    <row r="1182">
      <c r="H1182" s="47">
        <f>IF(AND(E1182&lt;&gt;"",F1182&lt;&gt;""), F1182-E1182, IF(G1182&lt;&gt;"", G1182, 0))</f>
        <v/>
      </c>
      <c r="I1182" s="48">
        <f>H1182*Settings!$B$5</f>
        <v/>
      </c>
      <c r="K1182">
        <f>IF(AND(A1182&lt;&gt;"",C1182&lt;&gt;"",D1182&lt;&gt;"",H1182&gt;0),"✓","⚠ missing")</f>
        <v/>
      </c>
      <c r="L1182" s="44" t="n"/>
      <c r="M1182" s="45" t="n"/>
      <c r="N1182" s="39" t="n"/>
      <c r="O1182" s="46" t="n"/>
    </row>
    <row r="1183">
      <c r="H1183" s="47">
        <f>IF(AND(E1183&lt;&gt;"",F1183&lt;&gt;""), F1183-E1183, IF(G1183&lt;&gt;"", G1183, 0))</f>
        <v/>
      </c>
      <c r="I1183" s="48">
        <f>H1183*Settings!$B$5</f>
        <v/>
      </c>
      <c r="K1183">
        <f>IF(AND(A1183&lt;&gt;"",C1183&lt;&gt;"",D1183&lt;&gt;"",H1183&gt;0),"✓","⚠ missing")</f>
        <v/>
      </c>
      <c r="L1183" s="44" t="n"/>
      <c r="M1183" s="45" t="n"/>
      <c r="N1183" s="39" t="n"/>
      <c r="O1183" s="46" t="n"/>
    </row>
    <row r="1184">
      <c r="H1184" s="47">
        <f>IF(AND(E1184&lt;&gt;"",F1184&lt;&gt;""), F1184-E1184, IF(G1184&lt;&gt;"", G1184, 0))</f>
        <v/>
      </c>
      <c r="I1184" s="48">
        <f>H1184*Settings!$B$5</f>
        <v/>
      </c>
      <c r="K1184">
        <f>IF(AND(A1184&lt;&gt;"",C1184&lt;&gt;"",D1184&lt;&gt;"",H1184&gt;0),"✓","⚠ missing")</f>
        <v/>
      </c>
      <c r="L1184" s="44" t="n"/>
      <c r="M1184" s="45" t="n"/>
      <c r="N1184" s="39" t="n"/>
      <c r="O1184" s="46" t="n"/>
    </row>
    <row r="1185">
      <c r="H1185" s="47">
        <f>IF(AND(E1185&lt;&gt;"",F1185&lt;&gt;""), F1185-E1185, IF(G1185&lt;&gt;"", G1185, 0))</f>
        <v/>
      </c>
      <c r="I1185" s="48">
        <f>H1185*Settings!$B$5</f>
        <v/>
      </c>
      <c r="K1185">
        <f>IF(AND(A1185&lt;&gt;"",C1185&lt;&gt;"",D1185&lt;&gt;"",H1185&gt;0),"✓","⚠ missing")</f>
        <v/>
      </c>
      <c r="L1185" s="44" t="n"/>
      <c r="M1185" s="45" t="n"/>
      <c r="N1185" s="39" t="n"/>
      <c r="O1185" s="46" t="n"/>
    </row>
    <row r="1186">
      <c r="H1186" s="47">
        <f>IF(AND(E1186&lt;&gt;"",F1186&lt;&gt;""), F1186-E1186, IF(G1186&lt;&gt;"", G1186, 0))</f>
        <v/>
      </c>
      <c r="I1186" s="48">
        <f>H1186*Settings!$B$5</f>
        <v/>
      </c>
      <c r="K1186">
        <f>IF(AND(A1186&lt;&gt;"",C1186&lt;&gt;"",D1186&lt;&gt;"",H1186&gt;0),"✓","⚠ missing")</f>
        <v/>
      </c>
      <c r="L1186" s="44" t="n"/>
      <c r="M1186" s="45" t="n"/>
      <c r="N1186" s="39" t="n"/>
      <c r="O1186" s="46" t="n"/>
    </row>
    <row r="1187">
      <c r="H1187" s="47">
        <f>IF(AND(E1187&lt;&gt;"",F1187&lt;&gt;""), F1187-E1187, IF(G1187&lt;&gt;"", G1187, 0))</f>
        <v/>
      </c>
      <c r="I1187" s="48">
        <f>H1187*Settings!$B$5</f>
        <v/>
      </c>
      <c r="K1187">
        <f>IF(AND(A1187&lt;&gt;"",C1187&lt;&gt;"",D1187&lt;&gt;"",H1187&gt;0),"✓","⚠ missing")</f>
        <v/>
      </c>
      <c r="L1187" s="44" t="n"/>
      <c r="M1187" s="45" t="n"/>
      <c r="N1187" s="39" t="n"/>
      <c r="O1187" s="46" t="n"/>
    </row>
    <row r="1188">
      <c r="H1188" s="47">
        <f>IF(AND(E1188&lt;&gt;"",F1188&lt;&gt;""), F1188-E1188, IF(G1188&lt;&gt;"", G1188, 0))</f>
        <v/>
      </c>
      <c r="I1188" s="48">
        <f>H1188*Settings!$B$5</f>
        <v/>
      </c>
      <c r="K1188">
        <f>IF(AND(A1188&lt;&gt;"",C1188&lt;&gt;"",D1188&lt;&gt;"",H1188&gt;0),"✓","⚠ missing")</f>
        <v/>
      </c>
      <c r="L1188" s="44" t="n"/>
      <c r="M1188" s="45" t="n"/>
      <c r="N1188" s="39" t="n"/>
      <c r="O1188" s="46" t="n"/>
    </row>
    <row r="1189">
      <c r="H1189" s="47">
        <f>IF(AND(E1189&lt;&gt;"",F1189&lt;&gt;""), F1189-E1189, IF(G1189&lt;&gt;"", G1189, 0))</f>
        <v/>
      </c>
      <c r="I1189" s="48">
        <f>H1189*Settings!$B$5</f>
        <v/>
      </c>
      <c r="K1189">
        <f>IF(AND(A1189&lt;&gt;"",C1189&lt;&gt;"",D1189&lt;&gt;"",H1189&gt;0),"✓","⚠ missing")</f>
        <v/>
      </c>
      <c r="L1189" s="44" t="n"/>
      <c r="M1189" s="45" t="n"/>
      <c r="N1189" s="39" t="n"/>
      <c r="O1189" s="46" t="n"/>
    </row>
    <row r="1190">
      <c r="H1190" s="47">
        <f>IF(AND(E1190&lt;&gt;"",F1190&lt;&gt;""), F1190-E1190, IF(G1190&lt;&gt;"", G1190, 0))</f>
        <v/>
      </c>
      <c r="I1190" s="48">
        <f>H1190*Settings!$B$5</f>
        <v/>
      </c>
      <c r="K1190">
        <f>IF(AND(A1190&lt;&gt;"",C1190&lt;&gt;"",D1190&lt;&gt;"",H1190&gt;0),"✓","⚠ missing")</f>
        <v/>
      </c>
      <c r="L1190" s="44" t="n"/>
      <c r="M1190" s="45" t="n"/>
      <c r="N1190" s="39" t="n"/>
      <c r="O1190" s="46" t="n"/>
    </row>
    <row r="1191">
      <c r="H1191" s="47">
        <f>IF(AND(E1191&lt;&gt;"",F1191&lt;&gt;""), F1191-E1191, IF(G1191&lt;&gt;"", G1191, 0))</f>
        <v/>
      </c>
      <c r="I1191" s="48">
        <f>H1191*Settings!$B$5</f>
        <v/>
      </c>
      <c r="K1191">
        <f>IF(AND(A1191&lt;&gt;"",C1191&lt;&gt;"",D1191&lt;&gt;"",H1191&gt;0),"✓","⚠ missing")</f>
        <v/>
      </c>
      <c r="L1191" s="44" t="n"/>
      <c r="M1191" s="45" t="n"/>
      <c r="N1191" s="39" t="n"/>
      <c r="O1191" s="46" t="n"/>
    </row>
    <row r="1192">
      <c r="H1192" s="47">
        <f>IF(AND(E1192&lt;&gt;"",F1192&lt;&gt;""), F1192-E1192, IF(G1192&lt;&gt;"", G1192, 0))</f>
        <v/>
      </c>
      <c r="I1192" s="48">
        <f>H1192*Settings!$B$5</f>
        <v/>
      </c>
      <c r="K1192">
        <f>IF(AND(A1192&lt;&gt;"",C1192&lt;&gt;"",D1192&lt;&gt;"",H1192&gt;0),"✓","⚠ missing")</f>
        <v/>
      </c>
      <c r="L1192" s="44" t="n"/>
      <c r="M1192" s="45" t="n"/>
      <c r="N1192" s="39" t="n"/>
      <c r="O1192" s="46" t="n"/>
    </row>
    <row r="1193">
      <c r="H1193" s="47">
        <f>IF(AND(E1193&lt;&gt;"",F1193&lt;&gt;""), F1193-E1193, IF(G1193&lt;&gt;"", G1193, 0))</f>
        <v/>
      </c>
      <c r="I1193" s="48">
        <f>H1193*Settings!$B$5</f>
        <v/>
      </c>
      <c r="K1193">
        <f>IF(AND(A1193&lt;&gt;"",C1193&lt;&gt;"",D1193&lt;&gt;"",H1193&gt;0),"✓","⚠ missing")</f>
        <v/>
      </c>
      <c r="L1193" s="44" t="n"/>
      <c r="M1193" s="45" t="n"/>
      <c r="N1193" s="39" t="n"/>
      <c r="O1193" s="46" t="n"/>
    </row>
    <row r="1194">
      <c r="H1194" s="47">
        <f>IF(AND(E1194&lt;&gt;"",F1194&lt;&gt;""), F1194-E1194, IF(G1194&lt;&gt;"", G1194, 0))</f>
        <v/>
      </c>
      <c r="I1194" s="48">
        <f>H1194*Settings!$B$5</f>
        <v/>
      </c>
      <c r="K1194">
        <f>IF(AND(A1194&lt;&gt;"",C1194&lt;&gt;"",D1194&lt;&gt;"",H1194&gt;0),"✓","⚠ missing")</f>
        <v/>
      </c>
      <c r="L1194" s="44" t="n"/>
      <c r="M1194" s="45" t="n"/>
      <c r="N1194" s="39" t="n"/>
      <c r="O1194" s="46" t="n"/>
    </row>
    <row r="1195">
      <c r="H1195" s="47">
        <f>IF(AND(E1195&lt;&gt;"",F1195&lt;&gt;""), F1195-E1195, IF(G1195&lt;&gt;"", G1195, 0))</f>
        <v/>
      </c>
      <c r="I1195" s="48">
        <f>H1195*Settings!$B$5</f>
        <v/>
      </c>
      <c r="K1195">
        <f>IF(AND(A1195&lt;&gt;"",C1195&lt;&gt;"",D1195&lt;&gt;"",H1195&gt;0),"✓","⚠ missing")</f>
        <v/>
      </c>
      <c r="L1195" s="44" t="n"/>
      <c r="M1195" s="45" t="n"/>
      <c r="N1195" s="39" t="n"/>
      <c r="O1195" s="46" t="n"/>
    </row>
    <row r="1196">
      <c r="H1196" s="47">
        <f>IF(AND(E1196&lt;&gt;"",F1196&lt;&gt;""), F1196-E1196, IF(G1196&lt;&gt;"", G1196, 0))</f>
        <v/>
      </c>
      <c r="I1196" s="48">
        <f>H1196*Settings!$B$5</f>
        <v/>
      </c>
      <c r="K1196">
        <f>IF(AND(A1196&lt;&gt;"",C1196&lt;&gt;"",D1196&lt;&gt;"",H1196&gt;0),"✓","⚠ missing")</f>
        <v/>
      </c>
      <c r="L1196" s="44" t="n"/>
      <c r="M1196" s="45" t="n"/>
      <c r="N1196" s="39" t="n"/>
      <c r="O1196" s="46" t="n"/>
    </row>
    <row r="1197">
      <c r="H1197" s="47">
        <f>IF(AND(E1197&lt;&gt;"",F1197&lt;&gt;""), F1197-E1197, IF(G1197&lt;&gt;"", G1197, 0))</f>
        <v/>
      </c>
      <c r="I1197" s="48">
        <f>H1197*Settings!$B$5</f>
        <v/>
      </c>
      <c r="K1197">
        <f>IF(AND(A1197&lt;&gt;"",C1197&lt;&gt;"",D1197&lt;&gt;"",H1197&gt;0),"✓","⚠ missing")</f>
        <v/>
      </c>
      <c r="L1197" s="44" t="n"/>
      <c r="M1197" s="45" t="n"/>
      <c r="N1197" s="39" t="n"/>
      <c r="O1197" s="46" t="n"/>
    </row>
    <row r="1198">
      <c r="H1198" s="47">
        <f>IF(AND(E1198&lt;&gt;"",F1198&lt;&gt;""), F1198-E1198, IF(G1198&lt;&gt;"", G1198, 0))</f>
        <v/>
      </c>
      <c r="I1198" s="48">
        <f>H1198*Settings!$B$5</f>
        <v/>
      </c>
      <c r="K1198">
        <f>IF(AND(A1198&lt;&gt;"",C1198&lt;&gt;"",D1198&lt;&gt;"",H1198&gt;0),"✓","⚠ missing")</f>
        <v/>
      </c>
      <c r="L1198" s="44" t="n"/>
      <c r="M1198" s="45" t="n"/>
      <c r="N1198" s="39" t="n"/>
      <c r="O1198" s="46" t="n"/>
    </row>
    <row r="1199">
      <c r="H1199" s="47">
        <f>IF(AND(E1199&lt;&gt;"",F1199&lt;&gt;""), F1199-E1199, IF(G1199&lt;&gt;"", G1199, 0))</f>
        <v/>
      </c>
      <c r="I1199" s="48">
        <f>H1199*Settings!$B$5</f>
        <v/>
      </c>
      <c r="K1199">
        <f>IF(AND(A1199&lt;&gt;"",C1199&lt;&gt;"",D1199&lt;&gt;"",H1199&gt;0),"✓","⚠ missing")</f>
        <v/>
      </c>
      <c r="L1199" s="44" t="n"/>
      <c r="M1199" s="45" t="n"/>
      <c r="N1199" s="39" t="n"/>
      <c r="O1199" s="46" t="n"/>
    </row>
    <row r="1200">
      <c r="H1200" s="47">
        <f>IF(AND(E1200&lt;&gt;"",F1200&lt;&gt;""), F1200-E1200, IF(G1200&lt;&gt;"", G1200, 0))</f>
        <v/>
      </c>
      <c r="I1200" s="48">
        <f>H1200*Settings!$B$5</f>
        <v/>
      </c>
      <c r="K1200">
        <f>IF(AND(A1200&lt;&gt;"",C1200&lt;&gt;"",D1200&lt;&gt;"",H1200&gt;0),"✓","⚠ missing")</f>
        <v/>
      </c>
      <c r="L1200" s="44" t="n"/>
      <c r="M1200" s="45" t="n"/>
      <c r="N1200" s="39" t="n"/>
      <c r="O1200" s="46" t="n"/>
    </row>
    <row r="1201">
      <c r="H1201" s="47">
        <f>IF(AND(E1201&lt;&gt;"",F1201&lt;&gt;""), F1201-E1201, IF(G1201&lt;&gt;"", G1201, 0))</f>
        <v/>
      </c>
      <c r="I1201" s="48">
        <f>H1201*Settings!$B$5</f>
        <v/>
      </c>
      <c r="K1201">
        <f>IF(AND(A1201&lt;&gt;"",C1201&lt;&gt;"",D1201&lt;&gt;"",H1201&gt;0),"✓","⚠ missing")</f>
        <v/>
      </c>
      <c r="L1201" s="44" t="n"/>
      <c r="M1201" s="45" t="n"/>
      <c r="N1201" s="39" t="n"/>
      <c r="O1201" s="46" t="n"/>
    </row>
    <row r="1202">
      <c r="H1202" s="47">
        <f>IF(AND(E1202&lt;&gt;"",F1202&lt;&gt;""), F1202-E1202, IF(G1202&lt;&gt;"", G1202, 0))</f>
        <v/>
      </c>
      <c r="I1202" s="48">
        <f>H1202*Settings!$B$5</f>
        <v/>
      </c>
      <c r="K1202">
        <f>IF(AND(A1202&lt;&gt;"",C1202&lt;&gt;"",D1202&lt;&gt;"",H1202&gt;0),"✓","⚠ missing")</f>
        <v/>
      </c>
      <c r="L1202" s="44" t="n"/>
      <c r="M1202" s="45" t="n"/>
      <c r="N1202" s="39" t="n"/>
      <c r="O1202" s="46" t="n"/>
    </row>
    <row r="1203">
      <c r="H1203" s="47">
        <f>IF(AND(E1203&lt;&gt;"",F1203&lt;&gt;""), F1203-E1203, IF(G1203&lt;&gt;"", G1203, 0))</f>
        <v/>
      </c>
      <c r="I1203" s="48">
        <f>H1203*Settings!$B$5</f>
        <v/>
      </c>
      <c r="K1203">
        <f>IF(AND(A1203&lt;&gt;"",C1203&lt;&gt;"",D1203&lt;&gt;"",H1203&gt;0),"✓","⚠ missing")</f>
        <v/>
      </c>
      <c r="L1203" s="44" t="n"/>
      <c r="M1203" s="45" t="n"/>
      <c r="N1203" s="39" t="n"/>
      <c r="O1203" s="46" t="n"/>
    </row>
    <row r="1204">
      <c r="H1204" s="47">
        <f>IF(AND(E1204&lt;&gt;"",F1204&lt;&gt;""), F1204-E1204, IF(G1204&lt;&gt;"", G1204, 0))</f>
        <v/>
      </c>
      <c r="I1204" s="48">
        <f>H1204*Settings!$B$5</f>
        <v/>
      </c>
      <c r="K1204">
        <f>IF(AND(A1204&lt;&gt;"",C1204&lt;&gt;"",D1204&lt;&gt;"",H1204&gt;0),"✓","⚠ missing")</f>
        <v/>
      </c>
      <c r="L1204" s="44" t="n"/>
      <c r="M1204" s="45" t="n"/>
      <c r="N1204" s="39" t="n"/>
      <c r="O1204" s="46" t="n"/>
    </row>
    <row r="1205">
      <c r="H1205" s="47">
        <f>IF(AND(E1205&lt;&gt;"",F1205&lt;&gt;""), F1205-E1205, IF(G1205&lt;&gt;"", G1205, 0))</f>
        <v/>
      </c>
      <c r="I1205" s="48">
        <f>H1205*Settings!$B$5</f>
        <v/>
      </c>
      <c r="K1205">
        <f>IF(AND(A1205&lt;&gt;"",C1205&lt;&gt;"",D1205&lt;&gt;"",H1205&gt;0),"✓","⚠ missing")</f>
        <v/>
      </c>
      <c r="L1205" s="44" t="n"/>
      <c r="M1205" s="45" t="n"/>
      <c r="N1205" s="39" t="n"/>
      <c r="O1205" s="46" t="n"/>
    </row>
    <row r="1206">
      <c r="H1206" s="47">
        <f>IF(AND(E1206&lt;&gt;"",F1206&lt;&gt;""), F1206-E1206, IF(G1206&lt;&gt;"", G1206, 0))</f>
        <v/>
      </c>
      <c r="I1206" s="48">
        <f>H1206*Settings!$B$5</f>
        <v/>
      </c>
      <c r="K1206">
        <f>IF(AND(A1206&lt;&gt;"",C1206&lt;&gt;"",D1206&lt;&gt;"",H1206&gt;0),"✓","⚠ missing")</f>
        <v/>
      </c>
      <c r="L1206" s="44" t="n"/>
      <c r="M1206" s="45" t="n"/>
      <c r="N1206" s="39" t="n"/>
      <c r="O1206" s="46" t="n"/>
    </row>
    <row r="1207">
      <c r="H1207" s="47">
        <f>IF(AND(E1207&lt;&gt;"",F1207&lt;&gt;""), F1207-E1207, IF(G1207&lt;&gt;"", G1207, 0))</f>
        <v/>
      </c>
      <c r="I1207" s="48">
        <f>H1207*Settings!$B$5</f>
        <v/>
      </c>
      <c r="K1207">
        <f>IF(AND(A1207&lt;&gt;"",C1207&lt;&gt;"",D1207&lt;&gt;"",H1207&gt;0),"✓","⚠ missing")</f>
        <v/>
      </c>
      <c r="L1207" s="44" t="n"/>
      <c r="M1207" s="45" t="n"/>
      <c r="N1207" s="39" t="n"/>
      <c r="O1207" s="46" t="n"/>
    </row>
    <row r="1208">
      <c r="H1208" s="47">
        <f>IF(AND(E1208&lt;&gt;"",F1208&lt;&gt;""), F1208-E1208, IF(G1208&lt;&gt;"", G1208, 0))</f>
        <v/>
      </c>
      <c r="I1208" s="48">
        <f>H1208*Settings!$B$5</f>
        <v/>
      </c>
      <c r="K1208">
        <f>IF(AND(A1208&lt;&gt;"",C1208&lt;&gt;"",D1208&lt;&gt;"",H1208&gt;0),"✓","⚠ missing")</f>
        <v/>
      </c>
      <c r="L1208" s="44" t="n"/>
      <c r="M1208" s="45" t="n"/>
      <c r="N1208" s="39" t="n"/>
      <c r="O1208" s="46" t="n"/>
    </row>
    <row r="1209">
      <c r="H1209" s="47">
        <f>IF(AND(E1209&lt;&gt;"",F1209&lt;&gt;""), F1209-E1209, IF(G1209&lt;&gt;"", G1209, 0))</f>
        <v/>
      </c>
      <c r="I1209" s="48">
        <f>H1209*Settings!$B$5</f>
        <v/>
      </c>
      <c r="K1209">
        <f>IF(AND(A1209&lt;&gt;"",C1209&lt;&gt;"",D1209&lt;&gt;"",H1209&gt;0),"✓","⚠ missing")</f>
        <v/>
      </c>
      <c r="L1209" s="44" t="n"/>
      <c r="M1209" s="45" t="n"/>
      <c r="N1209" s="39" t="n"/>
      <c r="O1209" s="46" t="n"/>
    </row>
    <row r="1210">
      <c r="H1210" s="47">
        <f>IF(AND(E1210&lt;&gt;"",F1210&lt;&gt;""), F1210-E1210, IF(G1210&lt;&gt;"", G1210, 0))</f>
        <v/>
      </c>
      <c r="I1210" s="48">
        <f>H1210*Settings!$B$5</f>
        <v/>
      </c>
      <c r="K1210">
        <f>IF(AND(A1210&lt;&gt;"",C1210&lt;&gt;"",D1210&lt;&gt;"",H1210&gt;0),"✓","⚠ missing")</f>
        <v/>
      </c>
      <c r="L1210" s="44" t="n"/>
      <c r="M1210" s="45" t="n"/>
      <c r="N1210" s="39" t="n"/>
      <c r="O1210" s="46" t="n"/>
    </row>
    <row r="1211">
      <c r="H1211" s="47">
        <f>IF(AND(E1211&lt;&gt;"",F1211&lt;&gt;""), F1211-E1211, IF(G1211&lt;&gt;"", G1211, 0))</f>
        <v/>
      </c>
      <c r="I1211" s="48">
        <f>H1211*Settings!$B$5</f>
        <v/>
      </c>
      <c r="K1211">
        <f>IF(AND(A1211&lt;&gt;"",C1211&lt;&gt;"",D1211&lt;&gt;"",H1211&gt;0),"✓","⚠ missing")</f>
        <v/>
      </c>
      <c r="L1211" s="44" t="n"/>
      <c r="M1211" s="45" t="n"/>
      <c r="N1211" s="39" t="n"/>
      <c r="O1211" s="46" t="n"/>
    </row>
    <row r="1212">
      <c r="H1212" s="47">
        <f>IF(AND(E1212&lt;&gt;"",F1212&lt;&gt;""), F1212-E1212, IF(G1212&lt;&gt;"", G1212, 0))</f>
        <v/>
      </c>
      <c r="I1212" s="48">
        <f>H1212*Settings!$B$5</f>
        <v/>
      </c>
      <c r="K1212">
        <f>IF(AND(A1212&lt;&gt;"",C1212&lt;&gt;"",D1212&lt;&gt;"",H1212&gt;0),"✓","⚠ missing")</f>
        <v/>
      </c>
      <c r="L1212" s="44" t="n"/>
      <c r="M1212" s="45" t="n"/>
      <c r="N1212" s="39" t="n"/>
      <c r="O1212" s="46" t="n"/>
    </row>
    <row r="1213">
      <c r="H1213" s="47">
        <f>IF(AND(E1213&lt;&gt;"",F1213&lt;&gt;""), F1213-E1213, IF(G1213&lt;&gt;"", G1213, 0))</f>
        <v/>
      </c>
      <c r="I1213" s="48">
        <f>H1213*Settings!$B$5</f>
        <v/>
      </c>
      <c r="K1213">
        <f>IF(AND(A1213&lt;&gt;"",C1213&lt;&gt;"",D1213&lt;&gt;"",H1213&gt;0),"✓","⚠ missing")</f>
        <v/>
      </c>
      <c r="L1213" s="44" t="n"/>
      <c r="M1213" s="45" t="n"/>
      <c r="N1213" s="39" t="n"/>
      <c r="O1213" s="46" t="n"/>
    </row>
    <row r="1214">
      <c r="H1214" s="47">
        <f>IF(AND(E1214&lt;&gt;"",F1214&lt;&gt;""), F1214-E1214, IF(G1214&lt;&gt;"", G1214, 0))</f>
        <v/>
      </c>
      <c r="I1214" s="48">
        <f>H1214*Settings!$B$5</f>
        <v/>
      </c>
      <c r="K1214">
        <f>IF(AND(A1214&lt;&gt;"",C1214&lt;&gt;"",D1214&lt;&gt;"",H1214&gt;0),"✓","⚠ missing")</f>
        <v/>
      </c>
      <c r="L1214" s="44" t="n"/>
      <c r="M1214" s="45" t="n"/>
      <c r="N1214" s="39" t="n"/>
      <c r="O1214" s="46" t="n"/>
    </row>
    <row r="1215">
      <c r="H1215" s="47">
        <f>IF(AND(E1215&lt;&gt;"",F1215&lt;&gt;""), F1215-E1215, IF(G1215&lt;&gt;"", G1215, 0))</f>
        <v/>
      </c>
      <c r="I1215" s="48">
        <f>H1215*Settings!$B$5</f>
        <v/>
      </c>
      <c r="K1215">
        <f>IF(AND(A1215&lt;&gt;"",C1215&lt;&gt;"",D1215&lt;&gt;"",H1215&gt;0),"✓","⚠ missing")</f>
        <v/>
      </c>
      <c r="L1215" s="44" t="n"/>
      <c r="M1215" s="45" t="n"/>
      <c r="N1215" s="39" t="n"/>
      <c r="O1215" s="46" t="n"/>
    </row>
    <row r="1216">
      <c r="H1216" s="47">
        <f>IF(AND(E1216&lt;&gt;"",F1216&lt;&gt;""), F1216-E1216, IF(G1216&lt;&gt;"", G1216, 0))</f>
        <v/>
      </c>
      <c r="I1216" s="48">
        <f>H1216*Settings!$B$5</f>
        <v/>
      </c>
      <c r="K1216">
        <f>IF(AND(A1216&lt;&gt;"",C1216&lt;&gt;"",D1216&lt;&gt;"",H1216&gt;0),"✓","⚠ missing")</f>
        <v/>
      </c>
      <c r="L1216" s="44" t="n"/>
      <c r="M1216" s="45" t="n"/>
      <c r="N1216" s="39" t="n"/>
      <c r="O1216" s="46" t="n"/>
    </row>
    <row r="1217">
      <c r="H1217" s="47">
        <f>IF(AND(E1217&lt;&gt;"",F1217&lt;&gt;""), F1217-E1217, IF(G1217&lt;&gt;"", G1217, 0))</f>
        <v/>
      </c>
      <c r="I1217" s="48">
        <f>H1217*Settings!$B$5</f>
        <v/>
      </c>
      <c r="K1217">
        <f>IF(AND(A1217&lt;&gt;"",C1217&lt;&gt;"",D1217&lt;&gt;"",H1217&gt;0),"✓","⚠ missing")</f>
        <v/>
      </c>
      <c r="L1217" s="44" t="n"/>
      <c r="M1217" s="45" t="n"/>
      <c r="N1217" s="39" t="n"/>
      <c r="O1217" s="46" t="n"/>
    </row>
    <row r="1218">
      <c r="H1218" s="47">
        <f>IF(AND(E1218&lt;&gt;"",F1218&lt;&gt;""), F1218-E1218, IF(G1218&lt;&gt;"", G1218, 0))</f>
        <v/>
      </c>
      <c r="I1218" s="48">
        <f>H1218*Settings!$B$5</f>
        <v/>
      </c>
      <c r="K1218">
        <f>IF(AND(A1218&lt;&gt;"",C1218&lt;&gt;"",D1218&lt;&gt;"",H1218&gt;0),"✓","⚠ missing")</f>
        <v/>
      </c>
      <c r="L1218" s="44" t="n"/>
      <c r="M1218" s="45" t="n"/>
      <c r="N1218" s="39" t="n"/>
      <c r="O1218" s="46" t="n"/>
    </row>
    <row r="1219">
      <c r="H1219" s="47">
        <f>IF(AND(E1219&lt;&gt;"",F1219&lt;&gt;""), F1219-E1219, IF(G1219&lt;&gt;"", G1219, 0))</f>
        <v/>
      </c>
      <c r="I1219" s="48">
        <f>H1219*Settings!$B$5</f>
        <v/>
      </c>
      <c r="K1219">
        <f>IF(AND(A1219&lt;&gt;"",C1219&lt;&gt;"",D1219&lt;&gt;"",H1219&gt;0),"✓","⚠ missing")</f>
        <v/>
      </c>
      <c r="L1219" s="44" t="n"/>
      <c r="M1219" s="45" t="n"/>
      <c r="N1219" s="39" t="n"/>
      <c r="O1219" s="46" t="n"/>
    </row>
    <row r="1220">
      <c r="H1220" s="47">
        <f>IF(AND(E1220&lt;&gt;"",F1220&lt;&gt;""), F1220-E1220, IF(G1220&lt;&gt;"", G1220, 0))</f>
        <v/>
      </c>
      <c r="I1220" s="48">
        <f>H1220*Settings!$B$5</f>
        <v/>
      </c>
      <c r="K1220">
        <f>IF(AND(A1220&lt;&gt;"",C1220&lt;&gt;"",D1220&lt;&gt;"",H1220&gt;0),"✓","⚠ missing")</f>
        <v/>
      </c>
      <c r="L1220" s="44" t="n"/>
      <c r="M1220" s="45" t="n"/>
      <c r="N1220" s="39" t="n"/>
      <c r="O1220" s="46" t="n"/>
    </row>
    <row r="1221">
      <c r="H1221" s="47">
        <f>IF(AND(E1221&lt;&gt;"",F1221&lt;&gt;""), F1221-E1221, IF(G1221&lt;&gt;"", G1221, 0))</f>
        <v/>
      </c>
      <c r="I1221" s="48">
        <f>H1221*Settings!$B$5</f>
        <v/>
      </c>
      <c r="K1221">
        <f>IF(AND(A1221&lt;&gt;"",C1221&lt;&gt;"",D1221&lt;&gt;"",H1221&gt;0),"✓","⚠ missing")</f>
        <v/>
      </c>
      <c r="L1221" s="44" t="n"/>
      <c r="M1221" s="45" t="n"/>
      <c r="N1221" s="39" t="n"/>
      <c r="O1221" s="46" t="n"/>
    </row>
    <row r="1222">
      <c r="H1222" s="47">
        <f>IF(AND(E1222&lt;&gt;"",F1222&lt;&gt;""), F1222-E1222, IF(G1222&lt;&gt;"", G1222, 0))</f>
        <v/>
      </c>
      <c r="I1222" s="48">
        <f>H1222*Settings!$B$5</f>
        <v/>
      </c>
      <c r="K1222">
        <f>IF(AND(A1222&lt;&gt;"",C1222&lt;&gt;"",D1222&lt;&gt;"",H1222&gt;0),"✓","⚠ missing")</f>
        <v/>
      </c>
      <c r="L1222" s="44" t="n"/>
      <c r="M1222" s="45" t="n"/>
      <c r="N1222" s="39" t="n"/>
      <c r="O1222" s="46" t="n"/>
    </row>
    <row r="1223">
      <c r="H1223" s="47">
        <f>IF(AND(E1223&lt;&gt;"",F1223&lt;&gt;""), F1223-E1223, IF(G1223&lt;&gt;"", G1223, 0))</f>
        <v/>
      </c>
      <c r="I1223" s="48">
        <f>H1223*Settings!$B$5</f>
        <v/>
      </c>
      <c r="K1223">
        <f>IF(AND(A1223&lt;&gt;"",C1223&lt;&gt;"",D1223&lt;&gt;"",H1223&gt;0),"✓","⚠ missing")</f>
        <v/>
      </c>
      <c r="L1223" s="44" t="n"/>
      <c r="M1223" s="45" t="n"/>
      <c r="N1223" s="39" t="n"/>
      <c r="O1223" s="46" t="n"/>
    </row>
    <row r="1224">
      <c r="H1224" s="47">
        <f>IF(AND(E1224&lt;&gt;"",F1224&lt;&gt;""), F1224-E1224, IF(G1224&lt;&gt;"", G1224, 0))</f>
        <v/>
      </c>
      <c r="I1224" s="48">
        <f>H1224*Settings!$B$5</f>
        <v/>
      </c>
      <c r="K1224">
        <f>IF(AND(A1224&lt;&gt;"",C1224&lt;&gt;"",D1224&lt;&gt;"",H1224&gt;0),"✓","⚠ missing")</f>
        <v/>
      </c>
      <c r="L1224" s="44" t="n"/>
      <c r="M1224" s="45" t="n"/>
      <c r="N1224" s="39" t="n"/>
      <c r="O1224" s="46" t="n"/>
    </row>
    <row r="1225">
      <c r="H1225" s="47">
        <f>IF(AND(E1225&lt;&gt;"",F1225&lt;&gt;""), F1225-E1225, IF(G1225&lt;&gt;"", G1225, 0))</f>
        <v/>
      </c>
      <c r="I1225" s="48">
        <f>H1225*Settings!$B$5</f>
        <v/>
      </c>
      <c r="K1225">
        <f>IF(AND(A1225&lt;&gt;"",C1225&lt;&gt;"",D1225&lt;&gt;"",H1225&gt;0),"✓","⚠ missing")</f>
        <v/>
      </c>
      <c r="L1225" s="44" t="n"/>
      <c r="M1225" s="45" t="n"/>
      <c r="N1225" s="39" t="n"/>
      <c r="O1225" s="46" t="n"/>
    </row>
    <row r="1226">
      <c r="H1226" s="47">
        <f>IF(AND(E1226&lt;&gt;"",F1226&lt;&gt;""), F1226-E1226, IF(G1226&lt;&gt;"", G1226, 0))</f>
        <v/>
      </c>
      <c r="I1226" s="48">
        <f>H1226*Settings!$B$5</f>
        <v/>
      </c>
      <c r="K1226">
        <f>IF(AND(A1226&lt;&gt;"",C1226&lt;&gt;"",D1226&lt;&gt;"",H1226&gt;0),"✓","⚠ missing")</f>
        <v/>
      </c>
      <c r="L1226" s="44" t="n"/>
      <c r="M1226" s="45" t="n"/>
      <c r="N1226" s="39" t="n"/>
      <c r="O1226" s="46" t="n"/>
    </row>
    <row r="1227">
      <c r="H1227" s="47">
        <f>IF(AND(E1227&lt;&gt;"",F1227&lt;&gt;""), F1227-E1227, IF(G1227&lt;&gt;"", G1227, 0))</f>
        <v/>
      </c>
      <c r="I1227" s="48">
        <f>H1227*Settings!$B$5</f>
        <v/>
      </c>
      <c r="K1227">
        <f>IF(AND(A1227&lt;&gt;"",C1227&lt;&gt;"",D1227&lt;&gt;"",H1227&gt;0),"✓","⚠ missing")</f>
        <v/>
      </c>
      <c r="L1227" s="44" t="n"/>
      <c r="M1227" s="45" t="n"/>
      <c r="N1227" s="39" t="n"/>
      <c r="O1227" s="46" t="n"/>
    </row>
    <row r="1228">
      <c r="H1228" s="47">
        <f>IF(AND(E1228&lt;&gt;"",F1228&lt;&gt;""), F1228-E1228, IF(G1228&lt;&gt;"", G1228, 0))</f>
        <v/>
      </c>
      <c r="I1228" s="48">
        <f>H1228*Settings!$B$5</f>
        <v/>
      </c>
      <c r="K1228">
        <f>IF(AND(A1228&lt;&gt;"",C1228&lt;&gt;"",D1228&lt;&gt;"",H1228&gt;0),"✓","⚠ missing")</f>
        <v/>
      </c>
      <c r="L1228" s="44" t="n"/>
      <c r="M1228" s="45" t="n"/>
      <c r="N1228" s="39" t="n"/>
      <c r="O1228" s="46" t="n"/>
    </row>
    <row r="1229">
      <c r="H1229" s="47">
        <f>IF(AND(E1229&lt;&gt;"",F1229&lt;&gt;""), F1229-E1229, IF(G1229&lt;&gt;"", G1229, 0))</f>
        <v/>
      </c>
      <c r="I1229" s="48">
        <f>H1229*Settings!$B$5</f>
        <v/>
      </c>
      <c r="K1229">
        <f>IF(AND(A1229&lt;&gt;"",C1229&lt;&gt;"",D1229&lt;&gt;"",H1229&gt;0),"✓","⚠ missing")</f>
        <v/>
      </c>
      <c r="L1229" s="44" t="n"/>
      <c r="M1229" s="45" t="n"/>
      <c r="N1229" s="39" t="n"/>
      <c r="O1229" s="46" t="n"/>
    </row>
    <row r="1230">
      <c r="H1230" s="47">
        <f>IF(AND(E1230&lt;&gt;"",F1230&lt;&gt;""), F1230-E1230, IF(G1230&lt;&gt;"", G1230, 0))</f>
        <v/>
      </c>
      <c r="I1230" s="48">
        <f>H1230*Settings!$B$5</f>
        <v/>
      </c>
      <c r="K1230">
        <f>IF(AND(A1230&lt;&gt;"",C1230&lt;&gt;"",D1230&lt;&gt;"",H1230&gt;0),"✓","⚠ missing")</f>
        <v/>
      </c>
      <c r="L1230" s="44" t="n"/>
      <c r="M1230" s="45" t="n"/>
      <c r="N1230" s="39" t="n"/>
      <c r="O1230" s="46" t="n"/>
    </row>
    <row r="1231">
      <c r="H1231" s="47">
        <f>IF(AND(E1231&lt;&gt;"",F1231&lt;&gt;""), F1231-E1231, IF(G1231&lt;&gt;"", G1231, 0))</f>
        <v/>
      </c>
      <c r="I1231" s="48">
        <f>H1231*Settings!$B$5</f>
        <v/>
      </c>
      <c r="K1231">
        <f>IF(AND(A1231&lt;&gt;"",C1231&lt;&gt;"",D1231&lt;&gt;"",H1231&gt;0),"✓","⚠ missing")</f>
        <v/>
      </c>
      <c r="L1231" s="44" t="n"/>
      <c r="M1231" s="45" t="n"/>
      <c r="N1231" s="39" t="n"/>
      <c r="O1231" s="46" t="n"/>
    </row>
    <row r="1232">
      <c r="H1232" s="47">
        <f>IF(AND(E1232&lt;&gt;"",F1232&lt;&gt;""), F1232-E1232, IF(G1232&lt;&gt;"", G1232, 0))</f>
        <v/>
      </c>
      <c r="I1232" s="48">
        <f>H1232*Settings!$B$5</f>
        <v/>
      </c>
      <c r="K1232">
        <f>IF(AND(A1232&lt;&gt;"",C1232&lt;&gt;"",D1232&lt;&gt;"",H1232&gt;0),"✓","⚠ missing")</f>
        <v/>
      </c>
      <c r="L1232" s="44" t="n"/>
      <c r="M1232" s="45" t="n"/>
      <c r="N1232" s="39" t="n"/>
      <c r="O1232" s="46" t="n"/>
    </row>
    <row r="1233">
      <c r="H1233" s="47">
        <f>IF(AND(E1233&lt;&gt;"",F1233&lt;&gt;""), F1233-E1233, IF(G1233&lt;&gt;"", G1233, 0))</f>
        <v/>
      </c>
      <c r="I1233" s="48">
        <f>H1233*Settings!$B$5</f>
        <v/>
      </c>
      <c r="K1233">
        <f>IF(AND(A1233&lt;&gt;"",C1233&lt;&gt;"",D1233&lt;&gt;"",H1233&gt;0),"✓","⚠ missing")</f>
        <v/>
      </c>
      <c r="L1233" s="44" t="n"/>
      <c r="M1233" s="45" t="n"/>
      <c r="N1233" s="39" t="n"/>
      <c r="O1233" s="46" t="n"/>
    </row>
    <row r="1234">
      <c r="H1234" s="47">
        <f>IF(AND(E1234&lt;&gt;"",F1234&lt;&gt;""), F1234-E1234, IF(G1234&lt;&gt;"", G1234, 0))</f>
        <v/>
      </c>
      <c r="I1234" s="48">
        <f>H1234*Settings!$B$5</f>
        <v/>
      </c>
      <c r="K1234">
        <f>IF(AND(A1234&lt;&gt;"",C1234&lt;&gt;"",D1234&lt;&gt;"",H1234&gt;0),"✓","⚠ missing")</f>
        <v/>
      </c>
      <c r="L1234" s="44" t="n"/>
      <c r="M1234" s="45" t="n"/>
      <c r="N1234" s="39" t="n"/>
      <c r="O1234" s="46" t="n"/>
    </row>
    <row r="1235">
      <c r="H1235" s="47">
        <f>IF(AND(E1235&lt;&gt;"",F1235&lt;&gt;""), F1235-E1235, IF(G1235&lt;&gt;"", G1235, 0))</f>
        <v/>
      </c>
      <c r="I1235" s="48">
        <f>H1235*Settings!$B$5</f>
        <v/>
      </c>
      <c r="K1235">
        <f>IF(AND(A1235&lt;&gt;"",C1235&lt;&gt;"",D1235&lt;&gt;"",H1235&gt;0),"✓","⚠ missing")</f>
        <v/>
      </c>
      <c r="L1235" s="44" t="n"/>
      <c r="M1235" s="45" t="n"/>
      <c r="N1235" s="39" t="n"/>
      <c r="O1235" s="46" t="n"/>
    </row>
    <row r="1236">
      <c r="H1236" s="47">
        <f>IF(AND(E1236&lt;&gt;"",F1236&lt;&gt;""), F1236-E1236, IF(G1236&lt;&gt;"", G1236, 0))</f>
        <v/>
      </c>
      <c r="I1236" s="48">
        <f>H1236*Settings!$B$5</f>
        <v/>
      </c>
      <c r="K1236">
        <f>IF(AND(A1236&lt;&gt;"",C1236&lt;&gt;"",D1236&lt;&gt;"",H1236&gt;0),"✓","⚠ missing")</f>
        <v/>
      </c>
      <c r="L1236" s="44" t="n"/>
      <c r="M1236" s="45" t="n"/>
      <c r="N1236" s="39" t="n"/>
      <c r="O1236" s="46" t="n"/>
    </row>
    <row r="1237">
      <c r="H1237" s="47">
        <f>IF(AND(E1237&lt;&gt;"",F1237&lt;&gt;""), F1237-E1237, IF(G1237&lt;&gt;"", G1237, 0))</f>
        <v/>
      </c>
      <c r="I1237" s="48">
        <f>H1237*Settings!$B$5</f>
        <v/>
      </c>
      <c r="K1237">
        <f>IF(AND(A1237&lt;&gt;"",C1237&lt;&gt;"",D1237&lt;&gt;"",H1237&gt;0),"✓","⚠ missing")</f>
        <v/>
      </c>
      <c r="L1237" s="44" t="n"/>
      <c r="M1237" s="45" t="n"/>
      <c r="N1237" s="39" t="n"/>
      <c r="O1237" s="46" t="n"/>
    </row>
    <row r="1238">
      <c r="H1238" s="47">
        <f>IF(AND(E1238&lt;&gt;"",F1238&lt;&gt;""), F1238-E1238, IF(G1238&lt;&gt;"", G1238, 0))</f>
        <v/>
      </c>
      <c r="I1238" s="48">
        <f>H1238*Settings!$B$5</f>
        <v/>
      </c>
      <c r="K1238">
        <f>IF(AND(A1238&lt;&gt;"",C1238&lt;&gt;"",D1238&lt;&gt;"",H1238&gt;0),"✓","⚠ missing")</f>
        <v/>
      </c>
      <c r="L1238" s="44" t="n"/>
      <c r="M1238" s="45" t="n"/>
      <c r="N1238" s="39" t="n"/>
      <c r="O1238" s="46" t="n"/>
    </row>
    <row r="1239">
      <c r="H1239" s="47">
        <f>IF(AND(E1239&lt;&gt;"",F1239&lt;&gt;""), F1239-E1239, IF(G1239&lt;&gt;"", G1239, 0))</f>
        <v/>
      </c>
      <c r="I1239" s="48">
        <f>H1239*Settings!$B$5</f>
        <v/>
      </c>
      <c r="K1239">
        <f>IF(AND(A1239&lt;&gt;"",C1239&lt;&gt;"",D1239&lt;&gt;"",H1239&gt;0),"✓","⚠ missing")</f>
        <v/>
      </c>
      <c r="L1239" s="44" t="n"/>
      <c r="M1239" s="45" t="n"/>
      <c r="N1239" s="39" t="n"/>
      <c r="O1239" s="46" t="n"/>
    </row>
    <row r="1240">
      <c r="H1240" s="47">
        <f>IF(AND(E1240&lt;&gt;"",F1240&lt;&gt;""), F1240-E1240, IF(G1240&lt;&gt;"", G1240, 0))</f>
        <v/>
      </c>
      <c r="I1240" s="48">
        <f>H1240*Settings!$B$5</f>
        <v/>
      </c>
      <c r="K1240">
        <f>IF(AND(A1240&lt;&gt;"",C1240&lt;&gt;"",D1240&lt;&gt;"",H1240&gt;0),"✓","⚠ missing")</f>
        <v/>
      </c>
      <c r="L1240" s="44" t="n"/>
      <c r="M1240" s="45" t="n"/>
      <c r="N1240" s="39" t="n"/>
      <c r="O1240" s="46" t="n"/>
    </row>
    <row r="1241">
      <c r="H1241" s="47">
        <f>IF(AND(E1241&lt;&gt;"",F1241&lt;&gt;""), F1241-E1241, IF(G1241&lt;&gt;"", G1241, 0))</f>
        <v/>
      </c>
      <c r="I1241" s="48">
        <f>H1241*Settings!$B$5</f>
        <v/>
      </c>
      <c r="K1241">
        <f>IF(AND(A1241&lt;&gt;"",C1241&lt;&gt;"",D1241&lt;&gt;"",H1241&gt;0),"✓","⚠ missing")</f>
        <v/>
      </c>
      <c r="L1241" s="44" t="n"/>
      <c r="M1241" s="45" t="n"/>
      <c r="N1241" s="39" t="n"/>
      <c r="O1241" s="46" t="n"/>
    </row>
    <row r="1242">
      <c r="H1242" s="47">
        <f>IF(AND(E1242&lt;&gt;"",F1242&lt;&gt;""), F1242-E1242, IF(G1242&lt;&gt;"", G1242, 0))</f>
        <v/>
      </c>
      <c r="I1242" s="48">
        <f>H1242*Settings!$B$5</f>
        <v/>
      </c>
      <c r="K1242">
        <f>IF(AND(A1242&lt;&gt;"",C1242&lt;&gt;"",D1242&lt;&gt;"",H1242&gt;0),"✓","⚠ missing")</f>
        <v/>
      </c>
      <c r="L1242" s="44" t="n"/>
      <c r="M1242" s="45" t="n"/>
      <c r="N1242" s="39" t="n"/>
      <c r="O1242" s="46" t="n"/>
    </row>
    <row r="1243">
      <c r="H1243" s="47">
        <f>IF(AND(E1243&lt;&gt;"",F1243&lt;&gt;""), F1243-E1243, IF(G1243&lt;&gt;"", G1243, 0))</f>
        <v/>
      </c>
      <c r="I1243" s="48">
        <f>H1243*Settings!$B$5</f>
        <v/>
      </c>
      <c r="K1243">
        <f>IF(AND(A1243&lt;&gt;"",C1243&lt;&gt;"",D1243&lt;&gt;"",H1243&gt;0),"✓","⚠ missing")</f>
        <v/>
      </c>
      <c r="L1243" s="44" t="n"/>
      <c r="M1243" s="45" t="n"/>
      <c r="N1243" s="39" t="n"/>
      <c r="O1243" s="46" t="n"/>
    </row>
    <row r="1244">
      <c r="H1244" s="47">
        <f>IF(AND(E1244&lt;&gt;"",F1244&lt;&gt;""), F1244-E1244, IF(G1244&lt;&gt;"", G1244, 0))</f>
        <v/>
      </c>
      <c r="I1244" s="48">
        <f>H1244*Settings!$B$5</f>
        <v/>
      </c>
      <c r="K1244">
        <f>IF(AND(A1244&lt;&gt;"",C1244&lt;&gt;"",D1244&lt;&gt;"",H1244&gt;0),"✓","⚠ missing")</f>
        <v/>
      </c>
      <c r="L1244" s="44" t="n"/>
      <c r="M1244" s="45" t="n"/>
      <c r="N1244" s="39" t="n"/>
      <c r="O1244" s="46" t="n"/>
    </row>
    <row r="1245">
      <c r="H1245" s="47">
        <f>IF(AND(E1245&lt;&gt;"",F1245&lt;&gt;""), F1245-E1245, IF(G1245&lt;&gt;"", G1245, 0))</f>
        <v/>
      </c>
      <c r="I1245" s="48">
        <f>H1245*Settings!$B$5</f>
        <v/>
      </c>
      <c r="K1245">
        <f>IF(AND(A1245&lt;&gt;"",C1245&lt;&gt;"",D1245&lt;&gt;"",H1245&gt;0),"✓","⚠ missing")</f>
        <v/>
      </c>
      <c r="L1245" s="44" t="n"/>
      <c r="M1245" s="45" t="n"/>
      <c r="N1245" s="39" t="n"/>
      <c r="O1245" s="46" t="n"/>
    </row>
    <row r="1246">
      <c r="H1246" s="47">
        <f>IF(AND(E1246&lt;&gt;"",F1246&lt;&gt;""), F1246-E1246, IF(G1246&lt;&gt;"", G1246, 0))</f>
        <v/>
      </c>
      <c r="I1246" s="48">
        <f>H1246*Settings!$B$5</f>
        <v/>
      </c>
      <c r="K1246">
        <f>IF(AND(A1246&lt;&gt;"",C1246&lt;&gt;"",D1246&lt;&gt;"",H1246&gt;0),"✓","⚠ missing")</f>
        <v/>
      </c>
      <c r="L1246" s="44" t="n"/>
      <c r="M1246" s="45" t="n"/>
      <c r="N1246" s="39" t="n"/>
      <c r="O1246" s="46" t="n"/>
    </row>
    <row r="1247">
      <c r="H1247" s="47">
        <f>IF(AND(E1247&lt;&gt;"",F1247&lt;&gt;""), F1247-E1247, IF(G1247&lt;&gt;"", G1247, 0))</f>
        <v/>
      </c>
      <c r="I1247" s="48">
        <f>H1247*Settings!$B$5</f>
        <v/>
      </c>
      <c r="K1247">
        <f>IF(AND(A1247&lt;&gt;"",C1247&lt;&gt;"",D1247&lt;&gt;"",H1247&gt;0),"✓","⚠ missing")</f>
        <v/>
      </c>
      <c r="L1247" s="44" t="n"/>
      <c r="M1247" s="45" t="n"/>
      <c r="N1247" s="39" t="n"/>
      <c r="O1247" s="46" t="n"/>
    </row>
    <row r="1248">
      <c r="H1248" s="47">
        <f>IF(AND(E1248&lt;&gt;"",F1248&lt;&gt;""), F1248-E1248, IF(G1248&lt;&gt;"", G1248, 0))</f>
        <v/>
      </c>
      <c r="I1248" s="48">
        <f>H1248*Settings!$B$5</f>
        <v/>
      </c>
      <c r="K1248">
        <f>IF(AND(A1248&lt;&gt;"",C1248&lt;&gt;"",D1248&lt;&gt;"",H1248&gt;0),"✓","⚠ missing")</f>
        <v/>
      </c>
      <c r="L1248" s="44" t="n"/>
      <c r="M1248" s="45" t="n"/>
      <c r="N1248" s="39" t="n"/>
      <c r="O1248" s="46" t="n"/>
    </row>
    <row r="1249">
      <c r="H1249" s="47">
        <f>IF(AND(E1249&lt;&gt;"",F1249&lt;&gt;""), F1249-E1249, IF(G1249&lt;&gt;"", G1249, 0))</f>
        <v/>
      </c>
      <c r="I1249" s="48">
        <f>H1249*Settings!$B$5</f>
        <v/>
      </c>
      <c r="K1249">
        <f>IF(AND(A1249&lt;&gt;"",C1249&lt;&gt;"",D1249&lt;&gt;"",H1249&gt;0),"✓","⚠ missing")</f>
        <v/>
      </c>
      <c r="L1249" s="44" t="n"/>
      <c r="M1249" s="45" t="n"/>
      <c r="N1249" s="39" t="n"/>
      <c r="O1249" s="46" t="n"/>
    </row>
    <row r="1250">
      <c r="H1250" s="47">
        <f>IF(AND(E1250&lt;&gt;"",F1250&lt;&gt;""), F1250-E1250, IF(G1250&lt;&gt;"", G1250, 0))</f>
        <v/>
      </c>
      <c r="I1250" s="48">
        <f>H1250*Settings!$B$5</f>
        <v/>
      </c>
      <c r="K1250">
        <f>IF(AND(A1250&lt;&gt;"",C1250&lt;&gt;"",D1250&lt;&gt;"",H1250&gt;0),"✓","⚠ missing")</f>
        <v/>
      </c>
      <c r="L1250" s="44" t="n"/>
      <c r="M1250" s="45" t="n"/>
      <c r="N1250" s="39" t="n"/>
      <c r="O1250" s="46" t="n"/>
    </row>
    <row r="1251">
      <c r="H1251" s="47">
        <f>IF(AND(E1251&lt;&gt;"",F1251&lt;&gt;""), F1251-E1251, IF(G1251&lt;&gt;"", G1251, 0))</f>
        <v/>
      </c>
      <c r="I1251" s="48">
        <f>H1251*Settings!$B$5</f>
        <v/>
      </c>
      <c r="K1251">
        <f>IF(AND(A1251&lt;&gt;"",C1251&lt;&gt;"",D1251&lt;&gt;"",H1251&gt;0),"✓","⚠ missing")</f>
        <v/>
      </c>
      <c r="L1251" s="44" t="n"/>
      <c r="M1251" s="45" t="n"/>
      <c r="N1251" s="39" t="n"/>
      <c r="O1251" s="46" t="n"/>
    </row>
    <row r="1252">
      <c r="H1252" s="47">
        <f>IF(AND(E1252&lt;&gt;"",F1252&lt;&gt;""), F1252-E1252, IF(G1252&lt;&gt;"", G1252, 0))</f>
        <v/>
      </c>
      <c r="I1252" s="48">
        <f>H1252*Settings!$B$5</f>
        <v/>
      </c>
      <c r="K1252">
        <f>IF(AND(A1252&lt;&gt;"",C1252&lt;&gt;"",D1252&lt;&gt;"",H1252&gt;0),"✓","⚠ missing")</f>
        <v/>
      </c>
      <c r="L1252" s="44" t="n"/>
      <c r="M1252" s="45" t="n"/>
      <c r="N1252" s="39" t="n"/>
      <c r="O1252" s="46" t="n"/>
    </row>
    <row r="1253">
      <c r="H1253" s="47">
        <f>IF(AND(E1253&lt;&gt;"",F1253&lt;&gt;""), F1253-E1253, IF(G1253&lt;&gt;"", G1253, 0))</f>
        <v/>
      </c>
      <c r="I1253" s="48">
        <f>H1253*Settings!$B$5</f>
        <v/>
      </c>
      <c r="K1253">
        <f>IF(AND(A1253&lt;&gt;"",C1253&lt;&gt;"",D1253&lt;&gt;"",H1253&gt;0),"✓","⚠ missing")</f>
        <v/>
      </c>
      <c r="L1253" s="44" t="n"/>
      <c r="M1253" s="45" t="n"/>
      <c r="N1253" s="39" t="n"/>
      <c r="O1253" s="46" t="n"/>
    </row>
    <row r="1254">
      <c r="H1254" s="47">
        <f>IF(AND(E1254&lt;&gt;"",F1254&lt;&gt;""), F1254-E1254, IF(G1254&lt;&gt;"", G1254, 0))</f>
        <v/>
      </c>
      <c r="I1254" s="48">
        <f>H1254*Settings!$B$5</f>
        <v/>
      </c>
      <c r="K1254">
        <f>IF(AND(A1254&lt;&gt;"",C1254&lt;&gt;"",D1254&lt;&gt;"",H1254&gt;0),"✓","⚠ missing")</f>
        <v/>
      </c>
      <c r="L1254" s="44" t="n"/>
      <c r="M1254" s="45" t="n"/>
      <c r="N1254" s="39" t="n"/>
      <c r="O1254" s="46" t="n"/>
    </row>
    <row r="1255">
      <c r="H1255" s="47">
        <f>IF(AND(E1255&lt;&gt;"",F1255&lt;&gt;""), F1255-E1255, IF(G1255&lt;&gt;"", G1255, 0))</f>
        <v/>
      </c>
      <c r="I1255" s="48">
        <f>H1255*Settings!$B$5</f>
        <v/>
      </c>
      <c r="K1255">
        <f>IF(AND(A1255&lt;&gt;"",C1255&lt;&gt;"",D1255&lt;&gt;"",H1255&gt;0),"✓","⚠ missing")</f>
        <v/>
      </c>
      <c r="L1255" s="44" t="n"/>
      <c r="M1255" s="45" t="n"/>
      <c r="N1255" s="39" t="n"/>
      <c r="O1255" s="46" t="n"/>
    </row>
    <row r="1256">
      <c r="H1256" s="47">
        <f>IF(AND(E1256&lt;&gt;"",F1256&lt;&gt;""), F1256-E1256, IF(G1256&lt;&gt;"", G1256, 0))</f>
        <v/>
      </c>
      <c r="I1256" s="48">
        <f>H1256*Settings!$B$5</f>
        <v/>
      </c>
      <c r="K1256">
        <f>IF(AND(A1256&lt;&gt;"",C1256&lt;&gt;"",D1256&lt;&gt;"",H1256&gt;0),"✓","⚠ missing")</f>
        <v/>
      </c>
      <c r="L1256" s="44" t="n"/>
      <c r="M1256" s="45" t="n"/>
      <c r="N1256" s="39" t="n"/>
      <c r="O1256" s="46" t="n"/>
    </row>
    <row r="1257">
      <c r="H1257" s="47">
        <f>IF(AND(E1257&lt;&gt;"",F1257&lt;&gt;""), F1257-E1257, IF(G1257&lt;&gt;"", G1257, 0))</f>
        <v/>
      </c>
      <c r="I1257" s="48">
        <f>H1257*Settings!$B$5</f>
        <v/>
      </c>
      <c r="K1257">
        <f>IF(AND(A1257&lt;&gt;"",C1257&lt;&gt;"",D1257&lt;&gt;"",H1257&gt;0),"✓","⚠ missing")</f>
        <v/>
      </c>
      <c r="L1257" s="44" t="n"/>
      <c r="M1257" s="45" t="n"/>
      <c r="N1257" s="39" t="n"/>
      <c r="O1257" s="46" t="n"/>
    </row>
    <row r="1258">
      <c r="H1258" s="47">
        <f>IF(AND(E1258&lt;&gt;"",F1258&lt;&gt;""), F1258-E1258, IF(G1258&lt;&gt;"", G1258, 0))</f>
        <v/>
      </c>
      <c r="I1258" s="48">
        <f>H1258*Settings!$B$5</f>
        <v/>
      </c>
      <c r="K1258">
        <f>IF(AND(A1258&lt;&gt;"",C1258&lt;&gt;"",D1258&lt;&gt;"",H1258&gt;0),"✓","⚠ missing")</f>
        <v/>
      </c>
      <c r="L1258" s="44" t="n"/>
      <c r="M1258" s="45" t="n"/>
      <c r="N1258" s="39" t="n"/>
      <c r="O1258" s="46" t="n"/>
    </row>
    <row r="1259">
      <c r="H1259" s="47">
        <f>IF(AND(E1259&lt;&gt;"",F1259&lt;&gt;""), F1259-E1259, IF(G1259&lt;&gt;"", G1259, 0))</f>
        <v/>
      </c>
      <c r="I1259" s="48">
        <f>H1259*Settings!$B$5</f>
        <v/>
      </c>
      <c r="K1259">
        <f>IF(AND(A1259&lt;&gt;"",C1259&lt;&gt;"",D1259&lt;&gt;"",H1259&gt;0),"✓","⚠ missing")</f>
        <v/>
      </c>
      <c r="L1259" s="44" t="n"/>
      <c r="M1259" s="45" t="n"/>
      <c r="N1259" s="39" t="n"/>
      <c r="O1259" s="46" t="n"/>
    </row>
    <row r="1260">
      <c r="H1260" s="47">
        <f>IF(AND(E1260&lt;&gt;"",F1260&lt;&gt;""), F1260-E1260, IF(G1260&lt;&gt;"", G1260, 0))</f>
        <v/>
      </c>
      <c r="I1260" s="48">
        <f>H1260*Settings!$B$5</f>
        <v/>
      </c>
      <c r="K1260">
        <f>IF(AND(A1260&lt;&gt;"",C1260&lt;&gt;"",D1260&lt;&gt;"",H1260&gt;0),"✓","⚠ missing")</f>
        <v/>
      </c>
      <c r="L1260" s="44" t="n"/>
      <c r="M1260" s="45" t="n"/>
      <c r="N1260" s="39" t="n"/>
      <c r="O1260" s="46" t="n"/>
    </row>
    <row r="1261">
      <c r="H1261" s="47">
        <f>IF(AND(E1261&lt;&gt;"",F1261&lt;&gt;""), F1261-E1261, IF(G1261&lt;&gt;"", G1261, 0))</f>
        <v/>
      </c>
      <c r="I1261" s="48">
        <f>H1261*Settings!$B$5</f>
        <v/>
      </c>
      <c r="K1261">
        <f>IF(AND(A1261&lt;&gt;"",C1261&lt;&gt;"",D1261&lt;&gt;"",H1261&gt;0),"✓","⚠ missing")</f>
        <v/>
      </c>
      <c r="L1261" s="44" t="n"/>
      <c r="M1261" s="45" t="n"/>
      <c r="N1261" s="39" t="n"/>
      <c r="O1261" s="46" t="n"/>
    </row>
    <row r="1262">
      <c r="H1262" s="47">
        <f>IF(AND(E1262&lt;&gt;"",F1262&lt;&gt;""), F1262-E1262, IF(G1262&lt;&gt;"", G1262, 0))</f>
        <v/>
      </c>
      <c r="I1262" s="48">
        <f>H1262*Settings!$B$5</f>
        <v/>
      </c>
      <c r="K1262">
        <f>IF(AND(A1262&lt;&gt;"",C1262&lt;&gt;"",D1262&lt;&gt;"",H1262&gt;0),"✓","⚠ missing")</f>
        <v/>
      </c>
      <c r="L1262" s="44" t="n"/>
      <c r="M1262" s="45" t="n"/>
      <c r="N1262" s="39" t="n"/>
      <c r="O1262" s="46" t="n"/>
    </row>
    <row r="1263">
      <c r="H1263" s="47">
        <f>IF(AND(E1263&lt;&gt;"",F1263&lt;&gt;""), F1263-E1263, IF(G1263&lt;&gt;"", G1263, 0))</f>
        <v/>
      </c>
      <c r="I1263" s="48">
        <f>H1263*Settings!$B$5</f>
        <v/>
      </c>
      <c r="K1263">
        <f>IF(AND(A1263&lt;&gt;"",C1263&lt;&gt;"",D1263&lt;&gt;"",H1263&gt;0),"✓","⚠ missing")</f>
        <v/>
      </c>
      <c r="L1263" s="44" t="n"/>
      <c r="M1263" s="45" t="n"/>
      <c r="N1263" s="39" t="n"/>
      <c r="O1263" s="46" t="n"/>
    </row>
    <row r="1264">
      <c r="H1264" s="47">
        <f>IF(AND(E1264&lt;&gt;"",F1264&lt;&gt;""), F1264-E1264, IF(G1264&lt;&gt;"", G1264, 0))</f>
        <v/>
      </c>
      <c r="I1264" s="48">
        <f>H1264*Settings!$B$5</f>
        <v/>
      </c>
      <c r="K1264">
        <f>IF(AND(A1264&lt;&gt;"",C1264&lt;&gt;"",D1264&lt;&gt;"",H1264&gt;0),"✓","⚠ missing")</f>
        <v/>
      </c>
      <c r="L1264" s="44" t="n"/>
      <c r="M1264" s="45" t="n"/>
      <c r="N1264" s="39" t="n"/>
      <c r="O1264" s="46" t="n"/>
    </row>
    <row r="1265">
      <c r="H1265" s="47">
        <f>IF(AND(E1265&lt;&gt;"",F1265&lt;&gt;""), F1265-E1265, IF(G1265&lt;&gt;"", G1265, 0))</f>
        <v/>
      </c>
      <c r="I1265" s="48">
        <f>H1265*Settings!$B$5</f>
        <v/>
      </c>
      <c r="K1265">
        <f>IF(AND(A1265&lt;&gt;"",C1265&lt;&gt;"",D1265&lt;&gt;"",H1265&gt;0),"✓","⚠ missing")</f>
        <v/>
      </c>
      <c r="L1265" s="44" t="n"/>
      <c r="M1265" s="45" t="n"/>
      <c r="N1265" s="39" t="n"/>
      <c r="O1265" s="46" t="n"/>
    </row>
    <row r="1266">
      <c r="H1266" s="47">
        <f>IF(AND(E1266&lt;&gt;"",F1266&lt;&gt;""), F1266-E1266, IF(G1266&lt;&gt;"", G1266, 0))</f>
        <v/>
      </c>
      <c r="I1266" s="48">
        <f>H1266*Settings!$B$5</f>
        <v/>
      </c>
      <c r="K1266">
        <f>IF(AND(A1266&lt;&gt;"",C1266&lt;&gt;"",D1266&lt;&gt;"",H1266&gt;0),"✓","⚠ missing")</f>
        <v/>
      </c>
      <c r="L1266" s="44" t="n"/>
      <c r="M1266" s="45" t="n"/>
      <c r="N1266" s="39" t="n"/>
      <c r="O1266" s="46" t="n"/>
    </row>
    <row r="1267">
      <c r="H1267" s="47">
        <f>IF(AND(E1267&lt;&gt;"",F1267&lt;&gt;""), F1267-E1267, IF(G1267&lt;&gt;"", G1267, 0))</f>
        <v/>
      </c>
      <c r="I1267" s="48">
        <f>H1267*Settings!$B$5</f>
        <v/>
      </c>
      <c r="K1267">
        <f>IF(AND(A1267&lt;&gt;"",C1267&lt;&gt;"",D1267&lt;&gt;"",H1267&gt;0),"✓","⚠ missing")</f>
        <v/>
      </c>
      <c r="L1267" s="44" t="n"/>
      <c r="M1267" s="45" t="n"/>
      <c r="N1267" s="39" t="n"/>
      <c r="O1267" s="46" t="n"/>
    </row>
    <row r="1268">
      <c r="H1268" s="47">
        <f>IF(AND(E1268&lt;&gt;"",F1268&lt;&gt;""), F1268-E1268, IF(G1268&lt;&gt;"", G1268, 0))</f>
        <v/>
      </c>
      <c r="I1268" s="48">
        <f>H1268*Settings!$B$5</f>
        <v/>
      </c>
      <c r="K1268">
        <f>IF(AND(A1268&lt;&gt;"",C1268&lt;&gt;"",D1268&lt;&gt;"",H1268&gt;0),"✓","⚠ missing")</f>
        <v/>
      </c>
      <c r="L1268" s="44" t="n"/>
      <c r="M1268" s="45" t="n"/>
      <c r="N1268" s="39" t="n"/>
      <c r="O1268" s="46" t="n"/>
    </row>
    <row r="1269">
      <c r="H1269" s="47">
        <f>IF(AND(E1269&lt;&gt;"",F1269&lt;&gt;""), F1269-E1269, IF(G1269&lt;&gt;"", G1269, 0))</f>
        <v/>
      </c>
      <c r="I1269" s="48">
        <f>H1269*Settings!$B$5</f>
        <v/>
      </c>
      <c r="K1269">
        <f>IF(AND(A1269&lt;&gt;"",C1269&lt;&gt;"",D1269&lt;&gt;"",H1269&gt;0),"✓","⚠ missing")</f>
        <v/>
      </c>
      <c r="L1269" s="44" t="n"/>
      <c r="M1269" s="45" t="n"/>
      <c r="N1269" s="39" t="n"/>
      <c r="O1269" s="46" t="n"/>
    </row>
    <row r="1270">
      <c r="H1270" s="47">
        <f>IF(AND(E1270&lt;&gt;"",F1270&lt;&gt;""), F1270-E1270, IF(G1270&lt;&gt;"", G1270, 0))</f>
        <v/>
      </c>
      <c r="I1270" s="48">
        <f>H1270*Settings!$B$5</f>
        <v/>
      </c>
      <c r="K1270">
        <f>IF(AND(A1270&lt;&gt;"",C1270&lt;&gt;"",D1270&lt;&gt;"",H1270&gt;0),"✓","⚠ missing")</f>
        <v/>
      </c>
      <c r="L1270" s="44" t="n"/>
      <c r="M1270" s="45" t="n"/>
      <c r="N1270" s="39" t="n"/>
      <c r="O1270" s="46" t="n"/>
    </row>
    <row r="1271">
      <c r="H1271" s="47">
        <f>IF(AND(E1271&lt;&gt;"",F1271&lt;&gt;""), F1271-E1271, IF(G1271&lt;&gt;"", G1271, 0))</f>
        <v/>
      </c>
      <c r="I1271" s="48">
        <f>H1271*Settings!$B$5</f>
        <v/>
      </c>
      <c r="K1271">
        <f>IF(AND(A1271&lt;&gt;"",C1271&lt;&gt;"",D1271&lt;&gt;"",H1271&gt;0),"✓","⚠ missing")</f>
        <v/>
      </c>
      <c r="L1271" s="44" t="n"/>
      <c r="M1271" s="45" t="n"/>
      <c r="N1271" s="39" t="n"/>
      <c r="O1271" s="46" t="n"/>
    </row>
    <row r="1272">
      <c r="H1272" s="47">
        <f>IF(AND(E1272&lt;&gt;"",F1272&lt;&gt;""), F1272-E1272, IF(G1272&lt;&gt;"", G1272, 0))</f>
        <v/>
      </c>
      <c r="I1272" s="48">
        <f>H1272*Settings!$B$5</f>
        <v/>
      </c>
      <c r="K1272">
        <f>IF(AND(A1272&lt;&gt;"",C1272&lt;&gt;"",D1272&lt;&gt;"",H1272&gt;0),"✓","⚠ missing")</f>
        <v/>
      </c>
      <c r="L1272" s="44" t="n"/>
      <c r="M1272" s="45" t="n"/>
      <c r="N1272" s="39" t="n"/>
      <c r="O1272" s="46" t="n"/>
    </row>
    <row r="1273">
      <c r="H1273" s="47">
        <f>IF(AND(E1273&lt;&gt;"",F1273&lt;&gt;""), F1273-E1273, IF(G1273&lt;&gt;"", G1273, 0))</f>
        <v/>
      </c>
      <c r="I1273" s="48">
        <f>H1273*Settings!$B$5</f>
        <v/>
      </c>
      <c r="K1273">
        <f>IF(AND(A1273&lt;&gt;"",C1273&lt;&gt;"",D1273&lt;&gt;"",H1273&gt;0),"✓","⚠ missing")</f>
        <v/>
      </c>
      <c r="L1273" s="44" t="n"/>
      <c r="M1273" s="45" t="n"/>
      <c r="N1273" s="39" t="n"/>
      <c r="O1273" s="46" t="n"/>
    </row>
    <row r="1274">
      <c r="H1274" s="47">
        <f>IF(AND(E1274&lt;&gt;"",F1274&lt;&gt;""), F1274-E1274, IF(G1274&lt;&gt;"", G1274, 0))</f>
        <v/>
      </c>
      <c r="I1274" s="48">
        <f>H1274*Settings!$B$5</f>
        <v/>
      </c>
      <c r="K1274">
        <f>IF(AND(A1274&lt;&gt;"",C1274&lt;&gt;"",D1274&lt;&gt;"",H1274&gt;0),"✓","⚠ missing")</f>
        <v/>
      </c>
      <c r="L1274" s="44" t="n"/>
      <c r="M1274" s="45" t="n"/>
      <c r="N1274" s="39" t="n"/>
      <c r="O1274" s="46" t="n"/>
    </row>
    <row r="1275">
      <c r="H1275" s="47">
        <f>IF(AND(E1275&lt;&gt;"",F1275&lt;&gt;""), F1275-E1275, IF(G1275&lt;&gt;"", G1275, 0))</f>
        <v/>
      </c>
      <c r="I1275" s="48">
        <f>H1275*Settings!$B$5</f>
        <v/>
      </c>
      <c r="K1275">
        <f>IF(AND(A1275&lt;&gt;"",C1275&lt;&gt;"",D1275&lt;&gt;"",H1275&gt;0),"✓","⚠ missing")</f>
        <v/>
      </c>
      <c r="L1275" s="44" t="n"/>
      <c r="M1275" s="45" t="n"/>
      <c r="N1275" s="39" t="n"/>
      <c r="O1275" s="46" t="n"/>
    </row>
    <row r="1276">
      <c r="H1276" s="47">
        <f>IF(AND(E1276&lt;&gt;"",F1276&lt;&gt;""), F1276-E1276, IF(G1276&lt;&gt;"", G1276, 0))</f>
        <v/>
      </c>
      <c r="I1276" s="48">
        <f>H1276*Settings!$B$5</f>
        <v/>
      </c>
      <c r="K1276">
        <f>IF(AND(A1276&lt;&gt;"",C1276&lt;&gt;"",D1276&lt;&gt;"",H1276&gt;0),"✓","⚠ missing")</f>
        <v/>
      </c>
      <c r="L1276" s="44" t="n"/>
      <c r="M1276" s="45" t="n"/>
      <c r="N1276" s="39" t="n"/>
      <c r="O1276" s="46" t="n"/>
    </row>
    <row r="1277">
      <c r="H1277" s="47">
        <f>IF(AND(E1277&lt;&gt;"",F1277&lt;&gt;""), F1277-E1277, IF(G1277&lt;&gt;"", G1277, 0))</f>
        <v/>
      </c>
      <c r="I1277" s="48">
        <f>H1277*Settings!$B$5</f>
        <v/>
      </c>
      <c r="K1277">
        <f>IF(AND(A1277&lt;&gt;"",C1277&lt;&gt;"",D1277&lt;&gt;"",H1277&gt;0),"✓","⚠ missing")</f>
        <v/>
      </c>
      <c r="L1277" s="44" t="n"/>
      <c r="M1277" s="45" t="n"/>
      <c r="N1277" s="39" t="n"/>
      <c r="O1277" s="46" t="n"/>
    </row>
    <row r="1278">
      <c r="H1278" s="47">
        <f>IF(AND(E1278&lt;&gt;"",F1278&lt;&gt;""), F1278-E1278, IF(G1278&lt;&gt;"", G1278, 0))</f>
        <v/>
      </c>
      <c r="I1278" s="48">
        <f>H1278*Settings!$B$5</f>
        <v/>
      </c>
      <c r="K1278">
        <f>IF(AND(A1278&lt;&gt;"",C1278&lt;&gt;"",D1278&lt;&gt;"",H1278&gt;0),"✓","⚠ missing")</f>
        <v/>
      </c>
      <c r="L1278" s="44" t="n"/>
      <c r="M1278" s="45" t="n"/>
      <c r="N1278" s="39" t="n"/>
      <c r="O1278" s="46" t="n"/>
    </row>
    <row r="1279">
      <c r="H1279" s="47">
        <f>IF(AND(E1279&lt;&gt;"",F1279&lt;&gt;""), F1279-E1279, IF(G1279&lt;&gt;"", G1279, 0))</f>
        <v/>
      </c>
      <c r="I1279" s="48">
        <f>H1279*Settings!$B$5</f>
        <v/>
      </c>
      <c r="K1279">
        <f>IF(AND(A1279&lt;&gt;"",C1279&lt;&gt;"",D1279&lt;&gt;"",H1279&gt;0),"✓","⚠ missing")</f>
        <v/>
      </c>
      <c r="L1279" s="44" t="n"/>
      <c r="M1279" s="45" t="n"/>
      <c r="N1279" s="39" t="n"/>
      <c r="O1279" s="46" t="n"/>
    </row>
    <row r="1280">
      <c r="H1280" s="47">
        <f>IF(AND(E1280&lt;&gt;"",F1280&lt;&gt;""), F1280-E1280, IF(G1280&lt;&gt;"", G1280, 0))</f>
        <v/>
      </c>
      <c r="I1280" s="48">
        <f>H1280*Settings!$B$5</f>
        <v/>
      </c>
      <c r="K1280">
        <f>IF(AND(A1280&lt;&gt;"",C1280&lt;&gt;"",D1280&lt;&gt;"",H1280&gt;0),"✓","⚠ missing")</f>
        <v/>
      </c>
      <c r="L1280" s="44" t="n"/>
      <c r="M1280" s="45" t="n"/>
      <c r="N1280" s="39" t="n"/>
      <c r="O1280" s="46" t="n"/>
    </row>
    <row r="1281">
      <c r="H1281" s="47">
        <f>IF(AND(E1281&lt;&gt;"",F1281&lt;&gt;""), F1281-E1281, IF(G1281&lt;&gt;"", G1281, 0))</f>
        <v/>
      </c>
      <c r="I1281" s="48">
        <f>H1281*Settings!$B$5</f>
        <v/>
      </c>
      <c r="K1281">
        <f>IF(AND(A1281&lt;&gt;"",C1281&lt;&gt;"",D1281&lt;&gt;"",H1281&gt;0),"✓","⚠ missing")</f>
        <v/>
      </c>
      <c r="L1281" s="44" t="n"/>
      <c r="M1281" s="45" t="n"/>
      <c r="N1281" s="39" t="n"/>
      <c r="O1281" s="46" t="n"/>
    </row>
    <row r="1282">
      <c r="H1282" s="47">
        <f>IF(AND(E1282&lt;&gt;"",F1282&lt;&gt;""), F1282-E1282, IF(G1282&lt;&gt;"", G1282, 0))</f>
        <v/>
      </c>
      <c r="I1282" s="48">
        <f>H1282*Settings!$B$5</f>
        <v/>
      </c>
      <c r="K1282">
        <f>IF(AND(A1282&lt;&gt;"",C1282&lt;&gt;"",D1282&lt;&gt;"",H1282&gt;0),"✓","⚠ missing")</f>
        <v/>
      </c>
      <c r="L1282" s="44" t="n"/>
      <c r="M1282" s="45" t="n"/>
      <c r="N1282" s="39" t="n"/>
      <c r="O1282" s="46" t="n"/>
    </row>
    <row r="1283">
      <c r="H1283" s="47">
        <f>IF(AND(E1283&lt;&gt;"",F1283&lt;&gt;""), F1283-E1283, IF(G1283&lt;&gt;"", G1283, 0))</f>
        <v/>
      </c>
      <c r="I1283" s="48">
        <f>H1283*Settings!$B$5</f>
        <v/>
      </c>
      <c r="K1283">
        <f>IF(AND(A1283&lt;&gt;"",C1283&lt;&gt;"",D1283&lt;&gt;"",H1283&gt;0),"✓","⚠ missing")</f>
        <v/>
      </c>
      <c r="L1283" s="44" t="n"/>
      <c r="M1283" s="45" t="n"/>
      <c r="N1283" s="39" t="n"/>
      <c r="O1283" s="46" t="n"/>
    </row>
    <row r="1284">
      <c r="H1284" s="47">
        <f>IF(AND(E1284&lt;&gt;"",F1284&lt;&gt;""), F1284-E1284, IF(G1284&lt;&gt;"", G1284, 0))</f>
        <v/>
      </c>
      <c r="I1284" s="48">
        <f>H1284*Settings!$B$5</f>
        <v/>
      </c>
      <c r="K1284">
        <f>IF(AND(A1284&lt;&gt;"",C1284&lt;&gt;"",D1284&lt;&gt;"",H1284&gt;0),"✓","⚠ missing")</f>
        <v/>
      </c>
      <c r="L1284" s="44" t="n"/>
      <c r="M1284" s="45" t="n"/>
      <c r="N1284" s="39" t="n"/>
      <c r="O1284" s="46" t="n"/>
    </row>
    <row r="1285">
      <c r="H1285" s="47">
        <f>IF(AND(E1285&lt;&gt;"",F1285&lt;&gt;""), F1285-E1285, IF(G1285&lt;&gt;"", G1285, 0))</f>
        <v/>
      </c>
      <c r="I1285" s="48">
        <f>H1285*Settings!$B$5</f>
        <v/>
      </c>
      <c r="K1285">
        <f>IF(AND(A1285&lt;&gt;"",C1285&lt;&gt;"",D1285&lt;&gt;"",H1285&gt;0),"✓","⚠ missing")</f>
        <v/>
      </c>
      <c r="L1285" s="44" t="n"/>
      <c r="M1285" s="45" t="n"/>
      <c r="N1285" s="39" t="n"/>
      <c r="O1285" s="46" t="n"/>
    </row>
    <row r="1286">
      <c r="H1286" s="47">
        <f>IF(AND(E1286&lt;&gt;"",F1286&lt;&gt;""), F1286-E1286, IF(G1286&lt;&gt;"", G1286, 0))</f>
        <v/>
      </c>
      <c r="I1286" s="48">
        <f>H1286*Settings!$B$5</f>
        <v/>
      </c>
      <c r="K1286">
        <f>IF(AND(A1286&lt;&gt;"",C1286&lt;&gt;"",D1286&lt;&gt;"",H1286&gt;0),"✓","⚠ missing")</f>
        <v/>
      </c>
      <c r="L1286" s="44" t="n"/>
      <c r="M1286" s="45" t="n"/>
      <c r="N1286" s="39" t="n"/>
      <c r="O1286" s="46" t="n"/>
    </row>
    <row r="1287">
      <c r="H1287" s="47">
        <f>IF(AND(E1287&lt;&gt;"",F1287&lt;&gt;""), F1287-E1287, IF(G1287&lt;&gt;"", G1287, 0))</f>
        <v/>
      </c>
      <c r="I1287" s="48">
        <f>H1287*Settings!$B$5</f>
        <v/>
      </c>
      <c r="K1287">
        <f>IF(AND(A1287&lt;&gt;"",C1287&lt;&gt;"",D1287&lt;&gt;"",H1287&gt;0),"✓","⚠ missing")</f>
        <v/>
      </c>
      <c r="L1287" s="44" t="n"/>
      <c r="M1287" s="45" t="n"/>
      <c r="N1287" s="39" t="n"/>
      <c r="O1287" s="46" t="n"/>
    </row>
    <row r="1288">
      <c r="H1288" s="47">
        <f>IF(AND(E1288&lt;&gt;"",F1288&lt;&gt;""), F1288-E1288, IF(G1288&lt;&gt;"", G1288, 0))</f>
        <v/>
      </c>
      <c r="I1288" s="48">
        <f>H1288*Settings!$B$5</f>
        <v/>
      </c>
      <c r="K1288">
        <f>IF(AND(A1288&lt;&gt;"",C1288&lt;&gt;"",D1288&lt;&gt;"",H1288&gt;0),"✓","⚠ missing")</f>
        <v/>
      </c>
      <c r="L1288" s="44" t="n"/>
      <c r="M1288" s="45" t="n"/>
      <c r="N1288" s="39" t="n"/>
      <c r="O1288" s="46" t="n"/>
    </row>
    <row r="1289">
      <c r="H1289" s="47">
        <f>IF(AND(E1289&lt;&gt;"",F1289&lt;&gt;""), F1289-E1289, IF(G1289&lt;&gt;"", G1289, 0))</f>
        <v/>
      </c>
      <c r="I1289" s="48">
        <f>H1289*Settings!$B$5</f>
        <v/>
      </c>
      <c r="K1289">
        <f>IF(AND(A1289&lt;&gt;"",C1289&lt;&gt;"",D1289&lt;&gt;"",H1289&gt;0),"✓","⚠ missing")</f>
        <v/>
      </c>
      <c r="L1289" s="44" t="n"/>
      <c r="M1289" s="45" t="n"/>
      <c r="N1289" s="39" t="n"/>
      <c r="O1289" s="46" t="n"/>
    </row>
    <row r="1290">
      <c r="H1290" s="47">
        <f>IF(AND(E1290&lt;&gt;"",F1290&lt;&gt;""), F1290-E1290, IF(G1290&lt;&gt;"", G1290, 0))</f>
        <v/>
      </c>
      <c r="I1290" s="48">
        <f>H1290*Settings!$B$5</f>
        <v/>
      </c>
      <c r="K1290">
        <f>IF(AND(A1290&lt;&gt;"",C1290&lt;&gt;"",D1290&lt;&gt;"",H1290&gt;0),"✓","⚠ missing")</f>
        <v/>
      </c>
      <c r="L1290" s="44" t="n"/>
      <c r="M1290" s="45" t="n"/>
      <c r="N1290" s="39" t="n"/>
      <c r="O1290" s="46" t="n"/>
    </row>
    <row r="1291">
      <c r="H1291" s="47">
        <f>IF(AND(E1291&lt;&gt;"",F1291&lt;&gt;""), F1291-E1291, IF(G1291&lt;&gt;"", G1291, 0))</f>
        <v/>
      </c>
      <c r="I1291" s="48">
        <f>H1291*Settings!$B$5</f>
        <v/>
      </c>
      <c r="K1291">
        <f>IF(AND(A1291&lt;&gt;"",C1291&lt;&gt;"",D1291&lt;&gt;"",H1291&gt;0),"✓","⚠ missing")</f>
        <v/>
      </c>
      <c r="L1291" s="44" t="n"/>
      <c r="M1291" s="45" t="n"/>
      <c r="N1291" s="39" t="n"/>
      <c r="O1291" s="46" t="n"/>
    </row>
    <row r="1292">
      <c r="H1292" s="47">
        <f>IF(AND(E1292&lt;&gt;"",F1292&lt;&gt;""), F1292-E1292, IF(G1292&lt;&gt;"", G1292, 0))</f>
        <v/>
      </c>
      <c r="I1292" s="48">
        <f>H1292*Settings!$B$5</f>
        <v/>
      </c>
      <c r="K1292">
        <f>IF(AND(A1292&lt;&gt;"",C1292&lt;&gt;"",D1292&lt;&gt;"",H1292&gt;0),"✓","⚠ missing")</f>
        <v/>
      </c>
      <c r="L1292" s="44" t="n"/>
      <c r="M1292" s="45" t="n"/>
      <c r="N1292" s="39" t="n"/>
      <c r="O1292" s="46" t="n"/>
    </row>
    <row r="1293">
      <c r="H1293" s="47">
        <f>IF(AND(E1293&lt;&gt;"",F1293&lt;&gt;""), F1293-E1293, IF(G1293&lt;&gt;"", G1293, 0))</f>
        <v/>
      </c>
      <c r="I1293" s="48">
        <f>H1293*Settings!$B$5</f>
        <v/>
      </c>
      <c r="K1293">
        <f>IF(AND(A1293&lt;&gt;"",C1293&lt;&gt;"",D1293&lt;&gt;"",H1293&gt;0),"✓","⚠ missing")</f>
        <v/>
      </c>
      <c r="L1293" s="44" t="n"/>
      <c r="M1293" s="45" t="n"/>
      <c r="N1293" s="39" t="n"/>
      <c r="O1293" s="46" t="n"/>
    </row>
    <row r="1294">
      <c r="H1294" s="47">
        <f>IF(AND(E1294&lt;&gt;"",F1294&lt;&gt;""), F1294-E1294, IF(G1294&lt;&gt;"", G1294, 0))</f>
        <v/>
      </c>
      <c r="I1294" s="48">
        <f>H1294*Settings!$B$5</f>
        <v/>
      </c>
      <c r="K1294">
        <f>IF(AND(A1294&lt;&gt;"",C1294&lt;&gt;"",D1294&lt;&gt;"",H1294&gt;0),"✓","⚠ missing")</f>
        <v/>
      </c>
      <c r="L1294" s="44" t="n"/>
      <c r="M1294" s="45" t="n"/>
      <c r="N1294" s="39" t="n"/>
      <c r="O1294" s="46" t="n"/>
    </row>
    <row r="1295">
      <c r="H1295" s="47">
        <f>IF(AND(E1295&lt;&gt;"",F1295&lt;&gt;""), F1295-E1295, IF(G1295&lt;&gt;"", G1295, 0))</f>
        <v/>
      </c>
      <c r="I1295" s="48">
        <f>H1295*Settings!$B$5</f>
        <v/>
      </c>
      <c r="K1295">
        <f>IF(AND(A1295&lt;&gt;"",C1295&lt;&gt;"",D1295&lt;&gt;"",H1295&gt;0),"✓","⚠ missing")</f>
        <v/>
      </c>
      <c r="L1295" s="44" t="n"/>
      <c r="M1295" s="45" t="n"/>
      <c r="N1295" s="39" t="n"/>
      <c r="O1295" s="46" t="n"/>
    </row>
    <row r="1296">
      <c r="H1296" s="47">
        <f>IF(AND(E1296&lt;&gt;"",F1296&lt;&gt;""), F1296-E1296, IF(G1296&lt;&gt;"", G1296, 0))</f>
        <v/>
      </c>
      <c r="I1296" s="48">
        <f>H1296*Settings!$B$5</f>
        <v/>
      </c>
      <c r="K1296">
        <f>IF(AND(A1296&lt;&gt;"",C1296&lt;&gt;"",D1296&lt;&gt;"",H1296&gt;0),"✓","⚠ missing")</f>
        <v/>
      </c>
      <c r="L1296" s="44" t="n"/>
      <c r="M1296" s="45" t="n"/>
      <c r="N1296" s="39" t="n"/>
      <c r="O1296" s="46" t="n"/>
    </row>
    <row r="1297">
      <c r="H1297" s="47">
        <f>IF(AND(E1297&lt;&gt;"",F1297&lt;&gt;""), F1297-E1297, IF(G1297&lt;&gt;"", G1297, 0))</f>
        <v/>
      </c>
      <c r="I1297" s="48">
        <f>H1297*Settings!$B$5</f>
        <v/>
      </c>
      <c r="K1297">
        <f>IF(AND(A1297&lt;&gt;"",C1297&lt;&gt;"",D1297&lt;&gt;"",H1297&gt;0),"✓","⚠ missing")</f>
        <v/>
      </c>
      <c r="L1297" s="44" t="n"/>
      <c r="M1297" s="45" t="n"/>
      <c r="N1297" s="39" t="n"/>
      <c r="O1297" s="46" t="n"/>
    </row>
    <row r="1298">
      <c r="H1298" s="47">
        <f>IF(AND(E1298&lt;&gt;"",F1298&lt;&gt;""), F1298-E1298, IF(G1298&lt;&gt;"", G1298, 0))</f>
        <v/>
      </c>
      <c r="I1298" s="48">
        <f>H1298*Settings!$B$5</f>
        <v/>
      </c>
      <c r="K1298">
        <f>IF(AND(A1298&lt;&gt;"",C1298&lt;&gt;"",D1298&lt;&gt;"",H1298&gt;0),"✓","⚠ missing")</f>
        <v/>
      </c>
      <c r="L1298" s="44" t="n"/>
      <c r="M1298" s="45" t="n"/>
      <c r="N1298" s="39" t="n"/>
      <c r="O1298" s="46" t="n"/>
    </row>
    <row r="1299">
      <c r="H1299" s="47">
        <f>IF(AND(E1299&lt;&gt;"",F1299&lt;&gt;""), F1299-E1299, IF(G1299&lt;&gt;"", G1299, 0))</f>
        <v/>
      </c>
      <c r="I1299" s="48">
        <f>H1299*Settings!$B$5</f>
        <v/>
      </c>
      <c r="K1299">
        <f>IF(AND(A1299&lt;&gt;"",C1299&lt;&gt;"",D1299&lt;&gt;"",H1299&gt;0),"✓","⚠ missing")</f>
        <v/>
      </c>
      <c r="L1299" s="44" t="n"/>
      <c r="M1299" s="45" t="n"/>
      <c r="N1299" s="39" t="n"/>
      <c r="O1299" s="46" t="n"/>
    </row>
    <row r="1300">
      <c r="H1300" s="47">
        <f>IF(AND(E1300&lt;&gt;"",F1300&lt;&gt;""), F1300-E1300, IF(G1300&lt;&gt;"", G1300, 0))</f>
        <v/>
      </c>
      <c r="I1300" s="48">
        <f>H1300*Settings!$B$5</f>
        <v/>
      </c>
      <c r="K1300">
        <f>IF(AND(A1300&lt;&gt;"",C1300&lt;&gt;"",D1300&lt;&gt;"",H1300&gt;0),"✓","⚠ missing")</f>
        <v/>
      </c>
      <c r="L1300" s="44" t="n"/>
      <c r="M1300" s="45" t="n"/>
      <c r="N1300" s="39" t="n"/>
      <c r="O1300" s="46" t="n"/>
    </row>
    <row r="1301">
      <c r="H1301" s="47">
        <f>IF(AND(E1301&lt;&gt;"",F1301&lt;&gt;""), F1301-E1301, IF(G1301&lt;&gt;"", G1301, 0))</f>
        <v/>
      </c>
      <c r="I1301" s="48">
        <f>H1301*Settings!$B$5</f>
        <v/>
      </c>
      <c r="K1301">
        <f>IF(AND(A1301&lt;&gt;"",C1301&lt;&gt;"",D1301&lt;&gt;"",H1301&gt;0),"✓","⚠ missing")</f>
        <v/>
      </c>
      <c r="L1301" s="44" t="n"/>
      <c r="M1301" s="45" t="n"/>
      <c r="N1301" s="39" t="n"/>
      <c r="O1301" s="46" t="n"/>
    </row>
    <row r="1302">
      <c r="H1302" s="47">
        <f>IF(AND(E1302&lt;&gt;"",F1302&lt;&gt;""), F1302-E1302, IF(G1302&lt;&gt;"", G1302, 0))</f>
        <v/>
      </c>
      <c r="I1302" s="48">
        <f>H1302*Settings!$B$5</f>
        <v/>
      </c>
      <c r="K1302">
        <f>IF(AND(A1302&lt;&gt;"",C1302&lt;&gt;"",D1302&lt;&gt;"",H1302&gt;0),"✓","⚠ missing")</f>
        <v/>
      </c>
      <c r="L1302" s="44" t="n"/>
      <c r="M1302" s="45" t="n"/>
      <c r="N1302" s="39" t="n"/>
      <c r="O1302" s="46" t="n"/>
    </row>
    <row r="1303">
      <c r="H1303" s="47">
        <f>IF(AND(E1303&lt;&gt;"",F1303&lt;&gt;""), F1303-E1303, IF(G1303&lt;&gt;"", G1303, 0))</f>
        <v/>
      </c>
      <c r="I1303" s="48">
        <f>H1303*Settings!$B$5</f>
        <v/>
      </c>
      <c r="K1303">
        <f>IF(AND(A1303&lt;&gt;"",C1303&lt;&gt;"",D1303&lt;&gt;"",H1303&gt;0),"✓","⚠ missing")</f>
        <v/>
      </c>
      <c r="L1303" s="44" t="n"/>
      <c r="M1303" s="45" t="n"/>
      <c r="N1303" s="39" t="n"/>
      <c r="O1303" s="46" t="n"/>
    </row>
    <row r="1304">
      <c r="H1304" s="47">
        <f>IF(AND(E1304&lt;&gt;"",F1304&lt;&gt;""), F1304-E1304, IF(G1304&lt;&gt;"", G1304, 0))</f>
        <v/>
      </c>
      <c r="I1304" s="48">
        <f>H1304*Settings!$B$5</f>
        <v/>
      </c>
      <c r="K1304">
        <f>IF(AND(A1304&lt;&gt;"",C1304&lt;&gt;"",D1304&lt;&gt;"",H1304&gt;0),"✓","⚠ missing")</f>
        <v/>
      </c>
      <c r="L1304" s="44" t="n"/>
      <c r="M1304" s="45" t="n"/>
      <c r="N1304" s="39" t="n"/>
      <c r="O1304" s="46" t="n"/>
    </row>
    <row r="1305">
      <c r="H1305" s="47">
        <f>IF(AND(E1305&lt;&gt;"",F1305&lt;&gt;""), F1305-E1305, IF(G1305&lt;&gt;"", G1305, 0))</f>
        <v/>
      </c>
      <c r="I1305" s="48">
        <f>H1305*Settings!$B$5</f>
        <v/>
      </c>
      <c r="K1305">
        <f>IF(AND(A1305&lt;&gt;"",C1305&lt;&gt;"",D1305&lt;&gt;"",H1305&gt;0),"✓","⚠ missing")</f>
        <v/>
      </c>
      <c r="L1305" s="44" t="n"/>
      <c r="M1305" s="45" t="n"/>
      <c r="N1305" s="39" t="n"/>
      <c r="O1305" s="46" t="n"/>
    </row>
    <row r="1306">
      <c r="H1306" s="47">
        <f>IF(AND(E1306&lt;&gt;"",F1306&lt;&gt;""), F1306-E1306, IF(G1306&lt;&gt;"", G1306, 0))</f>
        <v/>
      </c>
      <c r="I1306" s="48">
        <f>H1306*Settings!$B$5</f>
        <v/>
      </c>
      <c r="K1306">
        <f>IF(AND(A1306&lt;&gt;"",C1306&lt;&gt;"",D1306&lt;&gt;"",H1306&gt;0),"✓","⚠ missing")</f>
        <v/>
      </c>
      <c r="L1306" s="44" t="n"/>
      <c r="M1306" s="45" t="n"/>
      <c r="N1306" s="39" t="n"/>
      <c r="O1306" s="46" t="n"/>
    </row>
    <row r="1307">
      <c r="H1307" s="47">
        <f>IF(AND(E1307&lt;&gt;"",F1307&lt;&gt;""), F1307-E1307, IF(G1307&lt;&gt;"", G1307, 0))</f>
        <v/>
      </c>
      <c r="I1307" s="48">
        <f>H1307*Settings!$B$5</f>
        <v/>
      </c>
      <c r="K1307">
        <f>IF(AND(A1307&lt;&gt;"",C1307&lt;&gt;"",D1307&lt;&gt;"",H1307&gt;0),"✓","⚠ missing")</f>
        <v/>
      </c>
      <c r="L1307" s="44" t="n"/>
      <c r="M1307" s="45" t="n"/>
      <c r="N1307" s="39" t="n"/>
      <c r="O1307" s="46" t="n"/>
    </row>
    <row r="1308">
      <c r="H1308" s="47">
        <f>IF(AND(E1308&lt;&gt;"",F1308&lt;&gt;""), F1308-E1308, IF(G1308&lt;&gt;"", G1308, 0))</f>
        <v/>
      </c>
      <c r="I1308" s="48">
        <f>H1308*Settings!$B$5</f>
        <v/>
      </c>
      <c r="K1308">
        <f>IF(AND(A1308&lt;&gt;"",C1308&lt;&gt;"",D1308&lt;&gt;"",H1308&gt;0),"✓","⚠ missing")</f>
        <v/>
      </c>
      <c r="L1308" s="44" t="n"/>
      <c r="M1308" s="45" t="n"/>
      <c r="N1308" s="39" t="n"/>
      <c r="O1308" s="46" t="n"/>
    </row>
    <row r="1309">
      <c r="H1309" s="47">
        <f>IF(AND(E1309&lt;&gt;"",F1309&lt;&gt;""), F1309-E1309, IF(G1309&lt;&gt;"", G1309, 0))</f>
        <v/>
      </c>
      <c r="I1309" s="48">
        <f>H1309*Settings!$B$5</f>
        <v/>
      </c>
      <c r="K1309">
        <f>IF(AND(A1309&lt;&gt;"",C1309&lt;&gt;"",D1309&lt;&gt;"",H1309&gt;0),"✓","⚠ missing")</f>
        <v/>
      </c>
      <c r="L1309" s="44" t="n"/>
      <c r="M1309" s="45" t="n"/>
      <c r="N1309" s="39" t="n"/>
      <c r="O1309" s="46" t="n"/>
    </row>
    <row r="1310">
      <c r="H1310" s="47">
        <f>IF(AND(E1310&lt;&gt;"",F1310&lt;&gt;""), F1310-E1310, IF(G1310&lt;&gt;"", G1310, 0))</f>
        <v/>
      </c>
      <c r="I1310" s="48">
        <f>H1310*Settings!$B$5</f>
        <v/>
      </c>
      <c r="K1310">
        <f>IF(AND(A1310&lt;&gt;"",C1310&lt;&gt;"",D1310&lt;&gt;"",H1310&gt;0),"✓","⚠ missing")</f>
        <v/>
      </c>
      <c r="L1310" s="44" t="n"/>
      <c r="M1310" s="45" t="n"/>
      <c r="N1310" s="39" t="n"/>
      <c r="O1310" s="46" t="n"/>
    </row>
    <row r="1311">
      <c r="H1311" s="47">
        <f>IF(AND(E1311&lt;&gt;"",F1311&lt;&gt;""), F1311-E1311, IF(G1311&lt;&gt;"", G1311, 0))</f>
        <v/>
      </c>
      <c r="I1311" s="48">
        <f>H1311*Settings!$B$5</f>
        <v/>
      </c>
      <c r="K1311">
        <f>IF(AND(A1311&lt;&gt;"",C1311&lt;&gt;"",D1311&lt;&gt;"",H1311&gt;0),"✓","⚠ missing")</f>
        <v/>
      </c>
      <c r="L1311" s="44" t="n"/>
      <c r="M1311" s="45" t="n"/>
      <c r="N1311" s="39" t="n"/>
      <c r="O1311" s="46" t="n"/>
    </row>
    <row r="1312">
      <c r="H1312" s="47">
        <f>IF(AND(E1312&lt;&gt;"",F1312&lt;&gt;""), F1312-E1312, IF(G1312&lt;&gt;"", G1312, 0))</f>
        <v/>
      </c>
      <c r="I1312" s="48">
        <f>H1312*Settings!$B$5</f>
        <v/>
      </c>
      <c r="K1312">
        <f>IF(AND(A1312&lt;&gt;"",C1312&lt;&gt;"",D1312&lt;&gt;"",H1312&gt;0),"✓","⚠ missing")</f>
        <v/>
      </c>
      <c r="L1312" s="44" t="n"/>
      <c r="M1312" s="45" t="n"/>
      <c r="N1312" s="39" t="n"/>
      <c r="O1312" s="46" t="n"/>
    </row>
    <row r="1313">
      <c r="H1313" s="47">
        <f>IF(AND(E1313&lt;&gt;"",F1313&lt;&gt;""), F1313-E1313, IF(G1313&lt;&gt;"", G1313, 0))</f>
        <v/>
      </c>
      <c r="I1313" s="48">
        <f>H1313*Settings!$B$5</f>
        <v/>
      </c>
      <c r="K1313">
        <f>IF(AND(A1313&lt;&gt;"",C1313&lt;&gt;"",D1313&lt;&gt;"",H1313&gt;0),"✓","⚠ missing")</f>
        <v/>
      </c>
      <c r="L1313" s="44" t="n"/>
      <c r="M1313" s="45" t="n"/>
      <c r="N1313" s="39" t="n"/>
      <c r="O1313" s="46" t="n"/>
    </row>
    <row r="1314">
      <c r="H1314" s="47">
        <f>IF(AND(E1314&lt;&gt;"",F1314&lt;&gt;""), F1314-E1314, IF(G1314&lt;&gt;"", G1314, 0))</f>
        <v/>
      </c>
      <c r="I1314" s="48">
        <f>H1314*Settings!$B$5</f>
        <v/>
      </c>
      <c r="K1314">
        <f>IF(AND(A1314&lt;&gt;"",C1314&lt;&gt;"",D1314&lt;&gt;"",H1314&gt;0),"✓","⚠ missing")</f>
        <v/>
      </c>
      <c r="L1314" s="44" t="n"/>
      <c r="M1314" s="45" t="n"/>
      <c r="N1314" s="39" t="n"/>
      <c r="O1314" s="46" t="n"/>
    </row>
    <row r="1315">
      <c r="H1315" s="47">
        <f>IF(AND(E1315&lt;&gt;"",F1315&lt;&gt;""), F1315-E1315, IF(G1315&lt;&gt;"", G1315, 0))</f>
        <v/>
      </c>
      <c r="I1315" s="48">
        <f>H1315*Settings!$B$5</f>
        <v/>
      </c>
      <c r="K1315">
        <f>IF(AND(A1315&lt;&gt;"",C1315&lt;&gt;"",D1315&lt;&gt;"",H1315&gt;0),"✓","⚠ missing")</f>
        <v/>
      </c>
      <c r="L1315" s="44" t="n"/>
      <c r="M1315" s="45" t="n"/>
      <c r="N1315" s="39" t="n"/>
      <c r="O1315" s="46" t="n"/>
    </row>
    <row r="1316">
      <c r="H1316" s="47">
        <f>IF(AND(E1316&lt;&gt;"",F1316&lt;&gt;""), F1316-E1316, IF(G1316&lt;&gt;"", G1316, 0))</f>
        <v/>
      </c>
      <c r="I1316" s="48">
        <f>H1316*Settings!$B$5</f>
        <v/>
      </c>
      <c r="K1316">
        <f>IF(AND(A1316&lt;&gt;"",C1316&lt;&gt;"",D1316&lt;&gt;"",H1316&gt;0),"✓","⚠ missing")</f>
        <v/>
      </c>
      <c r="L1316" s="44" t="n"/>
      <c r="M1316" s="45" t="n"/>
      <c r="N1316" s="39" t="n"/>
      <c r="O1316" s="46" t="n"/>
    </row>
    <row r="1317">
      <c r="H1317" s="47">
        <f>IF(AND(E1317&lt;&gt;"",F1317&lt;&gt;""), F1317-E1317, IF(G1317&lt;&gt;"", G1317, 0))</f>
        <v/>
      </c>
      <c r="I1317" s="48">
        <f>H1317*Settings!$B$5</f>
        <v/>
      </c>
      <c r="K1317">
        <f>IF(AND(A1317&lt;&gt;"",C1317&lt;&gt;"",D1317&lt;&gt;"",H1317&gt;0),"✓","⚠ missing")</f>
        <v/>
      </c>
      <c r="L1317" s="44" t="n"/>
      <c r="M1317" s="45" t="n"/>
      <c r="N1317" s="39" t="n"/>
      <c r="O1317" s="46" t="n"/>
    </row>
    <row r="1318">
      <c r="H1318" s="47">
        <f>IF(AND(E1318&lt;&gt;"",F1318&lt;&gt;""), F1318-E1318, IF(G1318&lt;&gt;"", G1318, 0))</f>
        <v/>
      </c>
      <c r="I1318" s="48">
        <f>H1318*Settings!$B$5</f>
        <v/>
      </c>
      <c r="K1318">
        <f>IF(AND(A1318&lt;&gt;"",C1318&lt;&gt;"",D1318&lt;&gt;"",H1318&gt;0),"✓","⚠ missing")</f>
        <v/>
      </c>
      <c r="L1318" s="44" t="n"/>
      <c r="M1318" s="45" t="n"/>
      <c r="N1318" s="39" t="n"/>
      <c r="O1318" s="46" t="n"/>
    </row>
    <row r="1319">
      <c r="H1319" s="47">
        <f>IF(AND(E1319&lt;&gt;"",F1319&lt;&gt;""), F1319-E1319, IF(G1319&lt;&gt;"", G1319, 0))</f>
        <v/>
      </c>
      <c r="I1319" s="48">
        <f>H1319*Settings!$B$5</f>
        <v/>
      </c>
      <c r="K1319">
        <f>IF(AND(A1319&lt;&gt;"",C1319&lt;&gt;"",D1319&lt;&gt;"",H1319&gt;0),"✓","⚠ missing")</f>
        <v/>
      </c>
      <c r="L1319" s="44" t="n"/>
      <c r="M1319" s="45" t="n"/>
      <c r="N1319" s="39" t="n"/>
      <c r="O1319" s="46" t="n"/>
    </row>
    <row r="1320">
      <c r="H1320" s="47">
        <f>IF(AND(E1320&lt;&gt;"",F1320&lt;&gt;""), F1320-E1320, IF(G1320&lt;&gt;"", G1320, 0))</f>
        <v/>
      </c>
      <c r="I1320" s="48">
        <f>H1320*Settings!$B$5</f>
        <v/>
      </c>
      <c r="K1320">
        <f>IF(AND(A1320&lt;&gt;"",C1320&lt;&gt;"",D1320&lt;&gt;"",H1320&gt;0),"✓","⚠ missing")</f>
        <v/>
      </c>
      <c r="L1320" s="44" t="n"/>
      <c r="M1320" s="45" t="n"/>
      <c r="N1320" s="39" t="n"/>
      <c r="O1320" s="46" t="n"/>
    </row>
    <row r="1321">
      <c r="H1321" s="47">
        <f>IF(AND(E1321&lt;&gt;"",F1321&lt;&gt;""), F1321-E1321, IF(G1321&lt;&gt;"", G1321, 0))</f>
        <v/>
      </c>
      <c r="I1321" s="48">
        <f>H1321*Settings!$B$5</f>
        <v/>
      </c>
      <c r="K1321">
        <f>IF(AND(A1321&lt;&gt;"",C1321&lt;&gt;"",D1321&lt;&gt;"",H1321&gt;0),"✓","⚠ missing")</f>
        <v/>
      </c>
      <c r="L1321" s="44" t="n"/>
      <c r="M1321" s="45" t="n"/>
      <c r="N1321" s="39" t="n"/>
      <c r="O1321" s="46" t="n"/>
    </row>
    <row r="1322">
      <c r="H1322" s="47">
        <f>IF(AND(E1322&lt;&gt;"",F1322&lt;&gt;""), F1322-E1322, IF(G1322&lt;&gt;"", G1322, 0))</f>
        <v/>
      </c>
      <c r="I1322" s="48">
        <f>H1322*Settings!$B$5</f>
        <v/>
      </c>
      <c r="K1322">
        <f>IF(AND(A1322&lt;&gt;"",C1322&lt;&gt;"",D1322&lt;&gt;"",H1322&gt;0),"✓","⚠ missing")</f>
        <v/>
      </c>
      <c r="L1322" s="44" t="n"/>
      <c r="M1322" s="45" t="n"/>
      <c r="N1322" s="39" t="n"/>
      <c r="O1322" s="46" t="n"/>
    </row>
    <row r="1323">
      <c r="H1323" s="47">
        <f>IF(AND(E1323&lt;&gt;"",F1323&lt;&gt;""), F1323-E1323, IF(G1323&lt;&gt;"", G1323, 0))</f>
        <v/>
      </c>
      <c r="I1323" s="48">
        <f>H1323*Settings!$B$5</f>
        <v/>
      </c>
      <c r="K1323">
        <f>IF(AND(A1323&lt;&gt;"",C1323&lt;&gt;"",D1323&lt;&gt;"",H1323&gt;0),"✓","⚠ missing")</f>
        <v/>
      </c>
      <c r="L1323" s="44" t="n"/>
      <c r="M1323" s="45" t="n"/>
      <c r="N1323" s="39" t="n"/>
      <c r="O1323" s="46" t="n"/>
    </row>
    <row r="1324">
      <c r="H1324" s="47">
        <f>IF(AND(E1324&lt;&gt;"",F1324&lt;&gt;""), F1324-E1324, IF(G1324&lt;&gt;"", G1324, 0))</f>
        <v/>
      </c>
      <c r="I1324" s="48">
        <f>H1324*Settings!$B$5</f>
        <v/>
      </c>
      <c r="K1324">
        <f>IF(AND(A1324&lt;&gt;"",C1324&lt;&gt;"",D1324&lt;&gt;"",H1324&gt;0),"✓","⚠ missing")</f>
        <v/>
      </c>
      <c r="L1324" s="44" t="n"/>
      <c r="M1324" s="45" t="n"/>
      <c r="N1324" s="39" t="n"/>
      <c r="O1324" s="46" t="n"/>
    </row>
    <row r="1325">
      <c r="H1325" s="47">
        <f>IF(AND(E1325&lt;&gt;"",F1325&lt;&gt;""), F1325-E1325, IF(G1325&lt;&gt;"", G1325, 0))</f>
        <v/>
      </c>
      <c r="I1325" s="48">
        <f>H1325*Settings!$B$5</f>
        <v/>
      </c>
      <c r="K1325">
        <f>IF(AND(A1325&lt;&gt;"",C1325&lt;&gt;"",D1325&lt;&gt;"",H1325&gt;0),"✓","⚠ missing")</f>
        <v/>
      </c>
      <c r="L1325" s="44" t="n"/>
      <c r="M1325" s="45" t="n"/>
      <c r="N1325" s="39" t="n"/>
      <c r="O1325" s="46" t="n"/>
    </row>
    <row r="1326">
      <c r="H1326" s="47">
        <f>IF(AND(E1326&lt;&gt;"",F1326&lt;&gt;""), F1326-E1326, IF(G1326&lt;&gt;"", G1326, 0))</f>
        <v/>
      </c>
      <c r="I1326" s="48">
        <f>H1326*Settings!$B$5</f>
        <v/>
      </c>
      <c r="K1326">
        <f>IF(AND(A1326&lt;&gt;"",C1326&lt;&gt;"",D1326&lt;&gt;"",H1326&gt;0),"✓","⚠ missing")</f>
        <v/>
      </c>
      <c r="L1326" s="44" t="n"/>
      <c r="M1326" s="45" t="n"/>
      <c r="N1326" s="39" t="n"/>
      <c r="O1326" s="46" t="n"/>
    </row>
    <row r="1327">
      <c r="H1327" s="47">
        <f>IF(AND(E1327&lt;&gt;"",F1327&lt;&gt;""), F1327-E1327, IF(G1327&lt;&gt;"", G1327, 0))</f>
        <v/>
      </c>
      <c r="I1327" s="48">
        <f>H1327*Settings!$B$5</f>
        <v/>
      </c>
      <c r="K1327">
        <f>IF(AND(A1327&lt;&gt;"",C1327&lt;&gt;"",D1327&lt;&gt;"",H1327&gt;0),"✓","⚠ missing")</f>
        <v/>
      </c>
      <c r="L1327" s="44" t="n"/>
      <c r="M1327" s="45" t="n"/>
      <c r="N1327" s="39" t="n"/>
      <c r="O1327" s="46" t="n"/>
    </row>
    <row r="1328">
      <c r="H1328" s="47">
        <f>IF(AND(E1328&lt;&gt;"",F1328&lt;&gt;""), F1328-E1328, IF(G1328&lt;&gt;"", G1328, 0))</f>
        <v/>
      </c>
      <c r="I1328" s="48">
        <f>H1328*Settings!$B$5</f>
        <v/>
      </c>
      <c r="K1328">
        <f>IF(AND(A1328&lt;&gt;"",C1328&lt;&gt;"",D1328&lt;&gt;"",H1328&gt;0),"✓","⚠ missing")</f>
        <v/>
      </c>
      <c r="L1328" s="44" t="n"/>
      <c r="M1328" s="45" t="n"/>
      <c r="N1328" s="39" t="n"/>
      <c r="O1328" s="46" t="n"/>
    </row>
    <row r="1329">
      <c r="H1329" s="47">
        <f>IF(AND(E1329&lt;&gt;"",F1329&lt;&gt;""), F1329-E1329, IF(G1329&lt;&gt;"", G1329, 0))</f>
        <v/>
      </c>
      <c r="I1329" s="48">
        <f>H1329*Settings!$B$5</f>
        <v/>
      </c>
      <c r="K1329">
        <f>IF(AND(A1329&lt;&gt;"",C1329&lt;&gt;"",D1329&lt;&gt;"",H1329&gt;0),"✓","⚠ missing")</f>
        <v/>
      </c>
      <c r="L1329" s="44" t="n"/>
      <c r="M1329" s="45" t="n"/>
      <c r="N1329" s="39" t="n"/>
      <c r="O1329" s="46" t="n"/>
    </row>
    <row r="1330">
      <c r="H1330" s="47">
        <f>IF(AND(E1330&lt;&gt;"",F1330&lt;&gt;""), F1330-E1330, IF(G1330&lt;&gt;"", G1330, 0))</f>
        <v/>
      </c>
      <c r="I1330" s="48">
        <f>H1330*Settings!$B$5</f>
        <v/>
      </c>
      <c r="K1330">
        <f>IF(AND(A1330&lt;&gt;"",C1330&lt;&gt;"",D1330&lt;&gt;"",H1330&gt;0),"✓","⚠ missing")</f>
        <v/>
      </c>
      <c r="L1330" s="44" t="n"/>
      <c r="M1330" s="45" t="n"/>
      <c r="N1330" s="39" t="n"/>
      <c r="O1330" s="46" t="n"/>
    </row>
    <row r="1331">
      <c r="H1331" s="47">
        <f>IF(AND(E1331&lt;&gt;"",F1331&lt;&gt;""), F1331-E1331, IF(G1331&lt;&gt;"", G1331, 0))</f>
        <v/>
      </c>
      <c r="I1331" s="48">
        <f>H1331*Settings!$B$5</f>
        <v/>
      </c>
      <c r="K1331">
        <f>IF(AND(A1331&lt;&gt;"",C1331&lt;&gt;"",D1331&lt;&gt;"",H1331&gt;0),"✓","⚠ missing")</f>
        <v/>
      </c>
      <c r="L1331" s="44" t="n"/>
      <c r="M1331" s="45" t="n"/>
      <c r="N1331" s="39" t="n"/>
      <c r="O1331" s="46" t="n"/>
    </row>
    <row r="1332">
      <c r="H1332" s="47">
        <f>IF(AND(E1332&lt;&gt;"",F1332&lt;&gt;""), F1332-E1332, IF(G1332&lt;&gt;"", G1332, 0))</f>
        <v/>
      </c>
      <c r="I1332" s="48">
        <f>H1332*Settings!$B$5</f>
        <v/>
      </c>
      <c r="K1332">
        <f>IF(AND(A1332&lt;&gt;"",C1332&lt;&gt;"",D1332&lt;&gt;"",H1332&gt;0),"✓","⚠ missing")</f>
        <v/>
      </c>
      <c r="L1332" s="44" t="n"/>
      <c r="M1332" s="45" t="n"/>
      <c r="N1332" s="39" t="n"/>
      <c r="O1332" s="46" t="n"/>
    </row>
    <row r="1333">
      <c r="H1333" s="47">
        <f>IF(AND(E1333&lt;&gt;"",F1333&lt;&gt;""), F1333-E1333, IF(G1333&lt;&gt;"", G1333, 0))</f>
        <v/>
      </c>
      <c r="I1333" s="48">
        <f>H1333*Settings!$B$5</f>
        <v/>
      </c>
      <c r="K1333">
        <f>IF(AND(A1333&lt;&gt;"",C1333&lt;&gt;"",D1333&lt;&gt;"",H1333&gt;0),"✓","⚠ missing")</f>
        <v/>
      </c>
      <c r="L1333" s="44" t="n"/>
      <c r="M1333" s="45" t="n"/>
      <c r="N1333" s="39" t="n"/>
      <c r="O1333" s="46" t="n"/>
    </row>
    <row r="1334">
      <c r="H1334" s="47">
        <f>IF(AND(E1334&lt;&gt;"",F1334&lt;&gt;""), F1334-E1334, IF(G1334&lt;&gt;"", G1334, 0))</f>
        <v/>
      </c>
      <c r="I1334" s="48">
        <f>H1334*Settings!$B$5</f>
        <v/>
      </c>
      <c r="K1334">
        <f>IF(AND(A1334&lt;&gt;"",C1334&lt;&gt;"",D1334&lt;&gt;"",H1334&gt;0),"✓","⚠ missing")</f>
        <v/>
      </c>
      <c r="L1334" s="44" t="n"/>
      <c r="M1334" s="45" t="n"/>
      <c r="N1334" s="39" t="n"/>
      <c r="O1334" s="46" t="n"/>
    </row>
    <row r="1335">
      <c r="H1335" s="47">
        <f>IF(AND(E1335&lt;&gt;"",F1335&lt;&gt;""), F1335-E1335, IF(G1335&lt;&gt;"", G1335, 0))</f>
        <v/>
      </c>
      <c r="I1335" s="48">
        <f>H1335*Settings!$B$5</f>
        <v/>
      </c>
      <c r="K1335">
        <f>IF(AND(A1335&lt;&gt;"",C1335&lt;&gt;"",D1335&lt;&gt;"",H1335&gt;0),"✓","⚠ missing")</f>
        <v/>
      </c>
      <c r="L1335" s="44" t="n"/>
      <c r="M1335" s="45" t="n"/>
      <c r="N1335" s="39" t="n"/>
      <c r="O1335" s="46" t="n"/>
    </row>
    <row r="1336">
      <c r="H1336" s="47">
        <f>IF(AND(E1336&lt;&gt;"",F1336&lt;&gt;""), F1336-E1336, IF(G1336&lt;&gt;"", G1336, 0))</f>
        <v/>
      </c>
      <c r="I1336" s="48">
        <f>H1336*Settings!$B$5</f>
        <v/>
      </c>
      <c r="K1336">
        <f>IF(AND(A1336&lt;&gt;"",C1336&lt;&gt;"",D1336&lt;&gt;"",H1336&gt;0),"✓","⚠ missing")</f>
        <v/>
      </c>
      <c r="L1336" s="44" t="n"/>
      <c r="M1336" s="45" t="n"/>
      <c r="N1336" s="39" t="n"/>
      <c r="O1336" s="46" t="n"/>
    </row>
    <row r="1337">
      <c r="H1337" s="47">
        <f>IF(AND(E1337&lt;&gt;"",F1337&lt;&gt;""), F1337-E1337, IF(G1337&lt;&gt;"", G1337, 0))</f>
        <v/>
      </c>
      <c r="I1337" s="48">
        <f>H1337*Settings!$B$5</f>
        <v/>
      </c>
      <c r="K1337">
        <f>IF(AND(A1337&lt;&gt;"",C1337&lt;&gt;"",D1337&lt;&gt;"",H1337&gt;0),"✓","⚠ missing")</f>
        <v/>
      </c>
      <c r="L1337" s="44" t="n"/>
      <c r="M1337" s="45" t="n"/>
      <c r="N1337" s="39" t="n"/>
      <c r="O1337" s="46" t="n"/>
    </row>
    <row r="1338">
      <c r="H1338" s="47">
        <f>IF(AND(E1338&lt;&gt;"",F1338&lt;&gt;""), F1338-E1338, IF(G1338&lt;&gt;"", G1338, 0))</f>
        <v/>
      </c>
      <c r="I1338" s="48">
        <f>H1338*Settings!$B$5</f>
        <v/>
      </c>
      <c r="K1338">
        <f>IF(AND(A1338&lt;&gt;"",C1338&lt;&gt;"",D1338&lt;&gt;"",H1338&gt;0),"✓","⚠ missing")</f>
        <v/>
      </c>
      <c r="L1338" s="44" t="n"/>
      <c r="M1338" s="45" t="n"/>
      <c r="N1338" s="39" t="n"/>
      <c r="O1338" s="46" t="n"/>
    </row>
    <row r="1339">
      <c r="H1339" s="47">
        <f>IF(AND(E1339&lt;&gt;"",F1339&lt;&gt;""), F1339-E1339, IF(G1339&lt;&gt;"", G1339, 0))</f>
        <v/>
      </c>
      <c r="I1339" s="48">
        <f>H1339*Settings!$B$5</f>
        <v/>
      </c>
      <c r="K1339">
        <f>IF(AND(A1339&lt;&gt;"",C1339&lt;&gt;"",D1339&lt;&gt;"",H1339&gt;0),"✓","⚠ missing")</f>
        <v/>
      </c>
      <c r="L1339" s="44" t="n"/>
      <c r="M1339" s="45" t="n"/>
      <c r="N1339" s="39" t="n"/>
      <c r="O1339" s="46" t="n"/>
    </row>
    <row r="1340">
      <c r="H1340" s="47">
        <f>IF(AND(E1340&lt;&gt;"",F1340&lt;&gt;""), F1340-E1340, IF(G1340&lt;&gt;"", G1340, 0))</f>
        <v/>
      </c>
      <c r="I1340" s="48">
        <f>H1340*Settings!$B$5</f>
        <v/>
      </c>
      <c r="K1340">
        <f>IF(AND(A1340&lt;&gt;"",C1340&lt;&gt;"",D1340&lt;&gt;"",H1340&gt;0),"✓","⚠ missing")</f>
        <v/>
      </c>
      <c r="L1340" s="44" t="n"/>
      <c r="M1340" s="45" t="n"/>
      <c r="N1340" s="39" t="n"/>
      <c r="O1340" s="46" t="n"/>
    </row>
    <row r="1341">
      <c r="H1341" s="47">
        <f>IF(AND(E1341&lt;&gt;"",F1341&lt;&gt;""), F1341-E1341, IF(G1341&lt;&gt;"", G1341, 0))</f>
        <v/>
      </c>
      <c r="I1341" s="48">
        <f>H1341*Settings!$B$5</f>
        <v/>
      </c>
      <c r="K1341">
        <f>IF(AND(A1341&lt;&gt;"",C1341&lt;&gt;"",D1341&lt;&gt;"",H1341&gt;0),"✓","⚠ missing")</f>
        <v/>
      </c>
      <c r="L1341" s="44" t="n"/>
      <c r="M1341" s="45" t="n"/>
      <c r="N1341" s="39" t="n"/>
      <c r="O1341" s="46" t="n"/>
    </row>
    <row r="1342">
      <c r="H1342" s="47">
        <f>IF(AND(E1342&lt;&gt;"",F1342&lt;&gt;""), F1342-E1342, IF(G1342&lt;&gt;"", G1342, 0))</f>
        <v/>
      </c>
      <c r="I1342" s="48">
        <f>H1342*Settings!$B$5</f>
        <v/>
      </c>
      <c r="K1342">
        <f>IF(AND(A1342&lt;&gt;"",C1342&lt;&gt;"",D1342&lt;&gt;"",H1342&gt;0),"✓","⚠ missing")</f>
        <v/>
      </c>
      <c r="L1342" s="44" t="n"/>
      <c r="M1342" s="45" t="n"/>
      <c r="N1342" s="39" t="n"/>
      <c r="O1342" s="46" t="n"/>
    </row>
    <row r="1343">
      <c r="H1343" s="47">
        <f>IF(AND(E1343&lt;&gt;"",F1343&lt;&gt;""), F1343-E1343, IF(G1343&lt;&gt;"", G1343, 0))</f>
        <v/>
      </c>
      <c r="I1343" s="48">
        <f>H1343*Settings!$B$5</f>
        <v/>
      </c>
      <c r="K1343">
        <f>IF(AND(A1343&lt;&gt;"",C1343&lt;&gt;"",D1343&lt;&gt;"",H1343&gt;0),"✓","⚠ missing")</f>
        <v/>
      </c>
      <c r="L1343" s="44" t="n"/>
      <c r="M1343" s="45" t="n"/>
      <c r="N1343" s="39" t="n"/>
      <c r="O1343" s="46" t="n"/>
    </row>
    <row r="1344">
      <c r="H1344" s="47">
        <f>IF(AND(E1344&lt;&gt;"",F1344&lt;&gt;""), F1344-E1344, IF(G1344&lt;&gt;"", G1344, 0))</f>
        <v/>
      </c>
      <c r="I1344" s="48">
        <f>H1344*Settings!$B$5</f>
        <v/>
      </c>
      <c r="K1344">
        <f>IF(AND(A1344&lt;&gt;"",C1344&lt;&gt;"",D1344&lt;&gt;"",H1344&gt;0),"✓","⚠ missing")</f>
        <v/>
      </c>
      <c r="L1344" s="44" t="n"/>
      <c r="M1344" s="45" t="n"/>
      <c r="N1344" s="39" t="n"/>
      <c r="O1344" s="46" t="n"/>
    </row>
    <row r="1345">
      <c r="H1345" s="47">
        <f>IF(AND(E1345&lt;&gt;"",F1345&lt;&gt;""), F1345-E1345, IF(G1345&lt;&gt;"", G1345, 0))</f>
        <v/>
      </c>
      <c r="I1345" s="48">
        <f>H1345*Settings!$B$5</f>
        <v/>
      </c>
      <c r="K1345">
        <f>IF(AND(A1345&lt;&gt;"",C1345&lt;&gt;"",D1345&lt;&gt;"",H1345&gt;0),"✓","⚠ missing")</f>
        <v/>
      </c>
      <c r="L1345" s="44" t="n"/>
      <c r="M1345" s="45" t="n"/>
      <c r="N1345" s="39" t="n"/>
      <c r="O1345" s="46" t="n"/>
    </row>
    <row r="1346">
      <c r="H1346" s="47">
        <f>IF(AND(E1346&lt;&gt;"",F1346&lt;&gt;""), F1346-E1346, IF(G1346&lt;&gt;"", G1346, 0))</f>
        <v/>
      </c>
      <c r="I1346" s="48">
        <f>H1346*Settings!$B$5</f>
        <v/>
      </c>
      <c r="K1346">
        <f>IF(AND(A1346&lt;&gt;"",C1346&lt;&gt;"",D1346&lt;&gt;"",H1346&gt;0),"✓","⚠ missing")</f>
        <v/>
      </c>
      <c r="L1346" s="44" t="n"/>
      <c r="M1346" s="45" t="n"/>
      <c r="N1346" s="39" t="n"/>
      <c r="O1346" s="46" t="n"/>
    </row>
    <row r="1347">
      <c r="H1347" s="47">
        <f>IF(AND(E1347&lt;&gt;"",F1347&lt;&gt;""), F1347-E1347, IF(G1347&lt;&gt;"", G1347, 0))</f>
        <v/>
      </c>
      <c r="I1347" s="48">
        <f>H1347*Settings!$B$5</f>
        <v/>
      </c>
      <c r="K1347">
        <f>IF(AND(A1347&lt;&gt;"",C1347&lt;&gt;"",D1347&lt;&gt;"",H1347&gt;0),"✓","⚠ missing")</f>
        <v/>
      </c>
      <c r="L1347" s="44" t="n"/>
      <c r="M1347" s="45" t="n"/>
      <c r="N1347" s="39" t="n"/>
      <c r="O1347" s="46" t="n"/>
    </row>
    <row r="1348">
      <c r="H1348" s="47">
        <f>IF(AND(E1348&lt;&gt;"",F1348&lt;&gt;""), F1348-E1348, IF(G1348&lt;&gt;"", G1348, 0))</f>
        <v/>
      </c>
      <c r="I1348" s="48">
        <f>H1348*Settings!$B$5</f>
        <v/>
      </c>
      <c r="K1348">
        <f>IF(AND(A1348&lt;&gt;"",C1348&lt;&gt;"",D1348&lt;&gt;"",H1348&gt;0),"✓","⚠ missing")</f>
        <v/>
      </c>
      <c r="L1348" s="44" t="n"/>
      <c r="M1348" s="45" t="n"/>
      <c r="N1348" s="39" t="n"/>
      <c r="O1348" s="46" t="n"/>
    </row>
    <row r="1349">
      <c r="H1349" s="47">
        <f>IF(AND(E1349&lt;&gt;"",F1349&lt;&gt;""), F1349-E1349, IF(G1349&lt;&gt;"", G1349, 0))</f>
        <v/>
      </c>
      <c r="I1349" s="48">
        <f>H1349*Settings!$B$5</f>
        <v/>
      </c>
      <c r="K1349">
        <f>IF(AND(A1349&lt;&gt;"",C1349&lt;&gt;"",D1349&lt;&gt;"",H1349&gt;0),"✓","⚠ missing")</f>
        <v/>
      </c>
      <c r="L1349" s="44" t="n"/>
      <c r="M1349" s="45" t="n"/>
      <c r="N1349" s="39" t="n"/>
      <c r="O1349" s="46" t="n"/>
    </row>
    <row r="1350">
      <c r="H1350" s="47">
        <f>IF(AND(E1350&lt;&gt;"",F1350&lt;&gt;""), F1350-E1350, IF(G1350&lt;&gt;"", G1350, 0))</f>
        <v/>
      </c>
      <c r="I1350" s="48">
        <f>H1350*Settings!$B$5</f>
        <v/>
      </c>
      <c r="K1350">
        <f>IF(AND(A1350&lt;&gt;"",C1350&lt;&gt;"",D1350&lt;&gt;"",H1350&gt;0),"✓","⚠ missing")</f>
        <v/>
      </c>
      <c r="L1350" s="44" t="n"/>
      <c r="M1350" s="45" t="n"/>
      <c r="N1350" s="39" t="n"/>
      <c r="O1350" s="46" t="n"/>
    </row>
    <row r="1351">
      <c r="H1351" s="47">
        <f>IF(AND(E1351&lt;&gt;"",F1351&lt;&gt;""), F1351-E1351, IF(G1351&lt;&gt;"", G1351, 0))</f>
        <v/>
      </c>
      <c r="I1351" s="48">
        <f>H1351*Settings!$B$5</f>
        <v/>
      </c>
      <c r="K1351">
        <f>IF(AND(A1351&lt;&gt;"",C1351&lt;&gt;"",D1351&lt;&gt;"",H1351&gt;0),"✓","⚠ missing")</f>
        <v/>
      </c>
      <c r="L1351" s="44" t="n"/>
      <c r="M1351" s="45" t="n"/>
      <c r="N1351" s="39" t="n"/>
      <c r="O1351" s="46" t="n"/>
    </row>
    <row r="1352">
      <c r="H1352" s="47">
        <f>IF(AND(E1352&lt;&gt;"",F1352&lt;&gt;""), F1352-E1352, IF(G1352&lt;&gt;"", G1352, 0))</f>
        <v/>
      </c>
      <c r="I1352" s="48">
        <f>H1352*Settings!$B$5</f>
        <v/>
      </c>
      <c r="K1352">
        <f>IF(AND(A1352&lt;&gt;"",C1352&lt;&gt;"",D1352&lt;&gt;"",H1352&gt;0),"✓","⚠ missing")</f>
        <v/>
      </c>
      <c r="L1352" s="44" t="n"/>
      <c r="M1352" s="45" t="n"/>
      <c r="N1352" s="39" t="n"/>
      <c r="O1352" s="46" t="n"/>
    </row>
    <row r="1353">
      <c r="H1353" s="47">
        <f>IF(AND(E1353&lt;&gt;"",F1353&lt;&gt;""), F1353-E1353, IF(G1353&lt;&gt;"", G1353, 0))</f>
        <v/>
      </c>
      <c r="I1353" s="48">
        <f>H1353*Settings!$B$5</f>
        <v/>
      </c>
      <c r="K1353">
        <f>IF(AND(A1353&lt;&gt;"",C1353&lt;&gt;"",D1353&lt;&gt;"",H1353&gt;0),"✓","⚠ missing")</f>
        <v/>
      </c>
      <c r="L1353" s="44" t="n"/>
      <c r="M1353" s="45" t="n"/>
      <c r="N1353" s="39" t="n"/>
      <c r="O1353" s="46" t="n"/>
    </row>
    <row r="1354">
      <c r="H1354" s="47">
        <f>IF(AND(E1354&lt;&gt;"",F1354&lt;&gt;""), F1354-E1354, IF(G1354&lt;&gt;"", G1354, 0))</f>
        <v/>
      </c>
      <c r="I1354" s="48">
        <f>H1354*Settings!$B$5</f>
        <v/>
      </c>
      <c r="K1354">
        <f>IF(AND(A1354&lt;&gt;"",C1354&lt;&gt;"",D1354&lt;&gt;"",H1354&gt;0),"✓","⚠ missing")</f>
        <v/>
      </c>
      <c r="L1354" s="44" t="n"/>
      <c r="M1354" s="45" t="n"/>
      <c r="N1354" s="39" t="n"/>
      <c r="O1354" s="46" t="n"/>
    </row>
    <row r="1355">
      <c r="H1355" s="47">
        <f>IF(AND(E1355&lt;&gt;"",F1355&lt;&gt;""), F1355-E1355, IF(G1355&lt;&gt;"", G1355, 0))</f>
        <v/>
      </c>
      <c r="I1355" s="48">
        <f>H1355*Settings!$B$5</f>
        <v/>
      </c>
      <c r="K1355">
        <f>IF(AND(A1355&lt;&gt;"",C1355&lt;&gt;"",D1355&lt;&gt;"",H1355&gt;0),"✓","⚠ missing")</f>
        <v/>
      </c>
      <c r="L1355" s="44" t="n"/>
      <c r="M1355" s="45" t="n"/>
      <c r="N1355" s="39" t="n"/>
      <c r="O1355" s="46" t="n"/>
    </row>
    <row r="1356">
      <c r="H1356" s="47">
        <f>IF(AND(E1356&lt;&gt;"",F1356&lt;&gt;""), F1356-E1356, IF(G1356&lt;&gt;"", G1356, 0))</f>
        <v/>
      </c>
      <c r="I1356" s="48">
        <f>H1356*Settings!$B$5</f>
        <v/>
      </c>
      <c r="K1356">
        <f>IF(AND(A1356&lt;&gt;"",C1356&lt;&gt;"",D1356&lt;&gt;"",H1356&gt;0),"✓","⚠ missing")</f>
        <v/>
      </c>
      <c r="L1356" s="44" t="n"/>
      <c r="M1356" s="45" t="n"/>
      <c r="N1356" s="39" t="n"/>
      <c r="O1356" s="46" t="n"/>
    </row>
    <row r="1357">
      <c r="H1357" s="47">
        <f>IF(AND(E1357&lt;&gt;"",F1357&lt;&gt;""), F1357-E1357, IF(G1357&lt;&gt;"", G1357, 0))</f>
        <v/>
      </c>
      <c r="I1357" s="48">
        <f>H1357*Settings!$B$5</f>
        <v/>
      </c>
      <c r="K1357">
        <f>IF(AND(A1357&lt;&gt;"",C1357&lt;&gt;"",D1357&lt;&gt;"",H1357&gt;0),"✓","⚠ missing")</f>
        <v/>
      </c>
      <c r="L1357" s="44" t="n"/>
      <c r="M1357" s="45" t="n"/>
      <c r="N1357" s="39" t="n"/>
      <c r="O1357" s="46" t="n"/>
    </row>
    <row r="1358">
      <c r="H1358" s="47">
        <f>IF(AND(E1358&lt;&gt;"",F1358&lt;&gt;""), F1358-E1358, IF(G1358&lt;&gt;"", G1358, 0))</f>
        <v/>
      </c>
      <c r="I1358" s="48">
        <f>H1358*Settings!$B$5</f>
        <v/>
      </c>
      <c r="K1358">
        <f>IF(AND(A1358&lt;&gt;"",C1358&lt;&gt;"",D1358&lt;&gt;"",H1358&gt;0),"✓","⚠ missing")</f>
        <v/>
      </c>
      <c r="L1358" s="44" t="n"/>
      <c r="M1358" s="45" t="n"/>
      <c r="N1358" s="39" t="n"/>
      <c r="O1358" s="46" t="n"/>
    </row>
    <row r="1359">
      <c r="H1359" s="47">
        <f>IF(AND(E1359&lt;&gt;"",F1359&lt;&gt;""), F1359-E1359, IF(G1359&lt;&gt;"", G1359, 0))</f>
        <v/>
      </c>
      <c r="I1359" s="48">
        <f>H1359*Settings!$B$5</f>
        <v/>
      </c>
      <c r="K1359">
        <f>IF(AND(A1359&lt;&gt;"",C1359&lt;&gt;"",D1359&lt;&gt;"",H1359&gt;0),"✓","⚠ missing")</f>
        <v/>
      </c>
      <c r="L1359" s="44" t="n"/>
      <c r="M1359" s="45" t="n"/>
      <c r="N1359" s="39" t="n"/>
      <c r="O1359" s="46" t="n"/>
    </row>
    <row r="1360">
      <c r="H1360" s="47">
        <f>IF(AND(E1360&lt;&gt;"",F1360&lt;&gt;""), F1360-E1360, IF(G1360&lt;&gt;"", G1360, 0))</f>
        <v/>
      </c>
      <c r="I1360" s="48">
        <f>H1360*Settings!$B$5</f>
        <v/>
      </c>
      <c r="K1360">
        <f>IF(AND(A1360&lt;&gt;"",C1360&lt;&gt;"",D1360&lt;&gt;"",H1360&gt;0),"✓","⚠ missing")</f>
        <v/>
      </c>
      <c r="L1360" s="44" t="n"/>
      <c r="M1360" s="45" t="n"/>
      <c r="N1360" s="39" t="n"/>
      <c r="O1360" s="46" t="n"/>
    </row>
    <row r="1361">
      <c r="H1361" s="47">
        <f>IF(AND(E1361&lt;&gt;"",F1361&lt;&gt;""), F1361-E1361, IF(G1361&lt;&gt;"", G1361, 0))</f>
        <v/>
      </c>
      <c r="I1361" s="48">
        <f>H1361*Settings!$B$5</f>
        <v/>
      </c>
      <c r="K1361">
        <f>IF(AND(A1361&lt;&gt;"",C1361&lt;&gt;"",D1361&lt;&gt;"",H1361&gt;0),"✓","⚠ missing")</f>
        <v/>
      </c>
      <c r="L1361" s="44" t="n"/>
      <c r="M1361" s="45" t="n"/>
      <c r="N1361" s="39" t="n"/>
      <c r="O1361" s="46" t="n"/>
    </row>
    <row r="1362">
      <c r="H1362" s="47">
        <f>IF(AND(E1362&lt;&gt;"",F1362&lt;&gt;""), F1362-E1362, IF(G1362&lt;&gt;"", G1362, 0))</f>
        <v/>
      </c>
      <c r="I1362" s="48">
        <f>H1362*Settings!$B$5</f>
        <v/>
      </c>
      <c r="K1362">
        <f>IF(AND(A1362&lt;&gt;"",C1362&lt;&gt;"",D1362&lt;&gt;"",H1362&gt;0),"✓","⚠ missing")</f>
        <v/>
      </c>
      <c r="L1362" s="44" t="n"/>
      <c r="M1362" s="45" t="n"/>
      <c r="N1362" s="39" t="n"/>
      <c r="O1362" s="46" t="n"/>
    </row>
    <row r="1363">
      <c r="H1363" s="47">
        <f>IF(AND(E1363&lt;&gt;"",F1363&lt;&gt;""), F1363-E1363, IF(G1363&lt;&gt;"", G1363, 0))</f>
        <v/>
      </c>
      <c r="I1363" s="48">
        <f>H1363*Settings!$B$5</f>
        <v/>
      </c>
      <c r="K1363">
        <f>IF(AND(A1363&lt;&gt;"",C1363&lt;&gt;"",D1363&lt;&gt;"",H1363&gt;0),"✓","⚠ missing")</f>
        <v/>
      </c>
      <c r="L1363" s="44" t="n"/>
      <c r="M1363" s="45" t="n"/>
      <c r="N1363" s="39" t="n"/>
      <c r="O1363" s="46" t="n"/>
    </row>
    <row r="1364">
      <c r="H1364" s="47">
        <f>IF(AND(E1364&lt;&gt;"",F1364&lt;&gt;""), F1364-E1364, IF(G1364&lt;&gt;"", G1364, 0))</f>
        <v/>
      </c>
      <c r="I1364" s="48">
        <f>H1364*Settings!$B$5</f>
        <v/>
      </c>
      <c r="K1364">
        <f>IF(AND(A1364&lt;&gt;"",C1364&lt;&gt;"",D1364&lt;&gt;"",H1364&gt;0),"✓","⚠ missing")</f>
        <v/>
      </c>
      <c r="L1364" s="44" t="n"/>
      <c r="M1364" s="45" t="n"/>
      <c r="N1364" s="39" t="n"/>
      <c r="O1364" s="46" t="n"/>
    </row>
    <row r="1365">
      <c r="H1365" s="47">
        <f>IF(AND(E1365&lt;&gt;"",F1365&lt;&gt;""), F1365-E1365, IF(G1365&lt;&gt;"", G1365, 0))</f>
        <v/>
      </c>
      <c r="I1365" s="48">
        <f>H1365*Settings!$B$5</f>
        <v/>
      </c>
      <c r="K1365">
        <f>IF(AND(A1365&lt;&gt;"",C1365&lt;&gt;"",D1365&lt;&gt;"",H1365&gt;0),"✓","⚠ missing")</f>
        <v/>
      </c>
      <c r="L1365" s="44" t="n"/>
      <c r="M1365" s="45" t="n"/>
      <c r="N1365" s="39" t="n"/>
      <c r="O1365" s="46" t="n"/>
    </row>
    <row r="1366">
      <c r="H1366" s="47">
        <f>IF(AND(E1366&lt;&gt;"",F1366&lt;&gt;""), F1366-E1366, IF(G1366&lt;&gt;"", G1366, 0))</f>
        <v/>
      </c>
      <c r="I1366" s="48">
        <f>H1366*Settings!$B$5</f>
        <v/>
      </c>
      <c r="K1366">
        <f>IF(AND(A1366&lt;&gt;"",C1366&lt;&gt;"",D1366&lt;&gt;"",H1366&gt;0),"✓","⚠ missing")</f>
        <v/>
      </c>
      <c r="L1366" s="44" t="n"/>
      <c r="M1366" s="45" t="n"/>
      <c r="N1366" s="39" t="n"/>
      <c r="O1366" s="46" t="n"/>
    </row>
    <row r="1367">
      <c r="H1367" s="47">
        <f>IF(AND(E1367&lt;&gt;"",F1367&lt;&gt;""), F1367-E1367, IF(G1367&lt;&gt;"", G1367, 0))</f>
        <v/>
      </c>
      <c r="I1367" s="48">
        <f>H1367*Settings!$B$5</f>
        <v/>
      </c>
      <c r="K1367">
        <f>IF(AND(A1367&lt;&gt;"",C1367&lt;&gt;"",D1367&lt;&gt;"",H1367&gt;0),"✓","⚠ missing")</f>
        <v/>
      </c>
      <c r="L1367" s="44" t="n"/>
      <c r="M1367" s="45" t="n"/>
      <c r="N1367" s="39" t="n"/>
      <c r="O1367" s="46" t="n"/>
    </row>
    <row r="1368">
      <c r="H1368" s="47">
        <f>IF(AND(E1368&lt;&gt;"",F1368&lt;&gt;""), F1368-E1368, IF(G1368&lt;&gt;"", G1368, 0))</f>
        <v/>
      </c>
      <c r="I1368" s="48">
        <f>H1368*Settings!$B$5</f>
        <v/>
      </c>
      <c r="K1368">
        <f>IF(AND(A1368&lt;&gt;"",C1368&lt;&gt;"",D1368&lt;&gt;"",H1368&gt;0),"✓","⚠ missing")</f>
        <v/>
      </c>
      <c r="L1368" s="44" t="n"/>
      <c r="M1368" s="45" t="n"/>
      <c r="N1368" s="39" t="n"/>
      <c r="O1368" s="46" t="n"/>
    </row>
    <row r="1369">
      <c r="H1369" s="47">
        <f>IF(AND(E1369&lt;&gt;"",F1369&lt;&gt;""), F1369-E1369, IF(G1369&lt;&gt;"", G1369, 0))</f>
        <v/>
      </c>
      <c r="I1369" s="48">
        <f>H1369*Settings!$B$5</f>
        <v/>
      </c>
      <c r="K1369">
        <f>IF(AND(A1369&lt;&gt;"",C1369&lt;&gt;"",D1369&lt;&gt;"",H1369&gt;0),"✓","⚠ missing")</f>
        <v/>
      </c>
      <c r="L1369" s="44" t="n"/>
      <c r="M1369" s="45" t="n"/>
      <c r="N1369" s="39" t="n"/>
      <c r="O1369" s="46" t="n"/>
    </row>
    <row r="1370">
      <c r="H1370" s="47">
        <f>IF(AND(E1370&lt;&gt;"",F1370&lt;&gt;""), F1370-E1370, IF(G1370&lt;&gt;"", G1370, 0))</f>
        <v/>
      </c>
      <c r="I1370" s="48">
        <f>H1370*Settings!$B$5</f>
        <v/>
      </c>
      <c r="K1370">
        <f>IF(AND(A1370&lt;&gt;"",C1370&lt;&gt;"",D1370&lt;&gt;"",H1370&gt;0),"✓","⚠ missing")</f>
        <v/>
      </c>
      <c r="L1370" s="44" t="n"/>
      <c r="M1370" s="45" t="n"/>
      <c r="N1370" s="39" t="n"/>
      <c r="O1370" s="46" t="n"/>
    </row>
    <row r="1371">
      <c r="H1371" s="47">
        <f>IF(AND(E1371&lt;&gt;"",F1371&lt;&gt;""), F1371-E1371, IF(G1371&lt;&gt;"", G1371, 0))</f>
        <v/>
      </c>
      <c r="I1371" s="48">
        <f>H1371*Settings!$B$5</f>
        <v/>
      </c>
      <c r="K1371">
        <f>IF(AND(A1371&lt;&gt;"",C1371&lt;&gt;"",D1371&lt;&gt;"",H1371&gt;0),"✓","⚠ missing")</f>
        <v/>
      </c>
      <c r="L1371" s="44" t="n"/>
      <c r="M1371" s="45" t="n"/>
      <c r="N1371" s="39" t="n"/>
      <c r="O1371" s="46" t="n"/>
    </row>
    <row r="1372">
      <c r="H1372" s="47">
        <f>IF(AND(E1372&lt;&gt;"",F1372&lt;&gt;""), F1372-E1372, IF(G1372&lt;&gt;"", G1372, 0))</f>
        <v/>
      </c>
      <c r="I1372" s="48">
        <f>H1372*Settings!$B$5</f>
        <v/>
      </c>
      <c r="K1372">
        <f>IF(AND(A1372&lt;&gt;"",C1372&lt;&gt;"",D1372&lt;&gt;"",H1372&gt;0),"✓","⚠ missing")</f>
        <v/>
      </c>
      <c r="L1372" s="44" t="n"/>
      <c r="M1372" s="45" t="n"/>
      <c r="N1372" s="39" t="n"/>
      <c r="O1372" s="46" t="n"/>
    </row>
    <row r="1373">
      <c r="H1373" s="47">
        <f>IF(AND(E1373&lt;&gt;"",F1373&lt;&gt;""), F1373-E1373, IF(G1373&lt;&gt;"", G1373, 0))</f>
        <v/>
      </c>
      <c r="I1373" s="48">
        <f>H1373*Settings!$B$5</f>
        <v/>
      </c>
      <c r="K1373">
        <f>IF(AND(A1373&lt;&gt;"",C1373&lt;&gt;"",D1373&lt;&gt;"",H1373&gt;0),"✓","⚠ missing")</f>
        <v/>
      </c>
      <c r="L1373" s="44" t="n"/>
      <c r="M1373" s="45" t="n"/>
      <c r="N1373" s="39" t="n"/>
      <c r="O1373" s="46" t="n"/>
    </row>
    <row r="1374">
      <c r="H1374" s="47">
        <f>IF(AND(E1374&lt;&gt;"",F1374&lt;&gt;""), F1374-E1374, IF(G1374&lt;&gt;"", G1374, 0))</f>
        <v/>
      </c>
      <c r="I1374" s="48">
        <f>H1374*Settings!$B$5</f>
        <v/>
      </c>
      <c r="K1374">
        <f>IF(AND(A1374&lt;&gt;"",C1374&lt;&gt;"",D1374&lt;&gt;"",H1374&gt;0),"✓","⚠ missing")</f>
        <v/>
      </c>
      <c r="L1374" s="44" t="n"/>
      <c r="M1374" s="45" t="n"/>
      <c r="N1374" s="39" t="n"/>
      <c r="O1374" s="46" t="n"/>
    </row>
    <row r="1375">
      <c r="H1375" s="47">
        <f>IF(AND(E1375&lt;&gt;"",F1375&lt;&gt;""), F1375-E1375, IF(G1375&lt;&gt;"", G1375, 0))</f>
        <v/>
      </c>
      <c r="I1375" s="48">
        <f>H1375*Settings!$B$5</f>
        <v/>
      </c>
      <c r="K1375">
        <f>IF(AND(A1375&lt;&gt;"",C1375&lt;&gt;"",D1375&lt;&gt;"",H1375&gt;0),"✓","⚠ missing")</f>
        <v/>
      </c>
      <c r="L1375" s="44" t="n"/>
      <c r="M1375" s="45" t="n"/>
      <c r="N1375" s="39" t="n"/>
      <c r="O1375" s="46" t="n"/>
    </row>
    <row r="1376">
      <c r="H1376" s="47">
        <f>IF(AND(E1376&lt;&gt;"",F1376&lt;&gt;""), F1376-E1376, IF(G1376&lt;&gt;"", G1376, 0))</f>
        <v/>
      </c>
      <c r="I1376" s="48">
        <f>H1376*Settings!$B$5</f>
        <v/>
      </c>
      <c r="K1376">
        <f>IF(AND(A1376&lt;&gt;"",C1376&lt;&gt;"",D1376&lt;&gt;"",H1376&gt;0),"✓","⚠ missing")</f>
        <v/>
      </c>
      <c r="L1376" s="44" t="n"/>
      <c r="M1376" s="45" t="n"/>
      <c r="N1376" s="39" t="n"/>
      <c r="O1376" s="46" t="n"/>
    </row>
    <row r="1377">
      <c r="H1377" s="47">
        <f>IF(AND(E1377&lt;&gt;"",F1377&lt;&gt;""), F1377-E1377, IF(G1377&lt;&gt;"", G1377, 0))</f>
        <v/>
      </c>
      <c r="I1377" s="48">
        <f>H1377*Settings!$B$5</f>
        <v/>
      </c>
      <c r="K1377">
        <f>IF(AND(A1377&lt;&gt;"",C1377&lt;&gt;"",D1377&lt;&gt;"",H1377&gt;0),"✓","⚠ missing")</f>
        <v/>
      </c>
      <c r="L1377" s="44" t="n"/>
      <c r="M1377" s="45" t="n"/>
      <c r="N1377" s="39" t="n"/>
      <c r="O1377" s="46" t="n"/>
    </row>
    <row r="1378">
      <c r="H1378" s="47">
        <f>IF(AND(E1378&lt;&gt;"",F1378&lt;&gt;""), F1378-E1378, IF(G1378&lt;&gt;"", G1378, 0))</f>
        <v/>
      </c>
      <c r="I1378" s="48">
        <f>H1378*Settings!$B$5</f>
        <v/>
      </c>
      <c r="K1378">
        <f>IF(AND(A1378&lt;&gt;"",C1378&lt;&gt;"",D1378&lt;&gt;"",H1378&gt;0),"✓","⚠ missing")</f>
        <v/>
      </c>
      <c r="L1378" s="44" t="n"/>
      <c r="M1378" s="45" t="n"/>
      <c r="N1378" s="39" t="n"/>
      <c r="O1378" s="46" t="n"/>
    </row>
    <row r="1379">
      <c r="H1379" s="47">
        <f>IF(AND(E1379&lt;&gt;"",F1379&lt;&gt;""), F1379-E1379, IF(G1379&lt;&gt;"", G1379, 0))</f>
        <v/>
      </c>
      <c r="I1379" s="48">
        <f>H1379*Settings!$B$5</f>
        <v/>
      </c>
      <c r="K1379">
        <f>IF(AND(A1379&lt;&gt;"",C1379&lt;&gt;"",D1379&lt;&gt;"",H1379&gt;0),"✓","⚠ missing")</f>
        <v/>
      </c>
      <c r="L1379" s="44" t="n"/>
      <c r="M1379" s="45" t="n"/>
      <c r="N1379" s="39" t="n"/>
      <c r="O1379" s="46" t="n"/>
    </row>
    <row r="1380">
      <c r="H1380" s="47">
        <f>IF(AND(E1380&lt;&gt;"",F1380&lt;&gt;""), F1380-E1380, IF(G1380&lt;&gt;"", G1380, 0))</f>
        <v/>
      </c>
      <c r="I1380" s="48">
        <f>H1380*Settings!$B$5</f>
        <v/>
      </c>
      <c r="K1380">
        <f>IF(AND(A1380&lt;&gt;"",C1380&lt;&gt;"",D1380&lt;&gt;"",H1380&gt;0),"✓","⚠ missing")</f>
        <v/>
      </c>
      <c r="L1380" s="44" t="n"/>
      <c r="M1380" s="45" t="n"/>
      <c r="N1380" s="39" t="n"/>
      <c r="O1380" s="46" t="n"/>
    </row>
    <row r="1381">
      <c r="H1381" s="47">
        <f>IF(AND(E1381&lt;&gt;"",F1381&lt;&gt;""), F1381-E1381, IF(G1381&lt;&gt;"", G1381, 0))</f>
        <v/>
      </c>
      <c r="I1381" s="48">
        <f>H1381*Settings!$B$5</f>
        <v/>
      </c>
      <c r="K1381">
        <f>IF(AND(A1381&lt;&gt;"",C1381&lt;&gt;"",D1381&lt;&gt;"",H1381&gt;0),"✓","⚠ missing")</f>
        <v/>
      </c>
      <c r="L1381" s="44" t="n"/>
      <c r="M1381" s="45" t="n"/>
      <c r="N1381" s="39" t="n"/>
      <c r="O1381" s="46" t="n"/>
    </row>
    <row r="1382">
      <c r="H1382" s="47">
        <f>IF(AND(E1382&lt;&gt;"",F1382&lt;&gt;""), F1382-E1382, IF(G1382&lt;&gt;"", G1382, 0))</f>
        <v/>
      </c>
      <c r="I1382" s="48">
        <f>H1382*Settings!$B$5</f>
        <v/>
      </c>
      <c r="K1382">
        <f>IF(AND(A1382&lt;&gt;"",C1382&lt;&gt;"",D1382&lt;&gt;"",H1382&gt;0),"✓","⚠ missing")</f>
        <v/>
      </c>
      <c r="L1382" s="44" t="n"/>
      <c r="M1382" s="45" t="n"/>
      <c r="N1382" s="39" t="n"/>
      <c r="O1382" s="46" t="n"/>
    </row>
    <row r="1383">
      <c r="H1383" s="47">
        <f>IF(AND(E1383&lt;&gt;"",F1383&lt;&gt;""), F1383-E1383, IF(G1383&lt;&gt;"", G1383, 0))</f>
        <v/>
      </c>
      <c r="I1383" s="48">
        <f>H1383*Settings!$B$5</f>
        <v/>
      </c>
      <c r="K1383">
        <f>IF(AND(A1383&lt;&gt;"",C1383&lt;&gt;"",D1383&lt;&gt;"",H1383&gt;0),"✓","⚠ missing")</f>
        <v/>
      </c>
      <c r="L1383" s="44" t="n"/>
      <c r="M1383" s="45" t="n"/>
      <c r="N1383" s="39" t="n"/>
      <c r="O1383" s="46" t="n"/>
    </row>
    <row r="1384">
      <c r="H1384" s="47">
        <f>IF(AND(E1384&lt;&gt;"",F1384&lt;&gt;""), F1384-E1384, IF(G1384&lt;&gt;"", G1384, 0))</f>
        <v/>
      </c>
      <c r="I1384" s="48">
        <f>H1384*Settings!$B$5</f>
        <v/>
      </c>
      <c r="K1384">
        <f>IF(AND(A1384&lt;&gt;"",C1384&lt;&gt;"",D1384&lt;&gt;"",H1384&gt;0),"✓","⚠ missing")</f>
        <v/>
      </c>
      <c r="L1384" s="44" t="n"/>
      <c r="M1384" s="45" t="n"/>
      <c r="N1384" s="39" t="n"/>
      <c r="O1384" s="46" t="n"/>
    </row>
    <row r="1385">
      <c r="H1385" s="47">
        <f>IF(AND(E1385&lt;&gt;"",F1385&lt;&gt;""), F1385-E1385, IF(G1385&lt;&gt;"", G1385, 0))</f>
        <v/>
      </c>
      <c r="I1385" s="48">
        <f>H1385*Settings!$B$5</f>
        <v/>
      </c>
      <c r="K1385">
        <f>IF(AND(A1385&lt;&gt;"",C1385&lt;&gt;"",D1385&lt;&gt;"",H1385&gt;0),"✓","⚠ missing")</f>
        <v/>
      </c>
      <c r="L1385" s="44" t="n"/>
      <c r="M1385" s="45" t="n"/>
      <c r="N1385" s="39" t="n"/>
      <c r="O1385" s="46" t="n"/>
    </row>
    <row r="1386">
      <c r="H1386" s="47">
        <f>IF(AND(E1386&lt;&gt;"",F1386&lt;&gt;""), F1386-E1386, IF(G1386&lt;&gt;"", G1386, 0))</f>
        <v/>
      </c>
      <c r="I1386" s="48">
        <f>H1386*Settings!$B$5</f>
        <v/>
      </c>
      <c r="K1386">
        <f>IF(AND(A1386&lt;&gt;"",C1386&lt;&gt;"",D1386&lt;&gt;"",H1386&gt;0),"✓","⚠ missing")</f>
        <v/>
      </c>
      <c r="L1386" s="44" t="n"/>
      <c r="M1386" s="45" t="n"/>
      <c r="N1386" s="39" t="n"/>
      <c r="O1386" s="46" t="n"/>
    </row>
    <row r="1387">
      <c r="H1387" s="47">
        <f>IF(AND(E1387&lt;&gt;"",F1387&lt;&gt;""), F1387-E1387, IF(G1387&lt;&gt;"", G1387, 0))</f>
        <v/>
      </c>
      <c r="I1387" s="48">
        <f>H1387*Settings!$B$5</f>
        <v/>
      </c>
      <c r="K1387">
        <f>IF(AND(A1387&lt;&gt;"",C1387&lt;&gt;"",D1387&lt;&gt;"",H1387&gt;0),"✓","⚠ missing")</f>
        <v/>
      </c>
      <c r="L1387" s="44" t="n"/>
      <c r="M1387" s="45" t="n"/>
      <c r="N1387" s="39" t="n"/>
      <c r="O1387" s="46" t="n"/>
    </row>
    <row r="1388">
      <c r="H1388" s="47">
        <f>IF(AND(E1388&lt;&gt;"",F1388&lt;&gt;""), F1388-E1388, IF(G1388&lt;&gt;"", G1388, 0))</f>
        <v/>
      </c>
      <c r="I1388" s="48">
        <f>H1388*Settings!$B$5</f>
        <v/>
      </c>
      <c r="K1388">
        <f>IF(AND(A1388&lt;&gt;"",C1388&lt;&gt;"",D1388&lt;&gt;"",H1388&gt;0),"✓","⚠ missing")</f>
        <v/>
      </c>
      <c r="L1388" s="44" t="n"/>
      <c r="M1388" s="45" t="n"/>
      <c r="N1388" s="39" t="n"/>
      <c r="O1388" s="46" t="n"/>
    </row>
    <row r="1389">
      <c r="H1389" s="47">
        <f>IF(AND(E1389&lt;&gt;"",F1389&lt;&gt;""), F1389-E1389, IF(G1389&lt;&gt;"", G1389, 0))</f>
        <v/>
      </c>
      <c r="I1389" s="48">
        <f>H1389*Settings!$B$5</f>
        <v/>
      </c>
      <c r="K1389">
        <f>IF(AND(A1389&lt;&gt;"",C1389&lt;&gt;"",D1389&lt;&gt;"",H1389&gt;0),"✓","⚠ missing")</f>
        <v/>
      </c>
      <c r="L1389" s="44" t="n"/>
      <c r="M1389" s="45" t="n"/>
      <c r="N1389" s="39" t="n"/>
      <c r="O1389" s="46" t="n"/>
    </row>
    <row r="1390">
      <c r="H1390" s="47">
        <f>IF(AND(E1390&lt;&gt;"",F1390&lt;&gt;""), F1390-E1390, IF(G1390&lt;&gt;"", G1390, 0))</f>
        <v/>
      </c>
      <c r="I1390" s="48">
        <f>H1390*Settings!$B$5</f>
        <v/>
      </c>
      <c r="K1390">
        <f>IF(AND(A1390&lt;&gt;"",C1390&lt;&gt;"",D1390&lt;&gt;"",H1390&gt;0),"✓","⚠ missing")</f>
        <v/>
      </c>
      <c r="L1390" s="44" t="n"/>
      <c r="M1390" s="45" t="n"/>
      <c r="N1390" s="39" t="n"/>
      <c r="O1390" s="46" t="n"/>
    </row>
    <row r="1391">
      <c r="H1391" s="47">
        <f>IF(AND(E1391&lt;&gt;"",F1391&lt;&gt;""), F1391-E1391, IF(G1391&lt;&gt;"", G1391, 0))</f>
        <v/>
      </c>
      <c r="I1391" s="48">
        <f>H1391*Settings!$B$5</f>
        <v/>
      </c>
      <c r="K1391">
        <f>IF(AND(A1391&lt;&gt;"",C1391&lt;&gt;"",D1391&lt;&gt;"",H1391&gt;0),"✓","⚠ missing")</f>
        <v/>
      </c>
      <c r="L1391" s="44" t="n"/>
      <c r="M1391" s="45" t="n"/>
      <c r="N1391" s="39" t="n"/>
      <c r="O1391" s="46" t="n"/>
    </row>
    <row r="1392">
      <c r="H1392" s="47">
        <f>IF(AND(E1392&lt;&gt;"",F1392&lt;&gt;""), F1392-E1392, IF(G1392&lt;&gt;"", G1392, 0))</f>
        <v/>
      </c>
      <c r="I1392" s="48">
        <f>H1392*Settings!$B$5</f>
        <v/>
      </c>
      <c r="K1392">
        <f>IF(AND(A1392&lt;&gt;"",C1392&lt;&gt;"",D1392&lt;&gt;"",H1392&gt;0),"✓","⚠ missing")</f>
        <v/>
      </c>
      <c r="L1392" s="44" t="n"/>
      <c r="M1392" s="45" t="n"/>
      <c r="N1392" s="39" t="n"/>
      <c r="O1392" s="46" t="n"/>
    </row>
    <row r="1393">
      <c r="H1393" s="47">
        <f>IF(AND(E1393&lt;&gt;"",F1393&lt;&gt;""), F1393-E1393, IF(G1393&lt;&gt;"", G1393, 0))</f>
        <v/>
      </c>
      <c r="I1393" s="48">
        <f>H1393*Settings!$B$5</f>
        <v/>
      </c>
      <c r="K1393">
        <f>IF(AND(A1393&lt;&gt;"",C1393&lt;&gt;"",D1393&lt;&gt;"",H1393&gt;0),"✓","⚠ missing")</f>
        <v/>
      </c>
      <c r="L1393" s="44" t="n"/>
      <c r="M1393" s="45" t="n"/>
      <c r="N1393" s="39" t="n"/>
      <c r="O1393" s="46" t="n"/>
    </row>
    <row r="1394">
      <c r="H1394" s="47">
        <f>IF(AND(E1394&lt;&gt;"",F1394&lt;&gt;""), F1394-E1394, IF(G1394&lt;&gt;"", G1394, 0))</f>
        <v/>
      </c>
      <c r="I1394" s="48">
        <f>H1394*Settings!$B$5</f>
        <v/>
      </c>
      <c r="K1394">
        <f>IF(AND(A1394&lt;&gt;"",C1394&lt;&gt;"",D1394&lt;&gt;"",H1394&gt;0),"✓","⚠ missing")</f>
        <v/>
      </c>
      <c r="L1394" s="44" t="n"/>
      <c r="M1394" s="45" t="n"/>
      <c r="N1394" s="39" t="n"/>
      <c r="O1394" s="46" t="n"/>
    </row>
    <row r="1395">
      <c r="H1395" s="47">
        <f>IF(AND(E1395&lt;&gt;"",F1395&lt;&gt;""), F1395-E1395, IF(G1395&lt;&gt;"", G1395, 0))</f>
        <v/>
      </c>
      <c r="I1395" s="48">
        <f>H1395*Settings!$B$5</f>
        <v/>
      </c>
      <c r="K1395">
        <f>IF(AND(A1395&lt;&gt;"",C1395&lt;&gt;"",D1395&lt;&gt;"",H1395&gt;0),"✓","⚠ missing")</f>
        <v/>
      </c>
      <c r="L1395" s="44" t="n"/>
      <c r="M1395" s="45" t="n"/>
      <c r="N1395" s="39" t="n"/>
      <c r="O1395" s="46" t="n"/>
    </row>
    <row r="1396">
      <c r="H1396" s="47">
        <f>IF(AND(E1396&lt;&gt;"",F1396&lt;&gt;""), F1396-E1396, IF(G1396&lt;&gt;"", G1396, 0))</f>
        <v/>
      </c>
      <c r="I1396" s="48">
        <f>H1396*Settings!$B$5</f>
        <v/>
      </c>
      <c r="K1396">
        <f>IF(AND(A1396&lt;&gt;"",C1396&lt;&gt;"",D1396&lt;&gt;"",H1396&gt;0),"✓","⚠ missing")</f>
        <v/>
      </c>
      <c r="L1396" s="44" t="n"/>
      <c r="M1396" s="45" t="n"/>
      <c r="N1396" s="39" t="n"/>
      <c r="O1396" s="46" t="n"/>
    </row>
    <row r="1397">
      <c r="H1397" s="47">
        <f>IF(AND(E1397&lt;&gt;"",F1397&lt;&gt;""), F1397-E1397, IF(G1397&lt;&gt;"", G1397, 0))</f>
        <v/>
      </c>
      <c r="I1397" s="48">
        <f>H1397*Settings!$B$5</f>
        <v/>
      </c>
      <c r="K1397">
        <f>IF(AND(A1397&lt;&gt;"",C1397&lt;&gt;"",D1397&lt;&gt;"",H1397&gt;0),"✓","⚠ missing")</f>
        <v/>
      </c>
      <c r="L1397" s="44" t="n"/>
      <c r="M1397" s="45" t="n"/>
      <c r="N1397" s="39" t="n"/>
      <c r="O1397" s="46" t="n"/>
    </row>
    <row r="1398">
      <c r="H1398" s="47">
        <f>IF(AND(E1398&lt;&gt;"",F1398&lt;&gt;""), F1398-E1398, IF(G1398&lt;&gt;"", G1398, 0))</f>
        <v/>
      </c>
      <c r="I1398" s="48">
        <f>H1398*Settings!$B$5</f>
        <v/>
      </c>
      <c r="K1398">
        <f>IF(AND(A1398&lt;&gt;"",C1398&lt;&gt;"",D1398&lt;&gt;"",H1398&gt;0),"✓","⚠ missing")</f>
        <v/>
      </c>
      <c r="L1398" s="44" t="n"/>
      <c r="M1398" s="45" t="n"/>
      <c r="N1398" s="39" t="n"/>
      <c r="O1398" s="46" t="n"/>
    </row>
    <row r="1399">
      <c r="H1399" s="47">
        <f>IF(AND(E1399&lt;&gt;"",F1399&lt;&gt;""), F1399-E1399, IF(G1399&lt;&gt;"", G1399, 0))</f>
        <v/>
      </c>
      <c r="I1399" s="48">
        <f>H1399*Settings!$B$5</f>
        <v/>
      </c>
      <c r="K1399">
        <f>IF(AND(A1399&lt;&gt;"",C1399&lt;&gt;"",D1399&lt;&gt;"",H1399&gt;0),"✓","⚠ missing")</f>
        <v/>
      </c>
      <c r="L1399" s="44" t="n"/>
      <c r="M1399" s="45" t="n"/>
      <c r="N1399" s="39" t="n"/>
      <c r="O1399" s="46" t="n"/>
    </row>
    <row r="1400">
      <c r="H1400" s="47">
        <f>IF(AND(E1400&lt;&gt;"",F1400&lt;&gt;""), F1400-E1400, IF(G1400&lt;&gt;"", G1400, 0))</f>
        <v/>
      </c>
      <c r="I1400" s="48">
        <f>H1400*Settings!$B$5</f>
        <v/>
      </c>
      <c r="K1400">
        <f>IF(AND(A1400&lt;&gt;"",C1400&lt;&gt;"",D1400&lt;&gt;"",H1400&gt;0),"✓","⚠ missing")</f>
        <v/>
      </c>
      <c r="L1400" s="44" t="n"/>
      <c r="M1400" s="45" t="n"/>
      <c r="N1400" s="39" t="n"/>
      <c r="O1400" s="46" t="n"/>
    </row>
    <row r="1401">
      <c r="H1401" s="47">
        <f>IF(AND(E1401&lt;&gt;"",F1401&lt;&gt;""), F1401-E1401, IF(G1401&lt;&gt;"", G1401, 0))</f>
        <v/>
      </c>
      <c r="I1401" s="48">
        <f>H1401*Settings!$B$5</f>
        <v/>
      </c>
      <c r="K1401">
        <f>IF(AND(A1401&lt;&gt;"",C1401&lt;&gt;"",D1401&lt;&gt;"",H1401&gt;0),"✓","⚠ missing")</f>
        <v/>
      </c>
      <c r="L1401" s="44" t="n"/>
      <c r="M1401" s="45" t="n"/>
      <c r="N1401" s="39" t="n"/>
      <c r="O1401" s="46" t="n"/>
    </row>
    <row r="1402">
      <c r="H1402" s="47">
        <f>IF(AND(E1402&lt;&gt;"",F1402&lt;&gt;""), F1402-E1402, IF(G1402&lt;&gt;"", G1402, 0))</f>
        <v/>
      </c>
      <c r="I1402" s="48">
        <f>H1402*Settings!$B$5</f>
        <v/>
      </c>
      <c r="K1402">
        <f>IF(AND(A1402&lt;&gt;"",C1402&lt;&gt;"",D1402&lt;&gt;"",H1402&gt;0),"✓","⚠ missing")</f>
        <v/>
      </c>
      <c r="L1402" s="44" t="n"/>
      <c r="M1402" s="45" t="n"/>
      <c r="N1402" s="39" t="n"/>
      <c r="O1402" s="46" t="n"/>
    </row>
    <row r="1403">
      <c r="H1403" s="47">
        <f>IF(AND(E1403&lt;&gt;"",F1403&lt;&gt;""), F1403-E1403, IF(G1403&lt;&gt;"", G1403, 0))</f>
        <v/>
      </c>
      <c r="I1403" s="48">
        <f>H1403*Settings!$B$5</f>
        <v/>
      </c>
      <c r="K1403">
        <f>IF(AND(A1403&lt;&gt;"",C1403&lt;&gt;"",D1403&lt;&gt;"",H1403&gt;0),"✓","⚠ missing")</f>
        <v/>
      </c>
      <c r="L1403" s="44" t="n"/>
      <c r="M1403" s="45" t="n"/>
      <c r="N1403" s="39" t="n"/>
      <c r="O1403" s="46" t="n"/>
    </row>
    <row r="1404">
      <c r="H1404" s="47">
        <f>IF(AND(E1404&lt;&gt;"",F1404&lt;&gt;""), F1404-E1404, IF(G1404&lt;&gt;"", G1404, 0))</f>
        <v/>
      </c>
      <c r="I1404" s="48">
        <f>H1404*Settings!$B$5</f>
        <v/>
      </c>
      <c r="K1404">
        <f>IF(AND(A1404&lt;&gt;"",C1404&lt;&gt;"",D1404&lt;&gt;"",H1404&gt;0),"✓","⚠ missing")</f>
        <v/>
      </c>
      <c r="L1404" s="44" t="n"/>
      <c r="M1404" s="45" t="n"/>
      <c r="N1404" s="39" t="n"/>
      <c r="O1404" s="46" t="n"/>
    </row>
    <row r="1405">
      <c r="H1405" s="47">
        <f>IF(AND(E1405&lt;&gt;"",F1405&lt;&gt;""), F1405-E1405, IF(G1405&lt;&gt;"", G1405, 0))</f>
        <v/>
      </c>
      <c r="I1405" s="48">
        <f>H1405*Settings!$B$5</f>
        <v/>
      </c>
      <c r="K1405">
        <f>IF(AND(A1405&lt;&gt;"",C1405&lt;&gt;"",D1405&lt;&gt;"",H1405&gt;0),"✓","⚠ missing")</f>
        <v/>
      </c>
      <c r="L1405" s="44" t="n"/>
      <c r="M1405" s="45" t="n"/>
      <c r="N1405" s="39" t="n"/>
      <c r="O1405" s="46" t="n"/>
    </row>
    <row r="1406">
      <c r="H1406" s="47">
        <f>IF(AND(E1406&lt;&gt;"",F1406&lt;&gt;""), F1406-E1406, IF(G1406&lt;&gt;"", G1406, 0))</f>
        <v/>
      </c>
      <c r="I1406" s="48">
        <f>H1406*Settings!$B$5</f>
        <v/>
      </c>
      <c r="K1406">
        <f>IF(AND(A1406&lt;&gt;"",C1406&lt;&gt;"",D1406&lt;&gt;"",H1406&gt;0),"✓","⚠ missing")</f>
        <v/>
      </c>
      <c r="L1406" s="44" t="n"/>
      <c r="M1406" s="45" t="n"/>
      <c r="N1406" s="39" t="n"/>
      <c r="O1406" s="46" t="n"/>
    </row>
    <row r="1407">
      <c r="H1407" s="47">
        <f>IF(AND(E1407&lt;&gt;"",F1407&lt;&gt;""), F1407-E1407, IF(G1407&lt;&gt;"", G1407, 0))</f>
        <v/>
      </c>
      <c r="I1407" s="48">
        <f>H1407*Settings!$B$5</f>
        <v/>
      </c>
      <c r="K1407">
        <f>IF(AND(A1407&lt;&gt;"",C1407&lt;&gt;"",D1407&lt;&gt;"",H1407&gt;0),"✓","⚠ missing")</f>
        <v/>
      </c>
      <c r="L1407" s="44" t="n"/>
      <c r="M1407" s="45" t="n"/>
      <c r="N1407" s="39" t="n"/>
      <c r="O1407" s="46" t="n"/>
    </row>
    <row r="1408">
      <c r="H1408" s="47">
        <f>IF(AND(E1408&lt;&gt;"",F1408&lt;&gt;""), F1408-E1408, IF(G1408&lt;&gt;"", G1408, 0))</f>
        <v/>
      </c>
      <c r="I1408" s="48">
        <f>H1408*Settings!$B$5</f>
        <v/>
      </c>
      <c r="K1408">
        <f>IF(AND(A1408&lt;&gt;"",C1408&lt;&gt;"",D1408&lt;&gt;"",H1408&gt;0),"✓","⚠ missing")</f>
        <v/>
      </c>
      <c r="L1408" s="44" t="n"/>
      <c r="M1408" s="45" t="n"/>
      <c r="N1408" s="39" t="n"/>
      <c r="O1408" s="46" t="n"/>
    </row>
    <row r="1409">
      <c r="H1409" s="47">
        <f>IF(AND(E1409&lt;&gt;"",F1409&lt;&gt;""), F1409-E1409, IF(G1409&lt;&gt;"", G1409, 0))</f>
        <v/>
      </c>
      <c r="I1409" s="48">
        <f>H1409*Settings!$B$5</f>
        <v/>
      </c>
      <c r="K1409">
        <f>IF(AND(A1409&lt;&gt;"",C1409&lt;&gt;"",D1409&lt;&gt;"",H1409&gt;0),"✓","⚠ missing")</f>
        <v/>
      </c>
      <c r="L1409" s="44" t="n"/>
      <c r="M1409" s="45" t="n"/>
      <c r="N1409" s="39" t="n"/>
      <c r="O1409" s="46" t="n"/>
    </row>
    <row r="1410">
      <c r="H1410" s="47">
        <f>IF(AND(E1410&lt;&gt;"",F1410&lt;&gt;""), F1410-E1410, IF(G1410&lt;&gt;"", G1410, 0))</f>
        <v/>
      </c>
      <c r="I1410" s="48">
        <f>H1410*Settings!$B$5</f>
        <v/>
      </c>
      <c r="K1410">
        <f>IF(AND(A1410&lt;&gt;"",C1410&lt;&gt;"",D1410&lt;&gt;"",H1410&gt;0),"✓","⚠ missing")</f>
        <v/>
      </c>
      <c r="L1410" s="44" t="n"/>
      <c r="M1410" s="45" t="n"/>
      <c r="N1410" s="39" t="n"/>
      <c r="O1410" s="46" t="n"/>
    </row>
    <row r="1411">
      <c r="H1411" s="47">
        <f>IF(AND(E1411&lt;&gt;"",F1411&lt;&gt;""), F1411-E1411, IF(G1411&lt;&gt;"", G1411, 0))</f>
        <v/>
      </c>
      <c r="I1411" s="48">
        <f>H1411*Settings!$B$5</f>
        <v/>
      </c>
      <c r="K1411">
        <f>IF(AND(A1411&lt;&gt;"",C1411&lt;&gt;"",D1411&lt;&gt;"",H1411&gt;0),"✓","⚠ missing")</f>
        <v/>
      </c>
      <c r="L1411" s="44" t="n"/>
      <c r="M1411" s="45" t="n"/>
      <c r="N1411" s="39" t="n"/>
      <c r="O1411" s="46" t="n"/>
    </row>
    <row r="1412">
      <c r="H1412" s="47">
        <f>IF(AND(E1412&lt;&gt;"",F1412&lt;&gt;""), F1412-E1412, IF(G1412&lt;&gt;"", G1412, 0))</f>
        <v/>
      </c>
      <c r="I1412" s="48">
        <f>H1412*Settings!$B$5</f>
        <v/>
      </c>
      <c r="K1412">
        <f>IF(AND(A1412&lt;&gt;"",C1412&lt;&gt;"",D1412&lt;&gt;"",H1412&gt;0),"✓","⚠ missing")</f>
        <v/>
      </c>
      <c r="L1412" s="44" t="n"/>
      <c r="M1412" s="45" t="n"/>
      <c r="N1412" s="39" t="n"/>
      <c r="O1412" s="46" t="n"/>
    </row>
    <row r="1413">
      <c r="H1413" s="47">
        <f>IF(AND(E1413&lt;&gt;"",F1413&lt;&gt;""), F1413-E1413, IF(G1413&lt;&gt;"", G1413, 0))</f>
        <v/>
      </c>
      <c r="I1413" s="48">
        <f>H1413*Settings!$B$5</f>
        <v/>
      </c>
      <c r="K1413">
        <f>IF(AND(A1413&lt;&gt;"",C1413&lt;&gt;"",D1413&lt;&gt;"",H1413&gt;0),"✓","⚠ missing")</f>
        <v/>
      </c>
      <c r="L1413" s="44" t="n"/>
      <c r="M1413" s="45" t="n"/>
      <c r="N1413" s="39" t="n"/>
      <c r="O1413" s="46" t="n"/>
    </row>
    <row r="1414">
      <c r="H1414" s="47">
        <f>IF(AND(E1414&lt;&gt;"",F1414&lt;&gt;""), F1414-E1414, IF(G1414&lt;&gt;"", G1414, 0))</f>
        <v/>
      </c>
      <c r="I1414" s="48">
        <f>H1414*Settings!$B$5</f>
        <v/>
      </c>
      <c r="K1414">
        <f>IF(AND(A1414&lt;&gt;"",C1414&lt;&gt;"",D1414&lt;&gt;"",H1414&gt;0),"✓","⚠ missing")</f>
        <v/>
      </c>
      <c r="L1414" s="44" t="n"/>
      <c r="M1414" s="45" t="n"/>
      <c r="N1414" s="39" t="n"/>
      <c r="O1414" s="46" t="n"/>
    </row>
    <row r="1415">
      <c r="H1415" s="47">
        <f>IF(AND(E1415&lt;&gt;"",F1415&lt;&gt;""), F1415-E1415, IF(G1415&lt;&gt;"", G1415, 0))</f>
        <v/>
      </c>
      <c r="I1415" s="48">
        <f>H1415*Settings!$B$5</f>
        <v/>
      </c>
      <c r="K1415">
        <f>IF(AND(A1415&lt;&gt;"",C1415&lt;&gt;"",D1415&lt;&gt;"",H1415&gt;0),"✓","⚠ missing")</f>
        <v/>
      </c>
      <c r="L1415" s="44" t="n"/>
      <c r="M1415" s="45" t="n"/>
      <c r="N1415" s="39" t="n"/>
      <c r="O1415" s="46" t="n"/>
    </row>
    <row r="1416">
      <c r="H1416" s="47">
        <f>IF(AND(E1416&lt;&gt;"",F1416&lt;&gt;""), F1416-E1416, IF(G1416&lt;&gt;"", G1416, 0))</f>
        <v/>
      </c>
      <c r="I1416" s="48">
        <f>H1416*Settings!$B$5</f>
        <v/>
      </c>
      <c r="K1416">
        <f>IF(AND(A1416&lt;&gt;"",C1416&lt;&gt;"",D1416&lt;&gt;"",H1416&gt;0),"✓","⚠ missing")</f>
        <v/>
      </c>
      <c r="L1416" s="44" t="n"/>
      <c r="M1416" s="45" t="n"/>
      <c r="N1416" s="39" t="n"/>
      <c r="O1416" s="46" t="n"/>
    </row>
    <row r="1417">
      <c r="H1417" s="47">
        <f>IF(AND(E1417&lt;&gt;"",F1417&lt;&gt;""), F1417-E1417, IF(G1417&lt;&gt;"", G1417, 0))</f>
        <v/>
      </c>
      <c r="I1417" s="48">
        <f>H1417*Settings!$B$5</f>
        <v/>
      </c>
      <c r="K1417">
        <f>IF(AND(A1417&lt;&gt;"",C1417&lt;&gt;"",D1417&lt;&gt;"",H1417&gt;0),"✓","⚠ missing")</f>
        <v/>
      </c>
      <c r="L1417" s="44" t="n"/>
      <c r="M1417" s="45" t="n"/>
      <c r="N1417" s="39" t="n"/>
      <c r="O1417" s="46" t="n"/>
    </row>
    <row r="1418">
      <c r="H1418" s="47">
        <f>IF(AND(E1418&lt;&gt;"",F1418&lt;&gt;""), F1418-E1418, IF(G1418&lt;&gt;"", G1418, 0))</f>
        <v/>
      </c>
      <c r="I1418" s="48">
        <f>H1418*Settings!$B$5</f>
        <v/>
      </c>
      <c r="K1418">
        <f>IF(AND(A1418&lt;&gt;"",C1418&lt;&gt;"",D1418&lt;&gt;"",H1418&gt;0),"✓","⚠ missing")</f>
        <v/>
      </c>
      <c r="L1418" s="44" t="n"/>
      <c r="M1418" s="45" t="n"/>
      <c r="N1418" s="39" t="n"/>
      <c r="O1418" s="46" t="n"/>
    </row>
    <row r="1419">
      <c r="H1419" s="47">
        <f>IF(AND(E1419&lt;&gt;"",F1419&lt;&gt;""), F1419-E1419, IF(G1419&lt;&gt;"", G1419, 0))</f>
        <v/>
      </c>
      <c r="I1419" s="48">
        <f>H1419*Settings!$B$5</f>
        <v/>
      </c>
      <c r="K1419">
        <f>IF(AND(A1419&lt;&gt;"",C1419&lt;&gt;"",D1419&lt;&gt;"",H1419&gt;0),"✓","⚠ missing")</f>
        <v/>
      </c>
      <c r="L1419" s="44" t="n"/>
      <c r="M1419" s="45" t="n"/>
      <c r="N1419" s="39" t="n"/>
      <c r="O1419" s="46" t="n"/>
    </row>
    <row r="1420">
      <c r="H1420" s="47">
        <f>IF(AND(E1420&lt;&gt;"",F1420&lt;&gt;""), F1420-E1420, IF(G1420&lt;&gt;"", G1420, 0))</f>
        <v/>
      </c>
      <c r="I1420" s="48">
        <f>H1420*Settings!$B$5</f>
        <v/>
      </c>
      <c r="K1420">
        <f>IF(AND(A1420&lt;&gt;"",C1420&lt;&gt;"",D1420&lt;&gt;"",H1420&gt;0),"✓","⚠ missing")</f>
        <v/>
      </c>
      <c r="L1420" s="44" t="n"/>
      <c r="M1420" s="45" t="n"/>
      <c r="N1420" s="39" t="n"/>
      <c r="O1420" s="46" t="n"/>
    </row>
    <row r="1421">
      <c r="H1421" s="47">
        <f>IF(AND(E1421&lt;&gt;"",F1421&lt;&gt;""), F1421-E1421, IF(G1421&lt;&gt;"", G1421, 0))</f>
        <v/>
      </c>
      <c r="I1421" s="48">
        <f>H1421*Settings!$B$5</f>
        <v/>
      </c>
      <c r="K1421">
        <f>IF(AND(A1421&lt;&gt;"",C1421&lt;&gt;"",D1421&lt;&gt;"",H1421&gt;0),"✓","⚠ missing")</f>
        <v/>
      </c>
      <c r="L1421" s="44" t="n"/>
      <c r="M1421" s="45" t="n"/>
      <c r="N1421" s="39" t="n"/>
      <c r="O1421" s="46" t="n"/>
    </row>
    <row r="1422">
      <c r="H1422" s="47">
        <f>IF(AND(E1422&lt;&gt;"",F1422&lt;&gt;""), F1422-E1422, IF(G1422&lt;&gt;"", G1422, 0))</f>
        <v/>
      </c>
      <c r="I1422" s="48">
        <f>H1422*Settings!$B$5</f>
        <v/>
      </c>
      <c r="K1422">
        <f>IF(AND(A1422&lt;&gt;"",C1422&lt;&gt;"",D1422&lt;&gt;"",H1422&gt;0),"✓","⚠ missing")</f>
        <v/>
      </c>
      <c r="L1422" s="44" t="n"/>
      <c r="M1422" s="45" t="n"/>
      <c r="N1422" s="39" t="n"/>
      <c r="O1422" s="46" t="n"/>
    </row>
    <row r="1423">
      <c r="H1423" s="47">
        <f>IF(AND(E1423&lt;&gt;"",F1423&lt;&gt;""), F1423-E1423, IF(G1423&lt;&gt;"", G1423, 0))</f>
        <v/>
      </c>
      <c r="I1423" s="48">
        <f>H1423*Settings!$B$5</f>
        <v/>
      </c>
      <c r="K1423">
        <f>IF(AND(A1423&lt;&gt;"",C1423&lt;&gt;"",D1423&lt;&gt;"",H1423&gt;0),"✓","⚠ missing")</f>
        <v/>
      </c>
      <c r="L1423" s="44" t="n"/>
      <c r="M1423" s="45" t="n"/>
      <c r="N1423" s="39" t="n"/>
      <c r="O1423" s="46" t="n"/>
    </row>
    <row r="1424">
      <c r="H1424" s="47">
        <f>IF(AND(E1424&lt;&gt;"",F1424&lt;&gt;""), F1424-E1424, IF(G1424&lt;&gt;"", G1424, 0))</f>
        <v/>
      </c>
      <c r="I1424" s="48">
        <f>H1424*Settings!$B$5</f>
        <v/>
      </c>
      <c r="K1424">
        <f>IF(AND(A1424&lt;&gt;"",C1424&lt;&gt;"",D1424&lt;&gt;"",H1424&gt;0),"✓","⚠ missing")</f>
        <v/>
      </c>
      <c r="L1424" s="44" t="n"/>
      <c r="M1424" s="45" t="n"/>
      <c r="N1424" s="39" t="n"/>
      <c r="O1424" s="46" t="n"/>
    </row>
    <row r="1425">
      <c r="H1425" s="47">
        <f>IF(AND(E1425&lt;&gt;"",F1425&lt;&gt;""), F1425-E1425, IF(G1425&lt;&gt;"", G1425, 0))</f>
        <v/>
      </c>
      <c r="I1425" s="48">
        <f>H1425*Settings!$B$5</f>
        <v/>
      </c>
      <c r="K1425">
        <f>IF(AND(A1425&lt;&gt;"",C1425&lt;&gt;"",D1425&lt;&gt;"",H1425&gt;0),"✓","⚠ missing")</f>
        <v/>
      </c>
      <c r="L1425" s="44" t="n"/>
      <c r="M1425" s="45" t="n"/>
      <c r="N1425" s="39" t="n"/>
      <c r="O1425" s="46" t="n"/>
    </row>
    <row r="1426">
      <c r="H1426" s="47">
        <f>IF(AND(E1426&lt;&gt;"",F1426&lt;&gt;""), F1426-E1426, IF(G1426&lt;&gt;"", G1426, 0))</f>
        <v/>
      </c>
      <c r="I1426" s="48">
        <f>H1426*Settings!$B$5</f>
        <v/>
      </c>
      <c r="K1426">
        <f>IF(AND(A1426&lt;&gt;"",C1426&lt;&gt;"",D1426&lt;&gt;"",H1426&gt;0),"✓","⚠ missing")</f>
        <v/>
      </c>
      <c r="L1426" s="44" t="n"/>
      <c r="M1426" s="45" t="n"/>
      <c r="N1426" s="39" t="n"/>
      <c r="O1426" s="46" t="n"/>
    </row>
    <row r="1427">
      <c r="H1427" s="47">
        <f>IF(AND(E1427&lt;&gt;"",F1427&lt;&gt;""), F1427-E1427, IF(G1427&lt;&gt;"", G1427, 0))</f>
        <v/>
      </c>
      <c r="I1427" s="48">
        <f>H1427*Settings!$B$5</f>
        <v/>
      </c>
      <c r="K1427">
        <f>IF(AND(A1427&lt;&gt;"",C1427&lt;&gt;"",D1427&lt;&gt;"",H1427&gt;0),"✓","⚠ missing")</f>
        <v/>
      </c>
      <c r="L1427" s="44" t="n"/>
      <c r="M1427" s="45" t="n"/>
      <c r="N1427" s="39" t="n"/>
      <c r="O1427" s="46" t="n"/>
    </row>
    <row r="1428">
      <c r="H1428" s="47">
        <f>IF(AND(E1428&lt;&gt;"",F1428&lt;&gt;""), F1428-E1428, IF(G1428&lt;&gt;"", G1428, 0))</f>
        <v/>
      </c>
      <c r="I1428" s="48">
        <f>H1428*Settings!$B$5</f>
        <v/>
      </c>
      <c r="K1428">
        <f>IF(AND(A1428&lt;&gt;"",C1428&lt;&gt;"",D1428&lt;&gt;"",H1428&gt;0),"✓","⚠ missing")</f>
        <v/>
      </c>
      <c r="L1428" s="44" t="n"/>
      <c r="M1428" s="45" t="n"/>
      <c r="N1428" s="39" t="n"/>
      <c r="O1428" s="46" t="n"/>
    </row>
    <row r="1429">
      <c r="H1429" s="47">
        <f>IF(AND(E1429&lt;&gt;"",F1429&lt;&gt;""), F1429-E1429, IF(G1429&lt;&gt;"", G1429, 0))</f>
        <v/>
      </c>
      <c r="I1429" s="48">
        <f>H1429*Settings!$B$5</f>
        <v/>
      </c>
      <c r="K1429">
        <f>IF(AND(A1429&lt;&gt;"",C1429&lt;&gt;"",D1429&lt;&gt;"",H1429&gt;0),"✓","⚠ missing")</f>
        <v/>
      </c>
      <c r="L1429" s="44" t="n"/>
      <c r="M1429" s="45" t="n"/>
      <c r="N1429" s="39" t="n"/>
      <c r="O1429" s="46" t="n"/>
    </row>
    <row r="1430">
      <c r="H1430" s="47">
        <f>IF(AND(E1430&lt;&gt;"",F1430&lt;&gt;""), F1430-E1430, IF(G1430&lt;&gt;"", G1430, 0))</f>
        <v/>
      </c>
      <c r="I1430" s="48">
        <f>H1430*Settings!$B$5</f>
        <v/>
      </c>
      <c r="K1430">
        <f>IF(AND(A1430&lt;&gt;"",C1430&lt;&gt;"",D1430&lt;&gt;"",H1430&gt;0),"✓","⚠ missing")</f>
        <v/>
      </c>
      <c r="L1430" s="44" t="n"/>
      <c r="M1430" s="45" t="n"/>
      <c r="N1430" s="39" t="n"/>
      <c r="O1430" s="46" t="n"/>
    </row>
    <row r="1431">
      <c r="H1431" s="47">
        <f>IF(AND(E1431&lt;&gt;"",F1431&lt;&gt;""), F1431-E1431, IF(G1431&lt;&gt;"", G1431, 0))</f>
        <v/>
      </c>
      <c r="I1431" s="48">
        <f>H1431*Settings!$B$5</f>
        <v/>
      </c>
      <c r="K1431">
        <f>IF(AND(A1431&lt;&gt;"",C1431&lt;&gt;"",D1431&lt;&gt;"",H1431&gt;0),"✓","⚠ missing")</f>
        <v/>
      </c>
      <c r="L1431" s="44" t="n"/>
      <c r="M1431" s="45" t="n"/>
      <c r="N1431" s="39" t="n"/>
      <c r="O1431" s="46" t="n"/>
    </row>
    <row r="1432">
      <c r="H1432" s="47">
        <f>IF(AND(E1432&lt;&gt;"",F1432&lt;&gt;""), F1432-E1432, IF(G1432&lt;&gt;"", G1432, 0))</f>
        <v/>
      </c>
      <c r="I1432" s="48">
        <f>H1432*Settings!$B$5</f>
        <v/>
      </c>
      <c r="K1432">
        <f>IF(AND(A1432&lt;&gt;"",C1432&lt;&gt;"",D1432&lt;&gt;"",H1432&gt;0),"✓","⚠ missing")</f>
        <v/>
      </c>
      <c r="L1432" s="44" t="n"/>
      <c r="M1432" s="45" t="n"/>
      <c r="N1432" s="39" t="n"/>
      <c r="O1432" s="46" t="n"/>
    </row>
    <row r="1433">
      <c r="H1433" s="47">
        <f>IF(AND(E1433&lt;&gt;"",F1433&lt;&gt;""), F1433-E1433, IF(G1433&lt;&gt;"", G1433, 0))</f>
        <v/>
      </c>
      <c r="I1433" s="48">
        <f>H1433*Settings!$B$5</f>
        <v/>
      </c>
      <c r="K1433">
        <f>IF(AND(A1433&lt;&gt;"",C1433&lt;&gt;"",D1433&lt;&gt;"",H1433&gt;0),"✓","⚠ missing")</f>
        <v/>
      </c>
      <c r="L1433" s="44" t="n"/>
      <c r="M1433" s="45" t="n"/>
      <c r="N1433" s="39" t="n"/>
      <c r="O1433" s="46" t="n"/>
    </row>
    <row r="1434">
      <c r="H1434" s="47">
        <f>IF(AND(E1434&lt;&gt;"",F1434&lt;&gt;""), F1434-E1434, IF(G1434&lt;&gt;"", G1434, 0))</f>
        <v/>
      </c>
      <c r="I1434" s="48">
        <f>H1434*Settings!$B$5</f>
        <v/>
      </c>
      <c r="K1434">
        <f>IF(AND(A1434&lt;&gt;"",C1434&lt;&gt;"",D1434&lt;&gt;"",H1434&gt;0),"✓","⚠ missing")</f>
        <v/>
      </c>
      <c r="L1434" s="44" t="n"/>
      <c r="M1434" s="45" t="n"/>
      <c r="N1434" s="39" t="n"/>
      <c r="O1434" s="46" t="n"/>
    </row>
    <row r="1435">
      <c r="H1435" s="47">
        <f>IF(AND(E1435&lt;&gt;"",F1435&lt;&gt;""), F1435-E1435, IF(G1435&lt;&gt;"", G1435, 0))</f>
        <v/>
      </c>
      <c r="I1435" s="48">
        <f>H1435*Settings!$B$5</f>
        <v/>
      </c>
      <c r="K1435">
        <f>IF(AND(A1435&lt;&gt;"",C1435&lt;&gt;"",D1435&lt;&gt;"",H1435&gt;0),"✓","⚠ missing")</f>
        <v/>
      </c>
      <c r="L1435" s="44" t="n"/>
      <c r="M1435" s="45" t="n"/>
      <c r="N1435" s="39" t="n"/>
      <c r="O1435" s="46" t="n"/>
    </row>
    <row r="1436">
      <c r="H1436" s="47">
        <f>IF(AND(E1436&lt;&gt;"",F1436&lt;&gt;""), F1436-E1436, IF(G1436&lt;&gt;"", G1436, 0))</f>
        <v/>
      </c>
      <c r="I1436" s="48">
        <f>H1436*Settings!$B$5</f>
        <v/>
      </c>
      <c r="K1436">
        <f>IF(AND(A1436&lt;&gt;"",C1436&lt;&gt;"",D1436&lt;&gt;"",H1436&gt;0),"✓","⚠ missing")</f>
        <v/>
      </c>
      <c r="L1436" s="44" t="n"/>
      <c r="M1436" s="45" t="n"/>
      <c r="N1436" s="39" t="n"/>
      <c r="O1436" s="46" t="n"/>
    </row>
    <row r="1437">
      <c r="H1437" s="47">
        <f>IF(AND(E1437&lt;&gt;"",F1437&lt;&gt;""), F1437-E1437, IF(G1437&lt;&gt;"", G1437, 0))</f>
        <v/>
      </c>
      <c r="I1437" s="48">
        <f>H1437*Settings!$B$5</f>
        <v/>
      </c>
      <c r="K1437">
        <f>IF(AND(A1437&lt;&gt;"",C1437&lt;&gt;"",D1437&lt;&gt;"",H1437&gt;0),"✓","⚠ missing")</f>
        <v/>
      </c>
      <c r="L1437" s="44" t="n"/>
      <c r="M1437" s="45" t="n"/>
      <c r="N1437" s="39" t="n"/>
      <c r="O1437" s="46" t="n"/>
    </row>
    <row r="1438">
      <c r="H1438" s="47">
        <f>IF(AND(E1438&lt;&gt;"",F1438&lt;&gt;""), F1438-E1438, IF(G1438&lt;&gt;"", G1438, 0))</f>
        <v/>
      </c>
      <c r="I1438" s="48">
        <f>H1438*Settings!$B$5</f>
        <v/>
      </c>
      <c r="K1438">
        <f>IF(AND(A1438&lt;&gt;"",C1438&lt;&gt;"",D1438&lt;&gt;"",H1438&gt;0),"✓","⚠ missing")</f>
        <v/>
      </c>
      <c r="L1438" s="44" t="n"/>
      <c r="M1438" s="45" t="n"/>
      <c r="N1438" s="39" t="n"/>
      <c r="O1438" s="46" t="n"/>
    </row>
    <row r="1439">
      <c r="H1439" s="47">
        <f>IF(AND(E1439&lt;&gt;"",F1439&lt;&gt;""), F1439-E1439, IF(G1439&lt;&gt;"", G1439, 0))</f>
        <v/>
      </c>
      <c r="I1439" s="48">
        <f>H1439*Settings!$B$5</f>
        <v/>
      </c>
      <c r="K1439">
        <f>IF(AND(A1439&lt;&gt;"",C1439&lt;&gt;"",D1439&lt;&gt;"",H1439&gt;0),"✓","⚠ missing")</f>
        <v/>
      </c>
      <c r="L1439" s="44" t="n"/>
      <c r="M1439" s="45" t="n"/>
      <c r="N1439" s="39" t="n"/>
      <c r="O1439" s="46" t="n"/>
    </row>
    <row r="1440">
      <c r="H1440" s="47">
        <f>IF(AND(E1440&lt;&gt;"",F1440&lt;&gt;""), F1440-E1440, IF(G1440&lt;&gt;"", G1440, 0))</f>
        <v/>
      </c>
      <c r="I1440" s="48">
        <f>H1440*Settings!$B$5</f>
        <v/>
      </c>
      <c r="K1440">
        <f>IF(AND(A1440&lt;&gt;"",C1440&lt;&gt;"",D1440&lt;&gt;"",H1440&gt;0),"✓","⚠ missing")</f>
        <v/>
      </c>
      <c r="L1440" s="44" t="n"/>
      <c r="M1440" s="45" t="n"/>
      <c r="N1440" s="39" t="n"/>
      <c r="O1440" s="46" t="n"/>
    </row>
    <row r="1441">
      <c r="H1441" s="47">
        <f>IF(AND(E1441&lt;&gt;"",F1441&lt;&gt;""), F1441-E1441, IF(G1441&lt;&gt;"", G1441, 0))</f>
        <v/>
      </c>
      <c r="I1441" s="48">
        <f>H1441*Settings!$B$5</f>
        <v/>
      </c>
      <c r="K1441">
        <f>IF(AND(A1441&lt;&gt;"",C1441&lt;&gt;"",D1441&lt;&gt;"",H1441&gt;0),"✓","⚠ missing")</f>
        <v/>
      </c>
      <c r="L1441" s="44" t="n"/>
      <c r="M1441" s="45" t="n"/>
      <c r="N1441" s="39" t="n"/>
      <c r="O1441" s="46" t="n"/>
    </row>
    <row r="1442">
      <c r="H1442" s="47">
        <f>IF(AND(E1442&lt;&gt;"",F1442&lt;&gt;""), F1442-E1442, IF(G1442&lt;&gt;"", G1442, 0))</f>
        <v/>
      </c>
      <c r="I1442" s="48">
        <f>H1442*Settings!$B$5</f>
        <v/>
      </c>
      <c r="K1442">
        <f>IF(AND(A1442&lt;&gt;"",C1442&lt;&gt;"",D1442&lt;&gt;"",H1442&gt;0),"✓","⚠ missing")</f>
        <v/>
      </c>
      <c r="L1442" s="44" t="n"/>
      <c r="M1442" s="45" t="n"/>
      <c r="N1442" s="39" t="n"/>
      <c r="O1442" s="46" t="n"/>
    </row>
    <row r="1443">
      <c r="H1443" s="47">
        <f>IF(AND(E1443&lt;&gt;"",F1443&lt;&gt;""), F1443-E1443, IF(G1443&lt;&gt;"", G1443, 0))</f>
        <v/>
      </c>
      <c r="I1443" s="48">
        <f>H1443*Settings!$B$5</f>
        <v/>
      </c>
      <c r="K1443">
        <f>IF(AND(A1443&lt;&gt;"",C1443&lt;&gt;"",D1443&lt;&gt;"",H1443&gt;0),"✓","⚠ missing")</f>
        <v/>
      </c>
      <c r="L1443" s="44" t="n"/>
      <c r="M1443" s="45" t="n"/>
      <c r="N1443" s="39" t="n"/>
      <c r="O1443" s="46" t="n"/>
    </row>
    <row r="1444">
      <c r="H1444" s="47">
        <f>IF(AND(E1444&lt;&gt;"",F1444&lt;&gt;""), F1444-E1444, IF(G1444&lt;&gt;"", G1444, 0))</f>
        <v/>
      </c>
      <c r="I1444" s="48">
        <f>H1444*Settings!$B$5</f>
        <v/>
      </c>
      <c r="K1444">
        <f>IF(AND(A1444&lt;&gt;"",C1444&lt;&gt;"",D1444&lt;&gt;"",H1444&gt;0),"✓","⚠ missing")</f>
        <v/>
      </c>
      <c r="L1444" s="44" t="n"/>
      <c r="M1444" s="45" t="n"/>
      <c r="N1444" s="39" t="n"/>
      <c r="O1444" s="46" t="n"/>
    </row>
    <row r="1445">
      <c r="H1445" s="47">
        <f>IF(AND(E1445&lt;&gt;"",F1445&lt;&gt;""), F1445-E1445, IF(G1445&lt;&gt;"", G1445, 0))</f>
        <v/>
      </c>
      <c r="I1445" s="48">
        <f>H1445*Settings!$B$5</f>
        <v/>
      </c>
      <c r="K1445">
        <f>IF(AND(A1445&lt;&gt;"",C1445&lt;&gt;"",D1445&lt;&gt;"",H1445&gt;0),"✓","⚠ missing")</f>
        <v/>
      </c>
      <c r="L1445" s="44" t="n"/>
      <c r="M1445" s="45" t="n"/>
      <c r="N1445" s="39" t="n"/>
      <c r="O1445" s="46" t="n"/>
    </row>
    <row r="1446">
      <c r="H1446" s="47">
        <f>IF(AND(E1446&lt;&gt;"",F1446&lt;&gt;""), F1446-E1446, IF(G1446&lt;&gt;"", G1446, 0))</f>
        <v/>
      </c>
      <c r="I1446" s="48">
        <f>H1446*Settings!$B$5</f>
        <v/>
      </c>
      <c r="K1446">
        <f>IF(AND(A1446&lt;&gt;"",C1446&lt;&gt;"",D1446&lt;&gt;"",H1446&gt;0),"✓","⚠ missing")</f>
        <v/>
      </c>
      <c r="L1446" s="44" t="n"/>
      <c r="M1446" s="45" t="n"/>
      <c r="N1446" s="39" t="n"/>
      <c r="O1446" s="46" t="n"/>
    </row>
    <row r="1447">
      <c r="H1447" s="47">
        <f>IF(AND(E1447&lt;&gt;"",F1447&lt;&gt;""), F1447-E1447, IF(G1447&lt;&gt;"", G1447, 0))</f>
        <v/>
      </c>
      <c r="I1447" s="48">
        <f>H1447*Settings!$B$5</f>
        <v/>
      </c>
      <c r="K1447">
        <f>IF(AND(A1447&lt;&gt;"",C1447&lt;&gt;"",D1447&lt;&gt;"",H1447&gt;0),"✓","⚠ missing")</f>
        <v/>
      </c>
      <c r="L1447" s="44" t="n"/>
      <c r="M1447" s="45" t="n"/>
      <c r="N1447" s="39" t="n"/>
      <c r="O1447" s="46" t="n"/>
    </row>
    <row r="1448">
      <c r="H1448" s="47">
        <f>IF(AND(E1448&lt;&gt;"",F1448&lt;&gt;""), F1448-E1448, IF(G1448&lt;&gt;"", G1448, 0))</f>
        <v/>
      </c>
      <c r="I1448" s="48">
        <f>H1448*Settings!$B$5</f>
        <v/>
      </c>
      <c r="K1448">
        <f>IF(AND(A1448&lt;&gt;"",C1448&lt;&gt;"",D1448&lt;&gt;"",H1448&gt;0),"✓","⚠ missing")</f>
        <v/>
      </c>
      <c r="L1448" s="44" t="n"/>
      <c r="M1448" s="45" t="n"/>
      <c r="N1448" s="39" t="n"/>
      <c r="O1448" s="46" t="n"/>
    </row>
    <row r="1449">
      <c r="H1449" s="47">
        <f>IF(AND(E1449&lt;&gt;"",F1449&lt;&gt;""), F1449-E1449, IF(G1449&lt;&gt;"", G1449, 0))</f>
        <v/>
      </c>
      <c r="I1449" s="48">
        <f>H1449*Settings!$B$5</f>
        <v/>
      </c>
      <c r="K1449">
        <f>IF(AND(A1449&lt;&gt;"",C1449&lt;&gt;"",D1449&lt;&gt;"",H1449&gt;0),"✓","⚠ missing")</f>
        <v/>
      </c>
      <c r="L1449" s="44" t="n"/>
      <c r="M1449" s="45" t="n"/>
      <c r="N1449" s="39" t="n"/>
      <c r="O1449" s="46" t="n"/>
    </row>
    <row r="1450">
      <c r="H1450" s="47">
        <f>IF(AND(E1450&lt;&gt;"",F1450&lt;&gt;""), F1450-E1450, IF(G1450&lt;&gt;"", G1450, 0))</f>
        <v/>
      </c>
      <c r="I1450" s="48">
        <f>H1450*Settings!$B$5</f>
        <v/>
      </c>
      <c r="K1450">
        <f>IF(AND(A1450&lt;&gt;"",C1450&lt;&gt;"",D1450&lt;&gt;"",H1450&gt;0),"✓","⚠ missing")</f>
        <v/>
      </c>
      <c r="L1450" s="44" t="n"/>
      <c r="M1450" s="45" t="n"/>
      <c r="N1450" s="39" t="n"/>
      <c r="O1450" s="46" t="n"/>
    </row>
    <row r="1451">
      <c r="H1451" s="47">
        <f>IF(AND(E1451&lt;&gt;"",F1451&lt;&gt;""), F1451-E1451, IF(G1451&lt;&gt;"", G1451, 0))</f>
        <v/>
      </c>
      <c r="I1451" s="48">
        <f>H1451*Settings!$B$5</f>
        <v/>
      </c>
      <c r="K1451">
        <f>IF(AND(A1451&lt;&gt;"",C1451&lt;&gt;"",D1451&lt;&gt;"",H1451&gt;0),"✓","⚠ missing")</f>
        <v/>
      </c>
      <c r="L1451" s="44" t="n"/>
      <c r="M1451" s="45" t="n"/>
      <c r="N1451" s="39" t="n"/>
      <c r="O1451" s="46" t="n"/>
    </row>
    <row r="1452">
      <c r="H1452" s="47">
        <f>IF(AND(E1452&lt;&gt;"",F1452&lt;&gt;""), F1452-E1452, IF(G1452&lt;&gt;"", G1452, 0))</f>
        <v/>
      </c>
      <c r="I1452" s="48">
        <f>H1452*Settings!$B$5</f>
        <v/>
      </c>
      <c r="K1452">
        <f>IF(AND(A1452&lt;&gt;"",C1452&lt;&gt;"",D1452&lt;&gt;"",H1452&gt;0),"✓","⚠ missing")</f>
        <v/>
      </c>
      <c r="L1452" s="44" t="n"/>
      <c r="M1452" s="45" t="n"/>
      <c r="N1452" s="39" t="n"/>
      <c r="O1452" s="46" t="n"/>
    </row>
    <row r="1453">
      <c r="H1453" s="47">
        <f>IF(AND(E1453&lt;&gt;"",F1453&lt;&gt;""), F1453-E1453, IF(G1453&lt;&gt;"", G1453, 0))</f>
        <v/>
      </c>
      <c r="I1453" s="48">
        <f>H1453*Settings!$B$5</f>
        <v/>
      </c>
      <c r="K1453">
        <f>IF(AND(A1453&lt;&gt;"",C1453&lt;&gt;"",D1453&lt;&gt;"",H1453&gt;0),"✓","⚠ missing")</f>
        <v/>
      </c>
      <c r="L1453" s="44" t="n"/>
      <c r="M1453" s="45" t="n"/>
      <c r="N1453" s="39" t="n"/>
      <c r="O1453" s="46" t="n"/>
    </row>
    <row r="1454">
      <c r="H1454" s="47">
        <f>IF(AND(E1454&lt;&gt;"",F1454&lt;&gt;""), F1454-E1454, IF(G1454&lt;&gt;"", G1454, 0))</f>
        <v/>
      </c>
      <c r="I1454" s="48">
        <f>H1454*Settings!$B$5</f>
        <v/>
      </c>
      <c r="K1454">
        <f>IF(AND(A1454&lt;&gt;"",C1454&lt;&gt;"",D1454&lt;&gt;"",H1454&gt;0),"✓","⚠ missing")</f>
        <v/>
      </c>
      <c r="L1454" s="44" t="n"/>
      <c r="M1454" s="45" t="n"/>
      <c r="N1454" s="39" t="n"/>
      <c r="O1454" s="46" t="n"/>
    </row>
    <row r="1455">
      <c r="H1455" s="47">
        <f>IF(AND(E1455&lt;&gt;"",F1455&lt;&gt;""), F1455-E1455, IF(G1455&lt;&gt;"", G1455, 0))</f>
        <v/>
      </c>
      <c r="I1455" s="48">
        <f>H1455*Settings!$B$5</f>
        <v/>
      </c>
      <c r="K1455">
        <f>IF(AND(A1455&lt;&gt;"",C1455&lt;&gt;"",D1455&lt;&gt;"",H1455&gt;0),"✓","⚠ missing")</f>
        <v/>
      </c>
      <c r="L1455" s="44" t="n"/>
      <c r="M1455" s="45" t="n"/>
      <c r="N1455" s="39" t="n"/>
      <c r="O1455" s="46" t="n"/>
    </row>
    <row r="1456">
      <c r="H1456" s="47">
        <f>IF(AND(E1456&lt;&gt;"",F1456&lt;&gt;""), F1456-E1456, IF(G1456&lt;&gt;"", G1456, 0))</f>
        <v/>
      </c>
      <c r="I1456" s="48">
        <f>H1456*Settings!$B$5</f>
        <v/>
      </c>
      <c r="K1456">
        <f>IF(AND(A1456&lt;&gt;"",C1456&lt;&gt;"",D1456&lt;&gt;"",H1456&gt;0),"✓","⚠ missing")</f>
        <v/>
      </c>
      <c r="L1456" s="44" t="n"/>
      <c r="M1456" s="45" t="n"/>
      <c r="N1456" s="39" t="n"/>
      <c r="O1456" s="46" t="n"/>
    </row>
    <row r="1457">
      <c r="H1457" s="47">
        <f>IF(AND(E1457&lt;&gt;"",F1457&lt;&gt;""), F1457-E1457, IF(G1457&lt;&gt;"", G1457, 0))</f>
        <v/>
      </c>
      <c r="I1457" s="48">
        <f>H1457*Settings!$B$5</f>
        <v/>
      </c>
      <c r="K1457">
        <f>IF(AND(A1457&lt;&gt;"",C1457&lt;&gt;"",D1457&lt;&gt;"",H1457&gt;0),"✓","⚠ missing")</f>
        <v/>
      </c>
      <c r="L1457" s="44" t="n"/>
      <c r="M1457" s="45" t="n"/>
      <c r="N1457" s="39" t="n"/>
      <c r="O1457" s="46" t="n"/>
    </row>
    <row r="1458">
      <c r="H1458" s="47">
        <f>IF(AND(E1458&lt;&gt;"",F1458&lt;&gt;""), F1458-E1458, IF(G1458&lt;&gt;"", G1458, 0))</f>
        <v/>
      </c>
      <c r="I1458" s="48">
        <f>H1458*Settings!$B$5</f>
        <v/>
      </c>
      <c r="K1458">
        <f>IF(AND(A1458&lt;&gt;"",C1458&lt;&gt;"",D1458&lt;&gt;"",H1458&gt;0),"✓","⚠ missing")</f>
        <v/>
      </c>
      <c r="L1458" s="44" t="n"/>
      <c r="M1458" s="45" t="n"/>
      <c r="N1458" s="39" t="n"/>
      <c r="O1458" s="46" t="n"/>
    </row>
    <row r="1459">
      <c r="H1459" s="47">
        <f>IF(AND(E1459&lt;&gt;"",F1459&lt;&gt;""), F1459-E1459, IF(G1459&lt;&gt;"", G1459, 0))</f>
        <v/>
      </c>
      <c r="I1459" s="48">
        <f>H1459*Settings!$B$5</f>
        <v/>
      </c>
      <c r="K1459">
        <f>IF(AND(A1459&lt;&gt;"",C1459&lt;&gt;"",D1459&lt;&gt;"",H1459&gt;0),"✓","⚠ missing")</f>
        <v/>
      </c>
      <c r="L1459" s="44" t="n"/>
      <c r="M1459" s="45" t="n"/>
      <c r="N1459" s="39" t="n"/>
      <c r="O1459" s="46" t="n"/>
    </row>
    <row r="1460">
      <c r="H1460" s="47">
        <f>IF(AND(E1460&lt;&gt;"",F1460&lt;&gt;""), F1460-E1460, IF(G1460&lt;&gt;"", G1460, 0))</f>
        <v/>
      </c>
      <c r="I1460" s="48">
        <f>H1460*Settings!$B$5</f>
        <v/>
      </c>
      <c r="K1460">
        <f>IF(AND(A1460&lt;&gt;"",C1460&lt;&gt;"",D1460&lt;&gt;"",H1460&gt;0),"✓","⚠ missing")</f>
        <v/>
      </c>
      <c r="L1460" s="44" t="n"/>
      <c r="M1460" s="45" t="n"/>
      <c r="N1460" s="39" t="n"/>
      <c r="O1460" s="46" t="n"/>
    </row>
    <row r="1461">
      <c r="H1461" s="47">
        <f>IF(AND(E1461&lt;&gt;"",F1461&lt;&gt;""), F1461-E1461, IF(G1461&lt;&gt;"", G1461, 0))</f>
        <v/>
      </c>
      <c r="I1461" s="48">
        <f>H1461*Settings!$B$5</f>
        <v/>
      </c>
      <c r="K1461">
        <f>IF(AND(A1461&lt;&gt;"",C1461&lt;&gt;"",D1461&lt;&gt;"",H1461&gt;0),"✓","⚠ missing")</f>
        <v/>
      </c>
      <c r="L1461" s="44" t="n"/>
      <c r="M1461" s="45" t="n"/>
      <c r="N1461" s="39" t="n"/>
      <c r="O1461" s="46" t="n"/>
    </row>
    <row r="1462">
      <c r="H1462" s="47">
        <f>IF(AND(E1462&lt;&gt;"",F1462&lt;&gt;""), F1462-E1462, IF(G1462&lt;&gt;"", G1462, 0))</f>
        <v/>
      </c>
      <c r="I1462" s="48">
        <f>H1462*Settings!$B$5</f>
        <v/>
      </c>
      <c r="K1462">
        <f>IF(AND(A1462&lt;&gt;"",C1462&lt;&gt;"",D1462&lt;&gt;"",H1462&gt;0),"✓","⚠ missing")</f>
        <v/>
      </c>
      <c r="L1462" s="44" t="n"/>
      <c r="M1462" s="45" t="n"/>
      <c r="N1462" s="39" t="n"/>
      <c r="O1462" s="46" t="n"/>
    </row>
    <row r="1463">
      <c r="H1463" s="47">
        <f>IF(AND(E1463&lt;&gt;"",F1463&lt;&gt;""), F1463-E1463, IF(G1463&lt;&gt;"", G1463, 0))</f>
        <v/>
      </c>
      <c r="I1463" s="48">
        <f>H1463*Settings!$B$5</f>
        <v/>
      </c>
      <c r="K1463">
        <f>IF(AND(A1463&lt;&gt;"",C1463&lt;&gt;"",D1463&lt;&gt;"",H1463&gt;0),"✓","⚠ missing")</f>
        <v/>
      </c>
      <c r="L1463" s="44" t="n"/>
      <c r="M1463" s="45" t="n"/>
      <c r="N1463" s="39" t="n"/>
      <c r="O1463" s="46" t="n"/>
    </row>
    <row r="1464">
      <c r="H1464" s="47">
        <f>IF(AND(E1464&lt;&gt;"",F1464&lt;&gt;""), F1464-E1464, IF(G1464&lt;&gt;"", G1464, 0))</f>
        <v/>
      </c>
      <c r="I1464" s="48">
        <f>H1464*Settings!$B$5</f>
        <v/>
      </c>
      <c r="K1464">
        <f>IF(AND(A1464&lt;&gt;"",C1464&lt;&gt;"",D1464&lt;&gt;"",H1464&gt;0),"✓","⚠ missing")</f>
        <v/>
      </c>
      <c r="L1464" s="44" t="n"/>
      <c r="M1464" s="45" t="n"/>
      <c r="N1464" s="39" t="n"/>
      <c r="O1464" s="46" t="n"/>
    </row>
    <row r="1465">
      <c r="H1465" s="47">
        <f>IF(AND(E1465&lt;&gt;"",F1465&lt;&gt;""), F1465-E1465, IF(G1465&lt;&gt;"", G1465, 0))</f>
        <v/>
      </c>
      <c r="I1465" s="48">
        <f>H1465*Settings!$B$5</f>
        <v/>
      </c>
      <c r="K1465">
        <f>IF(AND(A1465&lt;&gt;"",C1465&lt;&gt;"",D1465&lt;&gt;"",H1465&gt;0),"✓","⚠ missing")</f>
        <v/>
      </c>
      <c r="L1465" s="44" t="n"/>
      <c r="M1465" s="45" t="n"/>
      <c r="N1465" s="39" t="n"/>
      <c r="O1465" s="46" t="n"/>
    </row>
    <row r="1466">
      <c r="H1466" s="47">
        <f>IF(AND(E1466&lt;&gt;"",F1466&lt;&gt;""), F1466-E1466, IF(G1466&lt;&gt;"", G1466, 0))</f>
        <v/>
      </c>
      <c r="I1466" s="48">
        <f>H1466*Settings!$B$5</f>
        <v/>
      </c>
      <c r="K1466">
        <f>IF(AND(A1466&lt;&gt;"",C1466&lt;&gt;"",D1466&lt;&gt;"",H1466&gt;0),"✓","⚠ missing")</f>
        <v/>
      </c>
      <c r="L1466" s="44" t="n"/>
      <c r="M1466" s="45" t="n"/>
      <c r="N1466" s="39" t="n"/>
      <c r="O1466" s="46" t="n"/>
    </row>
    <row r="1467">
      <c r="H1467" s="47">
        <f>IF(AND(E1467&lt;&gt;"",F1467&lt;&gt;""), F1467-E1467, IF(G1467&lt;&gt;"", G1467, 0))</f>
        <v/>
      </c>
      <c r="I1467" s="48">
        <f>H1467*Settings!$B$5</f>
        <v/>
      </c>
      <c r="K1467">
        <f>IF(AND(A1467&lt;&gt;"",C1467&lt;&gt;"",D1467&lt;&gt;"",H1467&gt;0),"✓","⚠ missing")</f>
        <v/>
      </c>
      <c r="L1467" s="44" t="n"/>
      <c r="M1467" s="45" t="n"/>
      <c r="N1467" s="39" t="n"/>
      <c r="O1467" s="46" t="n"/>
    </row>
    <row r="1468">
      <c r="H1468" s="47">
        <f>IF(AND(E1468&lt;&gt;"",F1468&lt;&gt;""), F1468-E1468, IF(G1468&lt;&gt;"", G1468, 0))</f>
        <v/>
      </c>
      <c r="I1468" s="48">
        <f>H1468*Settings!$B$5</f>
        <v/>
      </c>
      <c r="K1468">
        <f>IF(AND(A1468&lt;&gt;"",C1468&lt;&gt;"",D1468&lt;&gt;"",H1468&gt;0),"✓","⚠ missing")</f>
        <v/>
      </c>
      <c r="L1468" s="44" t="n"/>
      <c r="M1468" s="45" t="n"/>
      <c r="N1468" s="39" t="n"/>
      <c r="O1468" s="46" t="n"/>
    </row>
    <row r="1469">
      <c r="H1469" s="47">
        <f>IF(AND(E1469&lt;&gt;"",F1469&lt;&gt;""), F1469-E1469, IF(G1469&lt;&gt;"", G1469, 0))</f>
        <v/>
      </c>
      <c r="I1469" s="48">
        <f>H1469*Settings!$B$5</f>
        <v/>
      </c>
      <c r="K1469">
        <f>IF(AND(A1469&lt;&gt;"",C1469&lt;&gt;"",D1469&lt;&gt;"",H1469&gt;0),"✓","⚠ missing")</f>
        <v/>
      </c>
      <c r="L1469" s="44" t="n"/>
      <c r="M1469" s="45" t="n"/>
      <c r="N1469" s="39" t="n"/>
      <c r="O1469" s="46" t="n"/>
    </row>
    <row r="1470">
      <c r="H1470" s="47">
        <f>IF(AND(E1470&lt;&gt;"",F1470&lt;&gt;""), F1470-E1470, IF(G1470&lt;&gt;"", G1470, 0))</f>
        <v/>
      </c>
      <c r="I1470" s="48">
        <f>H1470*Settings!$B$5</f>
        <v/>
      </c>
      <c r="K1470">
        <f>IF(AND(A1470&lt;&gt;"",C1470&lt;&gt;"",D1470&lt;&gt;"",H1470&gt;0),"✓","⚠ missing")</f>
        <v/>
      </c>
      <c r="L1470" s="44" t="n"/>
      <c r="M1470" s="45" t="n"/>
      <c r="N1470" s="39" t="n"/>
      <c r="O1470" s="46" t="n"/>
    </row>
    <row r="1471">
      <c r="H1471" s="47">
        <f>IF(AND(E1471&lt;&gt;"",F1471&lt;&gt;""), F1471-E1471, IF(G1471&lt;&gt;"", G1471, 0))</f>
        <v/>
      </c>
      <c r="I1471" s="48">
        <f>H1471*Settings!$B$5</f>
        <v/>
      </c>
      <c r="K1471">
        <f>IF(AND(A1471&lt;&gt;"",C1471&lt;&gt;"",D1471&lt;&gt;"",H1471&gt;0),"✓","⚠ missing")</f>
        <v/>
      </c>
      <c r="L1471" s="44" t="n"/>
      <c r="M1471" s="45" t="n"/>
      <c r="N1471" s="39" t="n"/>
      <c r="O1471" s="46" t="n"/>
    </row>
    <row r="1472">
      <c r="H1472" s="47">
        <f>IF(AND(E1472&lt;&gt;"",F1472&lt;&gt;""), F1472-E1472, IF(G1472&lt;&gt;"", G1472, 0))</f>
        <v/>
      </c>
      <c r="I1472" s="48">
        <f>H1472*Settings!$B$5</f>
        <v/>
      </c>
      <c r="K1472">
        <f>IF(AND(A1472&lt;&gt;"",C1472&lt;&gt;"",D1472&lt;&gt;"",H1472&gt;0),"✓","⚠ missing")</f>
        <v/>
      </c>
      <c r="L1472" s="44" t="n"/>
      <c r="M1472" s="45" t="n"/>
      <c r="N1472" s="39" t="n"/>
      <c r="O1472" s="46" t="n"/>
    </row>
    <row r="1473">
      <c r="H1473" s="47">
        <f>IF(AND(E1473&lt;&gt;"",F1473&lt;&gt;""), F1473-E1473, IF(G1473&lt;&gt;"", G1473, 0))</f>
        <v/>
      </c>
      <c r="I1473" s="48">
        <f>H1473*Settings!$B$5</f>
        <v/>
      </c>
      <c r="K1473">
        <f>IF(AND(A1473&lt;&gt;"",C1473&lt;&gt;"",D1473&lt;&gt;"",H1473&gt;0),"✓","⚠ missing")</f>
        <v/>
      </c>
      <c r="L1473" s="44" t="n"/>
      <c r="M1473" s="45" t="n"/>
      <c r="N1473" s="39" t="n"/>
      <c r="O1473" s="46" t="n"/>
    </row>
    <row r="1474">
      <c r="H1474" s="47">
        <f>IF(AND(E1474&lt;&gt;"",F1474&lt;&gt;""), F1474-E1474, IF(G1474&lt;&gt;"", G1474, 0))</f>
        <v/>
      </c>
      <c r="I1474" s="48">
        <f>H1474*Settings!$B$5</f>
        <v/>
      </c>
      <c r="K1474">
        <f>IF(AND(A1474&lt;&gt;"",C1474&lt;&gt;"",D1474&lt;&gt;"",H1474&gt;0),"✓","⚠ missing")</f>
        <v/>
      </c>
      <c r="L1474" s="44" t="n"/>
      <c r="M1474" s="45" t="n"/>
      <c r="N1474" s="39" t="n"/>
      <c r="O1474" s="46" t="n"/>
    </row>
    <row r="1475">
      <c r="H1475" s="47">
        <f>IF(AND(E1475&lt;&gt;"",F1475&lt;&gt;""), F1475-E1475, IF(G1475&lt;&gt;"", G1475, 0))</f>
        <v/>
      </c>
      <c r="I1475" s="48">
        <f>H1475*Settings!$B$5</f>
        <v/>
      </c>
      <c r="K1475">
        <f>IF(AND(A1475&lt;&gt;"",C1475&lt;&gt;"",D1475&lt;&gt;"",H1475&gt;0),"✓","⚠ missing")</f>
        <v/>
      </c>
      <c r="L1475" s="44" t="n"/>
      <c r="M1475" s="45" t="n"/>
      <c r="N1475" s="39" t="n"/>
      <c r="O1475" s="46" t="n"/>
    </row>
    <row r="1476">
      <c r="H1476" s="47">
        <f>IF(AND(E1476&lt;&gt;"",F1476&lt;&gt;""), F1476-E1476, IF(G1476&lt;&gt;"", G1476, 0))</f>
        <v/>
      </c>
      <c r="I1476" s="48">
        <f>H1476*Settings!$B$5</f>
        <v/>
      </c>
      <c r="K1476">
        <f>IF(AND(A1476&lt;&gt;"",C1476&lt;&gt;"",D1476&lt;&gt;"",H1476&gt;0),"✓","⚠ missing")</f>
        <v/>
      </c>
      <c r="L1476" s="44" t="n"/>
      <c r="M1476" s="45" t="n"/>
      <c r="N1476" s="39" t="n"/>
      <c r="O1476" s="46" t="n"/>
    </row>
    <row r="1477">
      <c r="H1477" s="47">
        <f>IF(AND(E1477&lt;&gt;"",F1477&lt;&gt;""), F1477-E1477, IF(G1477&lt;&gt;"", G1477, 0))</f>
        <v/>
      </c>
      <c r="I1477" s="48">
        <f>H1477*Settings!$B$5</f>
        <v/>
      </c>
      <c r="K1477">
        <f>IF(AND(A1477&lt;&gt;"",C1477&lt;&gt;"",D1477&lt;&gt;"",H1477&gt;0),"✓","⚠ missing")</f>
        <v/>
      </c>
      <c r="L1477" s="44" t="n"/>
      <c r="M1477" s="45" t="n"/>
      <c r="N1477" s="39" t="n"/>
      <c r="O1477" s="46" t="n"/>
    </row>
    <row r="1478">
      <c r="H1478" s="47">
        <f>IF(AND(E1478&lt;&gt;"",F1478&lt;&gt;""), F1478-E1478, IF(G1478&lt;&gt;"", G1478, 0))</f>
        <v/>
      </c>
      <c r="I1478" s="48">
        <f>H1478*Settings!$B$5</f>
        <v/>
      </c>
      <c r="K1478">
        <f>IF(AND(A1478&lt;&gt;"",C1478&lt;&gt;"",D1478&lt;&gt;"",H1478&gt;0),"✓","⚠ missing")</f>
        <v/>
      </c>
      <c r="L1478" s="44" t="n"/>
      <c r="M1478" s="45" t="n"/>
      <c r="N1478" s="39" t="n"/>
      <c r="O1478" s="46" t="n"/>
    </row>
    <row r="1479">
      <c r="H1479" s="47">
        <f>IF(AND(E1479&lt;&gt;"",F1479&lt;&gt;""), F1479-E1479, IF(G1479&lt;&gt;"", G1479, 0))</f>
        <v/>
      </c>
      <c r="I1479" s="48">
        <f>H1479*Settings!$B$5</f>
        <v/>
      </c>
      <c r="K1479">
        <f>IF(AND(A1479&lt;&gt;"",C1479&lt;&gt;"",D1479&lt;&gt;"",H1479&gt;0),"✓","⚠ missing")</f>
        <v/>
      </c>
      <c r="L1479" s="44" t="n"/>
      <c r="M1479" s="45" t="n"/>
      <c r="N1479" s="39" t="n"/>
      <c r="O1479" s="46" t="n"/>
    </row>
    <row r="1480">
      <c r="H1480" s="47">
        <f>IF(AND(E1480&lt;&gt;"",F1480&lt;&gt;""), F1480-E1480, IF(G1480&lt;&gt;"", G1480, 0))</f>
        <v/>
      </c>
      <c r="I1480" s="48">
        <f>H1480*Settings!$B$5</f>
        <v/>
      </c>
      <c r="K1480">
        <f>IF(AND(A1480&lt;&gt;"",C1480&lt;&gt;"",D1480&lt;&gt;"",H1480&gt;0),"✓","⚠ missing")</f>
        <v/>
      </c>
      <c r="L1480" s="44" t="n"/>
      <c r="M1480" s="45" t="n"/>
      <c r="N1480" s="39" t="n"/>
      <c r="O1480" s="46" t="n"/>
    </row>
    <row r="1481">
      <c r="H1481" s="47">
        <f>IF(AND(E1481&lt;&gt;"",F1481&lt;&gt;""), F1481-E1481, IF(G1481&lt;&gt;"", G1481, 0))</f>
        <v/>
      </c>
      <c r="I1481" s="48">
        <f>H1481*Settings!$B$5</f>
        <v/>
      </c>
      <c r="K1481">
        <f>IF(AND(A1481&lt;&gt;"",C1481&lt;&gt;"",D1481&lt;&gt;"",H1481&gt;0),"✓","⚠ missing")</f>
        <v/>
      </c>
      <c r="L1481" s="44" t="n"/>
      <c r="M1481" s="45" t="n"/>
      <c r="N1481" s="39" t="n"/>
      <c r="O1481" s="46" t="n"/>
    </row>
    <row r="1482">
      <c r="H1482" s="47">
        <f>IF(AND(E1482&lt;&gt;"",F1482&lt;&gt;""), F1482-E1482, IF(G1482&lt;&gt;"", G1482, 0))</f>
        <v/>
      </c>
      <c r="I1482" s="48">
        <f>H1482*Settings!$B$5</f>
        <v/>
      </c>
      <c r="K1482">
        <f>IF(AND(A1482&lt;&gt;"",C1482&lt;&gt;"",D1482&lt;&gt;"",H1482&gt;0),"✓","⚠ missing")</f>
        <v/>
      </c>
      <c r="L1482" s="44" t="n"/>
      <c r="M1482" s="45" t="n"/>
      <c r="N1482" s="39" t="n"/>
      <c r="O1482" s="46" t="n"/>
    </row>
    <row r="1483">
      <c r="H1483" s="47">
        <f>IF(AND(E1483&lt;&gt;"",F1483&lt;&gt;""), F1483-E1483, IF(G1483&lt;&gt;"", G1483, 0))</f>
        <v/>
      </c>
      <c r="I1483" s="48">
        <f>H1483*Settings!$B$5</f>
        <v/>
      </c>
      <c r="K1483">
        <f>IF(AND(A1483&lt;&gt;"",C1483&lt;&gt;"",D1483&lt;&gt;"",H1483&gt;0),"✓","⚠ missing")</f>
        <v/>
      </c>
      <c r="L1483" s="44" t="n"/>
      <c r="M1483" s="45" t="n"/>
      <c r="N1483" s="39" t="n"/>
      <c r="O1483" s="46" t="n"/>
    </row>
    <row r="1484">
      <c r="H1484" s="47">
        <f>IF(AND(E1484&lt;&gt;"",F1484&lt;&gt;""), F1484-E1484, IF(G1484&lt;&gt;"", G1484, 0))</f>
        <v/>
      </c>
      <c r="I1484" s="48">
        <f>H1484*Settings!$B$5</f>
        <v/>
      </c>
      <c r="K1484">
        <f>IF(AND(A1484&lt;&gt;"",C1484&lt;&gt;"",D1484&lt;&gt;"",H1484&gt;0),"✓","⚠ missing")</f>
        <v/>
      </c>
      <c r="L1484" s="44" t="n"/>
      <c r="M1484" s="45" t="n"/>
      <c r="N1484" s="39" t="n"/>
      <c r="O1484" s="46" t="n"/>
    </row>
    <row r="1485">
      <c r="H1485" s="47">
        <f>IF(AND(E1485&lt;&gt;"",F1485&lt;&gt;""), F1485-E1485, IF(G1485&lt;&gt;"", G1485, 0))</f>
        <v/>
      </c>
      <c r="I1485" s="48">
        <f>H1485*Settings!$B$5</f>
        <v/>
      </c>
      <c r="K1485">
        <f>IF(AND(A1485&lt;&gt;"",C1485&lt;&gt;"",D1485&lt;&gt;"",H1485&gt;0),"✓","⚠ missing")</f>
        <v/>
      </c>
      <c r="L1485" s="44" t="n"/>
      <c r="M1485" s="45" t="n"/>
      <c r="N1485" s="39" t="n"/>
      <c r="O1485" s="46" t="n"/>
    </row>
    <row r="1486">
      <c r="H1486" s="47">
        <f>IF(AND(E1486&lt;&gt;"",F1486&lt;&gt;""), F1486-E1486, IF(G1486&lt;&gt;"", G1486, 0))</f>
        <v/>
      </c>
      <c r="I1486" s="48">
        <f>H1486*Settings!$B$5</f>
        <v/>
      </c>
      <c r="K1486">
        <f>IF(AND(A1486&lt;&gt;"",C1486&lt;&gt;"",D1486&lt;&gt;"",H1486&gt;0),"✓","⚠ missing")</f>
        <v/>
      </c>
      <c r="L1486" s="44" t="n"/>
      <c r="M1486" s="45" t="n"/>
      <c r="N1486" s="39" t="n"/>
      <c r="O1486" s="46" t="n"/>
    </row>
    <row r="1487">
      <c r="H1487" s="47">
        <f>IF(AND(E1487&lt;&gt;"",F1487&lt;&gt;""), F1487-E1487, IF(G1487&lt;&gt;"", G1487, 0))</f>
        <v/>
      </c>
      <c r="I1487" s="48">
        <f>H1487*Settings!$B$5</f>
        <v/>
      </c>
      <c r="K1487">
        <f>IF(AND(A1487&lt;&gt;"",C1487&lt;&gt;"",D1487&lt;&gt;"",H1487&gt;0),"✓","⚠ missing")</f>
        <v/>
      </c>
      <c r="L1487" s="44" t="n"/>
      <c r="M1487" s="45" t="n"/>
      <c r="N1487" s="39" t="n"/>
      <c r="O1487" s="46" t="n"/>
    </row>
    <row r="1488">
      <c r="H1488" s="47">
        <f>IF(AND(E1488&lt;&gt;"",F1488&lt;&gt;""), F1488-E1488, IF(G1488&lt;&gt;"", G1488, 0))</f>
        <v/>
      </c>
      <c r="I1488" s="48">
        <f>H1488*Settings!$B$5</f>
        <v/>
      </c>
      <c r="K1488">
        <f>IF(AND(A1488&lt;&gt;"",C1488&lt;&gt;"",D1488&lt;&gt;"",H1488&gt;0),"✓","⚠ missing")</f>
        <v/>
      </c>
      <c r="L1488" s="44" t="n"/>
      <c r="M1488" s="45" t="n"/>
      <c r="N1488" s="39" t="n"/>
      <c r="O1488" s="46" t="n"/>
    </row>
    <row r="1489">
      <c r="H1489" s="47">
        <f>IF(AND(E1489&lt;&gt;"",F1489&lt;&gt;""), F1489-E1489, IF(G1489&lt;&gt;"", G1489, 0))</f>
        <v/>
      </c>
      <c r="I1489" s="48">
        <f>H1489*Settings!$B$5</f>
        <v/>
      </c>
      <c r="K1489">
        <f>IF(AND(A1489&lt;&gt;"",C1489&lt;&gt;"",D1489&lt;&gt;"",H1489&gt;0),"✓","⚠ missing")</f>
        <v/>
      </c>
      <c r="L1489" s="44" t="n"/>
      <c r="M1489" s="45" t="n"/>
      <c r="N1489" s="39" t="n"/>
      <c r="O1489" s="46" t="n"/>
    </row>
    <row r="1490">
      <c r="H1490" s="47">
        <f>IF(AND(E1490&lt;&gt;"",F1490&lt;&gt;""), F1490-E1490, IF(G1490&lt;&gt;"", G1490, 0))</f>
        <v/>
      </c>
      <c r="I1490" s="48">
        <f>H1490*Settings!$B$5</f>
        <v/>
      </c>
      <c r="K1490">
        <f>IF(AND(A1490&lt;&gt;"",C1490&lt;&gt;"",D1490&lt;&gt;"",H1490&gt;0),"✓","⚠ missing")</f>
        <v/>
      </c>
      <c r="L1490" s="44" t="n"/>
      <c r="M1490" s="45" t="n"/>
      <c r="N1490" s="39" t="n"/>
      <c r="O1490" s="46" t="n"/>
    </row>
    <row r="1491">
      <c r="H1491" s="47">
        <f>IF(AND(E1491&lt;&gt;"",F1491&lt;&gt;""), F1491-E1491, IF(G1491&lt;&gt;"", G1491, 0))</f>
        <v/>
      </c>
      <c r="I1491" s="48">
        <f>H1491*Settings!$B$5</f>
        <v/>
      </c>
      <c r="K1491">
        <f>IF(AND(A1491&lt;&gt;"",C1491&lt;&gt;"",D1491&lt;&gt;"",H1491&gt;0),"✓","⚠ missing")</f>
        <v/>
      </c>
      <c r="L1491" s="44" t="n"/>
      <c r="M1491" s="45" t="n"/>
      <c r="N1491" s="39" t="n"/>
      <c r="O1491" s="46" t="n"/>
    </row>
    <row r="1492">
      <c r="H1492" s="47">
        <f>IF(AND(E1492&lt;&gt;"",F1492&lt;&gt;""), F1492-E1492, IF(G1492&lt;&gt;"", G1492, 0))</f>
        <v/>
      </c>
      <c r="I1492" s="48">
        <f>H1492*Settings!$B$5</f>
        <v/>
      </c>
      <c r="K1492">
        <f>IF(AND(A1492&lt;&gt;"",C1492&lt;&gt;"",D1492&lt;&gt;"",H1492&gt;0),"✓","⚠ missing")</f>
        <v/>
      </c>
      <c r="L1492" s="44" t="n"/>
      <c r="M1492" s="45" t="n"/>
      <c r="N1492" s="39" t="n"/>
      <c r="O1492" s="46" t="n"/>
    </row>
    <row r="1493">
      <c r="H1493" s="47">
        <f>IF(AND(E1493&lt;&gt;"",F1493&lt;&gt;""), F1493-E1493, IF(G1493&lt;&gt;"", G1493, 0))</f>
        <v/>
      </c>
      <c r="I1493" s="48">
        <f>H1493*Settings!$B$5</f>
        <v/>
      </c>
      <c r="K1493">
        <f>IF(AND(A1493&lt;&gt;"",C1493&lt;&gt;"",D1493&lt;&gt;"",H1493&gt;0),"✓","⚠ missing")</f>
        <v/>
      </c>
      <c r="L1493" s="44" t="n"/>
      <c r="M1493" s="45" t="n"/>
      <c r="N1493" s="39" t="n"/>
      <c r="O1493" s="46" t="n"/>
    </row>
    <row r="1494">
      <c r="H1494" s="47">
        <f>IF(AND(E1494&lt;&gt;"",F1494&lt;&gt;""), F1494-E1494, IF(G1494&lt;&gt;"", G1494, 0))</f>
        <v/>
      </c>
      <c r="I1494" s="48">
        <f>H1494*Settings!$B$5</f>
        <v/>
      </c>
      <c r="K1494">
        <f>IF(AND(A1494&lt;&gt;"",C1494&lt;&gt;"",D1494&lt;&gt;"",H1494&gt;0),"✓","⚠ missing")</f>
        <v/>
      </c>
      <c r="L1494" s="44" t="n"/>
      <c r="M1494" s="45" t="n"/>
      <c r="N1494" s="39" t="n"/>
      <c r="O1494" s="46" t="n"/>
    </row>
    <row r="1495">
      <c r="H1495" s="47">
        <f>IF(AND(E1495&lt;&gt;"",F1495&lt;&gt;""), F1495-E1495, IF(G1495&lt;&gt;"", G1495, 0))</f>
        <v/>
      </c>
      <c r="I1495" s="48">
        <f>H1495*Settings!$B$5</f>
        <v/>
      </c>
      <c r="K1495">
        <f>IF(AND(A1495&lt;&gt;"",C1495&lt;&gt;"",D1495&lt;&gt;"",H1495&gt;0),"✓","⚠ missing")</f>
        <v/>
      </c>
      <c r="L1495" s="44" t="n"/>
      <c r="M1495" s="45" t="n"/>
      <c r="N1495" s="39" t="n"/>
      <c r="O1495" s="46" t="n"/>
    </row>
    <row r="1496">
      <c r="H1496" s="47">
        <f>IF(AND(E1496&lt;&gt;"",F1496&lt;&gt;""), F1496-E1496, IF(G1496&lt;&gt;"", G1496, 0))</f>
        <v/>
      </c>
      <c r="I1496" s="48">
        <f>H1496*Settings!$B$5</f>
        <v/>
      </c>
      <c r="K1496">
        <f>IF(AND(A1496&lt;&gt;"",C1496&lt;&gt;"",D1496&lt;&gt;"",H1496&gt;0),"✓","⚠ missing")</f>
        <v/>
      </c>
      <c r="L1496" s="44" t="n"/>
      <c r="M1496" s="45" t="n"/>
      <c r="N1496" s="39" t="n"/>
      <c r="O1496" s="46" t="n"/>
    </row>
    <row r="1497">
      <c r="H1497" s="47">
        <f>IF(AND(E1497&lt;&gt;"",F1497&lt;&gt;""), F1497-E1497, IF(G1497&lt;&gt;"", G1497, 0))</f>
        <v/>
      </c>
      <c r="I1497" s="48">
        <f>H1497*Settings!$B$5</f>
        <v/>
      </c>
      <c r="K1497">
        <f>IF(AND(A1497&lt;&gt;"",C1497&lt;&gt;"",D1497&lt;&gt;"",H1497&gt;0),"✓","⚠ missing")</f>
        <v/>
      </c>
      <c r="L1497" s="44" t="n"/>
      <c r="M1497" s="45" t="n"/>
      <c r="N1497" s="39" t="n"/>
      <c r="O1497" s="46" t="n"/>
    </row>
    <row r="1498">
      <c r="H1498" s="47">
        <f>IF(AND(E1498&lt;&gt;"",F1498&lt;&gt;""), F1498-E1498, IF(G1498&lt;&gt;"", G1498, 0))</f>
        <v/>
      </c>
      <c r="I1498" s="48">
        <f>H1498*Settings!$B$5</f>
        <v/>
      </c>
      <c r="K1498">
        <f>IF(AND(A1498&lt;&gt;"",C1498&lt;&gt;"",D1498&lt;&gt;"",H1498&gt;0),"✓","⚠ missing")</f>
        <v/>
      </c>
      <c r="L1498" s="44" t="n"/>
      <c r="M1498" s="45" t="n"/>
      <c r="N1498" s="39" t="n"/>
      <c r="O1498" s="46" t="n"/>
    </row>
    <row r="1499">
      <c r="H1499" s="47">
        <f>IF(AND(E1499&lt;&gt;"",F1499&lt;&gt;""), F1499-E1499, IF(G1499&lt;&gt;"", G1499, 0))</f>
        <v/>
      </c>
      <c r="I1499" s="48">
        <f>H1499*Settings!$B$5</f>
        <v/>
      </c>
      <c r="K1499">
        <f>IF(AND(A1499&lt;&gt;"",C1499&lt;&gt;"",D1499&lt;&gt;"",H1499&gt;0),"✓","⚠ missing")</f>
        <v/>
      </c>
      <c r="L1499" s="44" t="n"/>
      <c r="M1499" s="45" t="n"/>
      <c r="N1499" s="39" t="n"/>
      <c r="O1499" s="46" t="n"/>
    </row>
    <row r="1500">
      <c r="H1500" s="47">
        <f>IF(AND(E1500&lt;&gt;"",F1500&lt;&gt;""), F1500-E1500, IF(G1500&lt;&gt;"", G1500, 0))</f>
        <v/>
      </c>
      <c r="I1500" s="48">
        <f>H1500*Settings!$B$5</f>
        <v/>
      </c>
      <c r="K1500">
        <f>IF(AND(A1500&lt;&gt;"",C1500&lt;&gt;"",D1500&lt;&gt;"",H1500&gt;0),"✓","⚠ missing")</f>
        <v/>
      </c>
      <c r="L1500" s="44" t="n"/>
      <c r="M1500" s="45" t="n"/>
      <c r="N1500" s="39" t="n"/>
      <c r="O1500" s="46" t="n"/>
    </row>
    <row r="1501">
      <c r="H1501" s="47">
        <f>IF(AND(E1501&lt;&gt;"",F1501&lt;&gt;""), F1501-E1501, IF(G1501&lt;&gt;"", G1501, 0))</f>
        <v/>
      </c>
      <c r="I1501" s="48">
        <f>H1501*Settings!$B$5</f>
        <v/>
      </c>
      <c r="K1501">
        <f>IF(AND(A1501&lt;&gt;"",C1501&lt;&gt;"",D1501&lt;&gt;"",H1501&gt;0),"✓","⚠ missing")</f>
        <v/>
      </c>
      <c r="L1501" s="44" t="n"/>
      <c r="M1501" s="45" t="n"/>
      <c r="N1501" s="39" t="n"/>
      <c r="O1501" s="46" t="n"/>
    </row>
    <row r="1502">
      <c r="H1502" s="47">
        <f>IF(AND(E1502&lt;&gt;"",F1502&lt;&gt;""), F1502-E1502, IF(G1502&lt;&gt;"", G1502, 0))</f>
        <v/>
      </c>
      <c r="I1502" s="48">
        <f>H1502*Settings!$B$5</f>
        <v/>
      </c>
      <c r="K1502">
        <f>IF(AND(A1502&lt;&gt;"",C1502&lt;&gt;"",D1502&lt;&gt;"",H1502&gt;0),"✓","⚠ missing")</f>
        <v/>
      </c>
      <c r="L1502" s="44" t="n"/>
      <c r="M1502" s="45" t="n"/>
      <c r="N1502" s="39" t="n"/>
      <c r="O1502" s="46" t="n"/>
    </row>
    <row r="1503">
      <c r="H1503" s="47">
        <f>IF(AND(E1503&lt;&gt;"",F1503&lt;&gt;""), F1503-E1503, IF(G1503&lt;&gt;"", G1503, 0))</f>
        <v/>
      </c>
      <c r="I1503" s="48">
        <f>H1503*Settings!$B$5</f>
        <v/>
      </c>
      <c r="K1503">
        <f>IF(AND(A1503&lt;&gt;"",C1503&lt;&gt;"",D1503&lt;&gt;"",H1503&gt;0),"✓","⚠ missing")</f>
        <v/>
      </c>
      <c r="L1503" s="44" t="n"/>
      <c r="M1503" s="45" t="n"/>
      <c r="N1503" s="39" t="n"/>
      <c r="O1503" s="46" t="n"/>
    </row>
    <row r="1504">
      <c r="H1504" s="47">
        <f>IF(AND(E1504&lt;&gt;"",F1504&lt;&gt;""), F1504-E1504, IF(G1504&lt;&gt;"", G1504, 0))</f>
        <v/>
      </c>
      <c r="I1504" s="48">
        <f>H1504*Settings!$B$5</f>
        <v/>
      </c>
      <c r="K1504">
        <f>IF(AND(A1504&lt;&gt;"",C1504&lt;&gt;"",D1504&lt;&gt;"",H1504&gt;0),"✓","⚠ missing")</f>
        <v/>
      </c>
      <c r="L1504" s="44" t="n"/>
      <c r="M1504" s="45" t="n"/>
      <c r="N1504" s="39" t="n"/>
      <c r="O1504" s="46" t="n"/>
    </row>
    <row r="1505">
      <c r="H1505" s="47">
        <f>IF(AND(E1505&lt;&gt;"",F1505&lt;&gt;""), F1505-E1505, IF(G1505&lt;&gt;"", G1505, 0))</f>
        <v/>
      </c>
      <c r="I1505" s="48">
        <f>H1505*Settings!$B$5</f>
        <v/>
      </c>
      <c r="K1505">
        <f>IF(AND(A1505&lt;&gt;"",C1505&lt;&gt;"",D1505&lt;&gt;"",H1505&gt;0),"✓","⚠ missing")</f>
        <v/>
      </c>
      <c r="L1505" s="44" t="n"/>
      <c r="M1505" s="45" t="n"/>
      <c r="N1505" s="39" t="n"/>
      <c r="O1505" s="46" t="n"/>
    </row>
    <row r="1506">
      <c r="H1506" s="47">
        <f>IF(AND(E1506&lt;&gt;"",F1506&lt;&gt;""), F1506-E1506, IF(G1506&lt;&gt;"", G1506, 0))</f>
        <v/>
      </c>
      <c r="I1506" s="48">
        <f>H1506*Settings!$B$5</f>
        <v/>
      </c>
      <c r="K1506">
        <f>IF(AND(A1506&lt;&gt;"",C1506&lt;&gt;"",D1506&lt;&gt;"",H1506&gt;0),"✓","⚠ missing")</f>
        <v/>
      </c>
      <c r="L1506" s="44" t="n"/>
      <c r="M1506" s="45" t="n"/>
      <c r="N1506" s="39" t="n"/>
      <c r="O1506" s="46" t="n"/>
    </row>
    <row r="1507">
      <c r="H1507" s="47">
        <f>IF(AND(E1507&lt;&gt;"",F1507&lt;&gt;""), F1507-E1507, IF(G1507&lt;&gt;"", G1507, 0))</f>
        <v/>
      </c>
      <c r="I1507" s="48">
        <f>H1507*Settings!$B$5</f>
        <v/>
      </c>
      <c r="K1507">
        <f>IF(AND(A1507&lt;&gt;"",C1507&lt;&gt;"",D1507&lt;&gt;"",H1507&gt;0),"✓","⚠ missing")</f>
        <v/>
      </c>
      <c r="L1507" s="44" t="n"/>
      <c r="M1507" s="45" t="n"/>
      <c r="N1507" s="39" t="n"/>
      <c r="O1507" s="46" t="n"/>
    </row>
    <row r="1508">
      <c r="H1508" s="47">
        <f>IF(AND(E1508&lt;&gt;"",F1508&lt;&gt;""), F1508-E1508, IF(G1508&lt;&gt;"", G1508, 0))</f>
        <v/>
      </c>
      <c r="I1508" s="48">
        <f>H1508*Settings!$B$5</f>
        <v/>
      </c>
      <c r="K1508">
        <f>IF(AND(A1508&lt;&gt;"",C1508&lt;&gt;"",D1508&lt;&gt;"",H1508&gt;0),"✓","⚠ missing")</f>
        <v/>
      </c>
      <c r="L1508" s="44" t="n"/>
      <c r="M1508" s="45" t="n"/>
      <c r="N1508" s="39" t="n"/>
      <c r="O1508" s="46" t="n"/>
    </row>
    <row r="1509">
      <c r="H1509" s="47">
        <f>IF(AND(E1509&lt;&gt;"",F1509&lt;&gt;""), F1509-E1509, IF(G1509&lt;&gt;"", G1509, 0))</f>
        <v/>
      </c>
      <c r="I1509" s="48">
        <f>H1509*Settings!$B$5</f>
        <v/>
      </c>
      <c r="K1509">
        <f>IF(AND(A1509&lt;&gt;"",C1509&lt;&gt;"",D1509&lt;&gt;"",H1509&gt;0),"✓","⚠ missing")</f>
        <v/>
      </c>
      <c r="L1509" s="44" t="n"/>
      <c r="M1509" s="45" t="n"/>
      <c r="N1509" s="39" t="n"/>
      <c r="O1509" s="46" t="n"/>
    </row>
    <row r="1510">
      <c r="H1510" s="47">
        <f>IF(AND(E1510&lt;&gt;"",F1510&lt;&gt;""), F1510-E1510, IF(G1510&lt;&gt;"", G1510, 0))</f>
        <v/>
      </c>
      <c r="I1510" s="48">
        <f>H1510*Settings!$B$5</f>
        <v/>
      </c>
      <c r="K1510">
        <f>IF(AND(A1510&lt;&gt;"",C1510&lt;&gt;"",D1510&lt;&gt;"",H1510&gt;0),"✓","⚠ missing")</f>
        <v/>
      </c>
      <c r="L1510" s="44" t="n"/>
      <c r="M1510" s="45" t="n"/>
      <c r="N1510" s="39" t="n"/>
      <c r="O1510" s="46" t="n"/>
    </row>
    <row r="1511">
      <c r="H1511" s="47">
        <f>IF(AND(E1511&lt;&gt;"",F1511&lt;&gt;""), F1511-E1511, IF(G1511&lt;&gt;"", G1511, 0))</f>
        <v/>
      </c>
      <c r="I1511" s="48">
        <f>H1511*Settings!$B$5</f>
        <v/>
      </c>
      <c r="K1511">
        <f>IF(AND(A1511&lt;&gt;"",C1511&lt;&gt;"",D1511&lt;&gt;"",H1511&gt;0),"✓","⚠ missing")</f>
        <v/>
      </c>
      <c r="L1511" s="44" t="n"/>
      <c r="M1511" s="45" t="n"/>
      <c r="N1511" s="39" t="n"/>
      <c r="O1511" s="46" t="n"/>
    </row>
    <row r="1512">
      <c r="H1512" s="47">
        <f>IF(AND(E1512&lt;&gt;"",F1512&lt;&gt;""), F1512-E1512, IF(G1512&lt;&gt;"", G1512, 0))</f>
        <v/>
      </c>
      <c r="I1512" s="48">
        <f>H1512*Settings!$B$5</f>
        <v/>
      </c>
      <c r="K1512">
        <f>IF(AND(A1512&lt;&gt;"",C1512&lt;&gt;"",D1512&lt;&gt;"",H1512&gt;0),"✓","⚠ missing")</f>
        <v/>
      </c>
      <c r="L1512" s="44" t="n"/>
      <c r="M1512" s="45" t="n"/>
      <c r="N1512" s="39" t="n"/>
      <c r="O1512" s="46" t="n"/>
    </row>
    <row r="1513">
      <c r="H1513" s="47">
        <f>IF(AND(E1513&lt;&gt;"",F1513&lt;&gt;""), F1513-E1513, IF(G1513&lt;&gt;"", G1513, 0))</f>
        <v/>
      </c>
      <c r="I1513" s="48">
        <f>H1513*Settings!$B$5</f>
        <v/>
      </c>
      <c r="K1513">
        <f>IF(AND(A1513&lt;&gt;"",C1513&lt;&gt;"",D1513&lt;&gt;"",H1513&gt;0),"✓","⚠ missing")</f>
        <v/>
      </c>
      <c r="L1513" s="44" t="n"/>
      <c r="M1513" s="45" t="n"/>
      <c r="N1513" s="39" t="n"/>
      <c r="O1513" s="46" t="n"/>
    </row>
    <row r="1514">
      <c r="H1514" s="47">
        <f>IF(AND(E1514&lt;&gt;"",F1514&lt;&gt;""), F1514-E1514, IF(G1514&lt;&gt;"", G1514, 0))</f>
        <v/>
      </c>
      <c r="I1514" s="48">
        <f>H1514*Settings!$B$5</f>
        <v/>
      </c>
      <c r="K1514">
        <f>IF(AND(A1514&lt;&gt;"",C1514&lt;&gt;"",D1514&lt;&gt;"",H1514&gt;0),"✓","⚠ missing")</f>
        <v/>
      </c>
      <c r="L1514" s="44" t="n"/>
      <c r="M1514" s="45" t="n"/>
      <c r="N1514" s="39" t="n"/>
      <c r="O1514" s="46" t="n"/>
    </row>
    <row r="1515">
      <c r="H1515" s="47">
        <f>IF(AND(E1515&lt;&gt;"",F1515&lt;&gt;""), F1515-E1515, IF(G1515&lt;&gt;"", G1515, 0))</f>
        <v/>
      </c>
      <c r="I1515" s="48">
        <f>H1515*Settings!$B$5</f>
        <v/>
      </c>
      <c r="K1515">
        <f>IF(AND(A1515&lt;&gt;"",C1515&lt;&gt;"",D1515&lt;&gt;"",H1515&gt;0),"✓","⚠ missing")</f>
        <v/>
      </c>
      <c r="L1515" s="44" t="n"/>
      <c r="M1515" s="45" t="n"/>
      <c r="N1515" s="39" t="n"/>
      <c r="O1515" s="46" t="n"/>
    </row>
    <row r="1516">
      <c r="H1516" s="47">
        <f>IF(AND(E1516&lt;&gt;"",F1516&lt;&gt;""), F1516-E1516, IF(G1516&lt;&gt;"", G1516, 0))</f>
        <v/>
      </c>
      <c r="I1516" s="48">
        <f>H1516*Settings!$B$5</f>
        <v/>
      </c>
      <c r="K1516">
        <f>IF(AND(A1516&lt;&gt;"",C1516&lt;&gt;"",D1516&lt;&gt;"",H1516&gt;0),"✓","⚠ missing")</f>
        <v/>
      </c>
      <c r="L1516" s="44" t="n"/>
      <c r="M1516" s="45" t="n"/>
      <c r="N1516" s="39" t="n"/>
      <c r="O1516" s="46" t="n"/>
    </row>
    <row r="1517">
      <c r="H1517" s="47">
        <f>IF(AND(E1517&lt;&gt;"",F1517&lt;&gt;""), F1517-E1517, IF(G1517&lt;&gt;"", G1517, 0))</f>
        <v/>
      </c>
      <c r="I1517" s="48">
        <f>H1517*Settings!$B$5</f>
        <v/>
      </c>
      <c r="K1517">
        <f>IF(AND(A1517&lt;&gt;"",C1517&lt;&gt;"",D1517&lt;&gt;"",H1517&gt;0),"✓","⚠ missing")</f>
        <v/>
      </c>
      <c r="L1517" s="44" t="n"/>
      <c r="M1517" s="45" t="n"/>
      <c r="N1517" s="39" t="n"/>
      <c r="O1517" s="46" t="n"/>
    </row>
    <row r="1518">
      <c r="H1518" s="47">
        <f>IF(AND(E1518&lt;&gt;"",F1518&lt;&gt;""), F1518-E1518, IF(G1518&lt;&gt;"", G1518, 0))</f>
        <v/>
      </c>
      <c r="I1518" s="48">
        <f>H1518*Settings!$B$5</f>
        <v/>
      </c>
      <c r="K1518">
        <f>IF(AND(A1518&lt;&gt;"",C1518&lt;&gt;"",D1518&lt;&gt;"",H1518&gt;0),"✓","⚠ missing")</f>
        <v/>
      </c>
      <c r="L1518" s="44" t="n"/>
      <c r="M1518" s="45" t="n"/>
      <c r="N1518" s="39" t="n"/>
      <c r="O1518" s="46" t="n"/>
    </row>
    <row r="1519">
      <c r="H1519" s="47">
        <f>IF(AND(E1519&lt;&gt;"",F1519&lt;&gt;""), F1519-E1519, IF(G1519&lt;&gt;"", G1519, 0))</f>
        <v/>
      </c>
      <c r="I1519" s="48">
        <f>H1519*Settings!$B$5</f>
        <v/>
      </c>
      <c r="K1519">
        <f>IF(AND(A1519&lt;&gt;"",C1519&lt;&gt;"",D1519&lt;&gt;"",H1519&gt;0),"✓","⚠ missing")</f>
        <v/>
      </c>
      <c r="L1519" s="44" t="n"/>
      <c r="M1519" s="45" t="n"/>
      <c r="N1519" s="39" t="n"/>
      <c r="O1519" s="46" t="n"/>
    </row>
    <row r="1520">
      <c r="H1520" s="47">
        <f>IF(AND(E1520&lt;&gt;"",F1520&lt;&gt;""), F1520-E1520, IF(G1520&lt;&gt;"", G1520, 0))</f>
        <v/>
      </c>
      <c r="I1520" s="48">
        <f>H1520*Settings!$B$5</f>
        <v/>
      </c>
      <c r="K1520">
        <f>IF(AND(A1520&lt;&gt;"",C1520&lt;&gt;"",D1520&lt;&gt;"",H1520&gt;0),"✓","⚠ missing")</f>
        <v/>
      </c>
      <c r="L1520" s="44" t="n"/>
      <c r="M1520" s="45" t="n"/>
      <c r="N1520" s="39" t="n"/>
      <c r="O1520" s="46" t="n"/>
    </row>
    <row r="1521">
      <c r="H1521" s="47">
        <f>IF(AND(E1521&lt;&gt;"",F1521&lt;&gt;""), F1521-E1521, IF(G1521&lt;&gt;"", G1521, 0))</f>
        <v/>
      </c>
      <c r="I1521" s="48">
        <f>H1521*Settings!$B$5</f>
        <v/>
      </c>
      <c r="K1521">
        <f>IF(AND(A1521&lt;&gt;"",C1521&lt;&gt;"",D1521&lt;&gt;"",H1521&gt;0),"✓","⚠ missing")</f>
        <v/>
      </c>
      <c r="L1521" s="44" t="n"/>
      <c r="M1521" s="45" t="n"/>
      <c r="N1521" s="39" t="n"/>
      <c r="O1521" s="46" t="n"/>
    </row>
    <row r="1522">
      <c r="H1522" s="47">
        <f>IF(AND(E1522&lt;&gt;"",F1522&lt;&gt;""), F1522-E1522, IF(G1522&lt;&gt;"", G1522, 0))</f>
        <v/>
      </c>
      <c r="I1522" s="48">
        <f>H1522*Settings!$B$5</f>
        <v/>
      </c>
      <c r="K1522">
        <f>IF(AND(A1522&lt;&gt;"",C1522&lt;&gt;"",D1522&lt;&gt;"",H1522&gt;0),"✓","⚠ missing")</f>
        <v/>
      </c>
      <c r="L1522" s="44" t="n"/>
      <c r="M1522" s="45" t="n"/>
      <c r="N1522" s="39" t="n"/>
      <c r="O1522" s="46" t="n"/>
    </row>
    <row r="1523">
      <c r="H1523" s="47">
        <f>IF(AND(E1523&lt;&gt;"",F1523&lt;&gt;""), F1523-E1523, IF(G1523&lt;&gt;"", G1523, 0))</f>
        <v/>
      </c>
      <c r="I1523" s="48">
        <f>H1523*Settings!$B$5</f>
        <v/>
      </c>
      <c r="K1523">
        <f>IF(AND(A1523&lt;&gt;"",C1523&lt;&gt;"",D1523&lt;&gt;"",H1523&gt;0),"✓","⚠ missing")</f>
        <v/>
      </c>
      <c r="L1523" s="44" t="n"/>
      <c r="M1523" s="45" t="n"/>
      <c r="N1523" s="39" t="n"/>
      <c r="O1523" s="46" t="n"/>
    </row>
    <row r="1524">
      <c r="H1524" s="47">
        <f>IF(AND(E1524&lt;&gt;"",F1524&lt;&gt;""), F1524-E1524, IF(G1524&lt;&gt;"", G1524, 0))</f>
        <v/>
      </c>
      <c r="I1524" s="48">
        <f>H1524*Settings!$B$5</f>
        <v/>
      </c>
      <c r="K1524">
        <f>IF(AND(A1524&lt;&gt;"",C1524&lt;&gt;"",D1524&lt;&gt;"",H1524&gt;0),"✓","⚠ missing")</f>
        <v/>
      </c>
      <c r="L1524" s="44" t="n"/>
      <c r="M1524" s="45" t="n"/>
      <c r="N1524" s="39" t="n"/>
      <c r="O1524" s="46" t="n"/>
    </row>
    <row r="1525">
      <c r="H1525" s="47">
        <f>IF(AND(E1525&lt;&gt;"",F1525&lt;&gt;""), F1525-E1525, IF(G1525&lt;&gt;"", G1525, 0))</f>
        <v/>
      </c>
      <c r="I1525" s="48">
        <f>H1525*Settings!$B$5</f>
        <v/>
      </c>
      <c r="K1525">
        <f>IF(AND(A1525&lt;&gt;"",C1525&lt;&gt;"",D1525&lt;&gt;"",H1525&gt;0),"✓","⚠ missing")</f>
        <v/>
      </c>
      <c r="L1525" s="44" t="n"/>
      <c r="M1525" s="45" t="n"/>
      <c r="N1525" s="39" t="n"/>
      <c r="O1525" s="46" t="n"/>
    </row>
    <row r="1526">
      <c r="H1526" s="47">
        <f>IF(AND(E1526&lt;&gt;"",F1526&lt;&gt;""), F1526-E1526, IF(G1526&lt;&gt;"", G1526, 0))</f>
        <v/>
      </c>
      <c r="I1526" s="48">
        <f>H1526*Settings!$B$5</f>
        <v/>
      </c>
      <c r="K1526">
        <f>IF(AND(A1526&lt;&gt;"",C1526&lt;&gt;"",D1526&lt;&gt;"",H1526&gt;0),"✓","⚠ missing")</f>
        <v/>
      </c>
      <c r="L1526" s="44" t="n"/>
      <c r="M1526" s="45" t="n"/>
      <c r="N1526" s="39" t="n"/>
      <c r="O1526" s="46" t="n"/>
    </row>
    <row r="1527">
      <c r="H1527" s="47">
        <f>IF(AND(E1527&lt;&gt;"",F1527&lt;&gt;""), F1527-E1527, IF(G1527&lt;&gt;"", G1527, 0))</f>
        <v/>
      </c>
      <c r="I1527" s="48">
        <f>H1527*Settings!$B$5</f>
        <v/>
      </c>
      <c r="K1527">
        <f>IF(AND(A1527&lt;&gt;"",C1527&lt;&gt;"",D1527&lt;&gt;"",H1527&gt;0),"✓","⚠ missing")</f>
        <v/>
      </c>
      <c r="L1527" s="44" t="n"/>
      <c r="M1527" s="45" t="n"/>
      <c r="N1527" s="39" t="n"/>
      <c r="O1527" s="46" t="n"/>
    </row>
    <row r="1528">
      <c r="H1528" s="47">
        <f>IF(AND(E1528&lt;&gt;"",F1528&lt;&gt;""), F1528-E1528, IF(G1528&lt;&gt;"", G1528, 0))</f>
        <v/>
      </c>
      <c r="I1528" s="48">
        <f>H1528*Settings!$B$5</f>
        <v/>
      </c>
      <c r="K1528">
        <f>IF(AND(A1528&lt;&gt;"",C1528&lt;&gt;"",D1528&lt;&gt;"",H1528&gt;0),"✓","⚠ missing")</f>
        <v/>
      </c>
      <c r="L1528" s="44" t="n"/>
      <c r="M1528" s="45" t="n"/>
      <c r="N1528" s="39" t="n"/>
      <c r="O1528" s="46" t="n"/>
    </row>
    <row r="1529">
      <c r="H1529" s="47">
        <f>IF(AND(E1529&lt;&gt;"",F1529&lt;&gt;""), F1529-E1529, IF(G1529&lt;&gt;"", G1529, 0))</f>
        <v/>
      </c>
      <c r="I1529" s="48">
        <f>H1529*Settings!$B$5</f>
        <v/>
      </c>
      <c r="K1529">
        <f>IF(AND(A1529&lt;&gt;"",C1529&lt;&gt;"",D1529&lt;&gt;"",H1529&gt;0),"✓","⚠ missing")</f>
        <v/>
      </c>
      <c r="L1529" s="44" t="n"/>
      <c r="M1529" s="45" t="n"/>
      <c r="N1529" s="39" t="n"/>
      <c r="O1529" s="46" t="n"/>
    </row>
    <row r="1530">
      <c r="H1530" s="47">
        <f>IF(AND(E1530&lt;&gt;"",F1530&lt;&gt;""), F1530-E1530, IF(G1530&lt;&gt;"", G1530, 0))</f>
        <v/>
      </c>
      <c r="I1530" s="48">
        <f>H1530*Settings!$B$5</f>
        <v/>
      </c>
      <c r="K1530">
        <f>IF(AND(A1530&lt;&gt;"",C1530&lt;&gt;"",D1530&lt;&gt;"",H1530&gt;0),"✓","⚠ missing")</f>
        <v/>
      </c>
      <c r="L1530" s="44" t="n"/>
      <c r="M1530" s="45" t="n"/>
      <c r="N1530" s="39" t="n"/>
      <c r="O1530" s="46" t="n"/>
    </row>
    <row r="1531">
      <c r="H1531" s="47">
        <f>IF(AND(E1531&lt;&gt;"",F1531&lt;&gt;""), F1531-E1531, IF(G1531&lt;&gt;"", G1531, 0))</f>
        <v/>
      </c>
      <c r="I1531" s="48">
        <f>H1531*Settings!$B$5</f>
        <v/>
      </c>
      <c r="K1531">
        <f>IF(AND(A1531&lt;&gt;"",C1531&lt;&gt;"",D1531&lt;&gt;"",H1531&gt;0),"✓","⚠ missing")</f>
        <v/>
      </c>
      <c r="L1531" s="44" t="n"/>
      <c r="M1531" s="45" t="n"/>
      <c r="N1531" s="39" t="n"/>
      <c r="O1531" s="46" t="n"/>
    </row>
    <row r="1532">
      <c r="H1532" s="47">
        <f>IF(AND(E1532&lt;&gt;"",F1532&lt;&gt;""), F1532-E1532, IF(G1532&lt;&gt;"", G1532, 0))</f>
        <v/>
      </c>
      <c r="I1532" s="48">
        <f>H1532*Settings!$B$5</f>
        <v/>
      </c>
      <c r="K1532">
        <f>IF(AND(A1532&lt;&gt;"",C1532&lt;&gt;"",D1532&lt;&gt;"",H1532&gt;0),"✓","⚠ missing")</f>
        <v/>
      </c>
      <c r="L1532" s="44" t="n"/>
      <c r="M1532" s="45" t="n"/>
      <c r="N1532" s="39" t="n"/>
      <c r="O1532" s="46" t="n"/>
    </row>
    <row r="1533">
      <c r="H1533" s="47">
        <f>IF(AND(E1533&lt;&gt;"",F1533&lt;&gt;""), F1533-E1533, IF(G1533&lt;&gt;"", G1533, 0))</f>
        <v/>
      </c>
      <c r="I1533" s="48">
        <f>H1533*Settings!$B$5</f>
        <v/>
      </c>
      <c r="K1533">
        <f>IF(AND(A1533&lt;&gt;"",C1533&lt;&gt;"",D1533&lt;&gt;"",H1533&gt;0),"✓","⚠ missing")</f>
        <v/>
      </c>
      <c r="L1533" s="44" t="n"/>
      <c r="M1533" s="45" t="n"/>
      <c r="N1533" s="39" t="n"/>
      <c r="O1533" s="46" t="n"/>
    </row>
    <row r="1534">
      <c r="H1534" s="47">
        <f>IF(AND(E1534&lt;&gt;"",F1534&lt;&gt;""), F1534-E1534, IF(G1534&lt;&gt;"", G1534, 0))</f>
        <v/>
      </c>
      <c r="I1534" s="48">
        <f>H1534*Settings!$B$5</f>
        <v/>
      </c>
      <c r="K1534">
        <f>IF(AND(A1534&lt;&gt;"",C1534&lt;&gt;"",D1534&lt;&gt;"",H1534&gt;0),"✓","⚠ missing")</f>
        <v/>
      </c>
      <c r="L1534" s="44" t="n"/>
      <c r="M1534" s="45" t="n"/>
      <c r="N1534" s="39" t="n"/>
      <c r="O1534" s="46" t="n"/>
    </row>
    <row r="1535">
      <c r="H1535" s="47">
        <f>IF(AND(E1535&lt;&gt;"",F1535&lt;&gt;""), F1535-E1535, IF(G1535&lt;&gt;"", G1535, 0))</f>
        <v/>
      </c>
      <c r="I1535" s="48">
        <f>H1535*Settings!$B$5</f>
        <v/>
      </c>
      <c r="K1535">
        <f>IF(AND(A1535&lt;&gt;"",C1535&lt;&gt;"",D1535&lt;&gt;"",H1535&gt;0),"✓","⚠ missing")</f>
        <v/>
      </c>
      <c r="L1535" s="44" t="n"/>
      <c r="M1535" s="45" t="n"/>
      <c r="N1535" s="39" t="n"/>
      <c r="O1535" s="46" t="n"/>
    </row>
    <row r="1536">
      <c r="H1536" s="47">
        <f>IF(AND(E1536&lt;&gt;"",F1536&lt;&gt;""), F1536-E1536, IF(G1536&lt;&gt;"", G1536, 0))</f>
        <v/>
      </c>
      <c r="I1536" s="48">
        <f>H1536*Settings!$B$5</f>
        <v/>
      </c>
      <c r="K1536">
        <f>IF(AND(A1536&lt;&gt;"",C1536&lt;&gt;"",D1536&lt;&gt;"",H1536&gt;0),"✓","⚠ missing")</f>
        <v/>
      </c>
      <c r="L1536" s="44" t="n"/>
      <c r="M1536" s="45" t="n"/>
      <c r="N1536" s="39" t="n"/>
      <c r="O1536" s="46" t="n"/>
    </row>
    <row r="1537">
      <c r="H1537" s="47">
        <f>IF(AND(E1537&lt;&gt;"",F1537&lt;&gt;""), F1537-E1537, IF(G1537&lt;&gt;"", G1537, 0))</f>
        <v/>
      </c>
      <c r="I1537" s="48">
        <f>H1537*Settings!$B$5</f>
        <v/>
      </c>
      <c r="K1537">
        <f>IF(AND(A1537&lt;&gt;"",C1537&lt;&gt;"",D1537&lt;&gt;"",H1537&gt;0),"✓","⚠ missing")</f>
        <v/>
      </c>
      <c r="L1537" s="44" t="n"/>
      <c r="M1537" s="45" t="n"/>
      <c r="N1537" s="39" t="n"/>
      <c r="O1537" s="46" t="n"/>
    </row>
    <row r="1538">
      <c r="H1538" s="47">
        <f>IF(AND(E1538&lt;&gt;"",F1538&lt;&gt;""), F1538-E1538, IF(G1538&lt;&gt;"", G1538, 0))</f>
        <v/>
      </c>
      <c r="I1538" s="48">
        <f>H1538*Settings!$B$5</f>
        <v/>
      </c>
      <c r="K1538">
        <f>IF(AND(A1538&lt;&gt;"",C1538&lt;&gt;"",D1538&lt;&gt;"",H1538&gt;0),"✓","⚠ missing")</f>
        <v/>
      </c>
      <c r="L1538" s="44" t="n"/>
      <c r="M1538" s="45" t="n"/>
      <c r="N1538" s="39" t="n"/>
      <c r="O1538" s="46" t="n"/>
    </row>
    <row r="1539">
      <c r="H1539" s="47">
        <f>IF(AND(E1539&lt;&gt;"",F1539&lt;&gt;""), F1539-E1539, IF(G1539&lt;&gt;"", G1539, 0))</f>
        <v/>
      </c>
      <c r="I1539" s="48">
        <f>H1539*Settings!$B$5</f>
        <v/>
      </c>
      <c r="K1539">
        <f>IF(AND(A1539&lt;&gt;"",C1539&lt;&gt;"",D1539&lt;&gt;"",H1539&gt;0),"✓","⚠ missing")</f>
        <v/>
      </c>
      <c r="L1539" s="44" t="n"/>
      <c r="M1539" s="45" t="n"/>
      <c r="N1539" s="39" t="n"/>
      <c r="O1539" s="46" t="n"/>
    </row>
    <row r="1540">
      <c r="H1540" s="47">
        <f>IF(AND(E1540&lt;&gt;"",F1540&lt;&gt;""), F1540-E1540, IF(G1540&lt;&gt;"", G1540, 0))</f>
        <v/>
      </c>
      <c r="I1540" s="48">
        <f>H1540*Settings!$B$5</f>
        <v/>
      </c>
      <c r="K1540">
        <f>IF(AND(A1540&lt;&gt;"",C1540&lt;&gt;"",D1540&lt;&gt;"",H1540&gt;0),"✓","⚠ missing")</f>
        <v/>
      </c>
      <c r="L1540" s="44" t="n"/>
      <c r="M1540" s="45" t="n"/>
      <c r="N1540" s="39" t="n"/>
      <c r="O1540" s="46" t="n"/>
    </row>
    <row r="1541">
      <c r="H1541" s="47">
        <f>IF(AND(E1541&lt;&gt;"",F1541&lt;&gt;""), F1541-E1541, IF(G1541&lt;&gt;"", G1541, 0))</f>
        <v/>
      </c>
      <c r="I1541" s="48">
        <f>H1541*Settings!$B$5</f>
        <v/>
      </c>
      <c r="K1541">
        <f>IF(AND(A1541&lt;&gt;"",C1541&lt;&gt;"",D1541&lt;&gt;"",H1541&gt;0),"✓","⚠ missing")</f>
        <v/>
      </c>
      <c r="L1541" s="44" t="n"/>
      <c r="M1541" s="45" t="n"/>
      <c r="N1541" s="39" t="n"/>
      <c r="O1541" s="46" t="n"/>
    </row>
    <row r="1542">
      <c r="H1542" s="47">
        <f>IF(AND(E1542&lt;&gt;"",F1542&lt;&gt;""), F1542-E1542, IF(G1542&lt;&gt;"", G1542, 0))</f>
        <v/>
      </c>
      <c r="I1542" s="48">
        <f>H1542*Settings!$B$5</f>
        <v/>
      </c>
      <c r="K1542">
        <f>IF(AND(A1542&lt;&gt;"",C1542&lt;&gt;"",D1542&lt;&gt;"",H1542&gt;0),"✓","⚠ missing")</f>
        <v/>
      </c>
      <c r="L1542" s="44" t="n"/>
      <c r="M1542" s="45" t="n"/>
      <c r="N1542" s="39" t="n"/>
      <c r="O1542" s="46" t="n"/>
    </row>
    <row r="1543">
      <c r="H1543" s="47">
        <f>IF(AND(E1543&lt;&gt;"",F1543&lt;&gt;""), F1543-E1543, IF(G1543&lt;&gt;"", G1543, 0))</f>
        <v/>
      </c>
      <c r="I1543" s="48">
        <f>H1543*Settings!$B$5</f>
        <v/>
      </c>
      <c r="K1543">
        <f>IF(AND(A1543&lt;&gt;"",C1543&lt;&gt;"",D1543&lt;&gt;"",H1543&gt;0),"✓","⚠ missing")</f>
        <v/>
      </c>
      <c r="L1543" s="44" t="n"/>
      <c r="M1543" s="45" t="n"/>
      <c r="N1543" s="39" t="n"/>
      <c r="O1543" s="46" t="n"/>
    </row>
    <row r="1544">
      <c r="H1544" s="47">
        <f>IF(AND(E1544&lt;&gt;"",F1544&lt;&gt;""), F1544-E1544, IF(G1544&lt;&gt;"", G1544, 0))</f>
        <v/>
      </c>
      <c r="I1544" s="48">
        <f>H1544*Settings!$B$5</f>
        <v/>
      </c>
      <c r="K1544">
        <f>IF(AND(A1544&lt;&gt;"",C1544&lt;&gt;"",D1544&lt;&gt;"",H1544&gt;0),"✓","⚠ missing")</f>
        <v/>
      </c>
      <c r="L1544" s="44" t="n"/>
      <c r="M1544" s="45" t="n"/>
      <c r="N1544" s="39" t="n"/>
      <c r="O1544" s="46" t="n"/>
    </row>
    <row r="1545">
      <c r="H1545" s="47">
        <f>IF(AND(E1545&lt;&gt;"",F1545&lt;&gt;""), F1545-E1545, IF(G1545&lt;&gt;"", G1545, 0))</f>
        <v/>
      </c>
      <c r="I1545" s="48">
        <f>H1545*Settings!$B$5</f>
        <v/>
      </c>
      <c r="K1545">
        <f>IF(AND(A1545&lt;&gt;"",C1545&lt;&gt;"",D1545&lt;&gt;"",H1545&gt;0),"✓","⚠ missing")</f>
        <v/>
      </c>
      <c r="L1545" s="44" t="n"/>
      <c r="M1545" s="45" t="n"/>
      <c r="N1545" s="39" t="n"/>
      <c r="O1545" s="46" t="n"/>
    </row>
    <row r="1546">
      <c r="H1546" s="47">
        <f>IF(AND(E1546&lt;&gt;"",F1546&lt;&gt;""), F1546-E1546, IF(G1546&lt;&gt;"", G1546, 0))</f>
        <v/>
      </c>
      <c r="I1546" s="48">
        <f>H1546*Settings!$B$5</f>
        <v/>
      </c>
      <c r="K1546">
        <f>IF(AND(A1546&lt;&gt;"",C1546&lt;&gt;"",D1546&lt;&gt;"",H1546&gt;0),"✓","⚠ missing")</f>
        <v/>
      </c>
      <c r="L1546" s="44" t="n"/>
      <c r="M1546" s="45" t="n"/>
      <c r="N1546" s="39" t="n"/>
      <c r="O1546" s="46" t="n"/>
    </row>
    <row r="1547">
      <c r="H1547" s="47">
        <f>IF(AND(E1547&lt;&gt;"",F1547&lt;&gt;""), F1547-E1547, IF(G1547&lt;&gt;"", G1547, 0))</f>
        <v/>
      </c>
      <c r="I1547" s="48">
        <f>H1547*Settings!$B$5</f>
        <v/>
      </c>
      <c r="K1547">
        <f>IF(AND(A1547&lt;&gt;"",C1547&lt;&gt;"",D1547&lt;&gt;"",H1547&gt;0),"✓","⚠ missing")</f>
        <v/>
      </c>
      <c r="L1547" s="44" t="n"/>
      <c r="M1547" s="45" t="n"/>
      <c r="N1547" s="39" t="n"/>
      <c r="O1547" s="46" t="n"/>
    </row>
    <row r="1548">
      <c r="H1548" s="47">
        <f>IF(AND(E1548&lt;&gt;"",F1548&lt;&gt;""), F1548-E1548, IF(G1548&lt;&gt;"", G1548, 0))</f>
        <v/>
      </c>
      <c r="I1548" s="48">
        <f>H1548*Settings!$B$5</f>
        <v/>
      </c>
      <c r="K1548">
        <f>IF(AND(A1548&lt;&gt;"",C1548&lt;&gt;"",D1548&lt;&gt;"",H1548&gt;0),"✓","⚠ missing")</f>
        <v/>
      </c>
      <c r="L1548" s="44" t="n"/>
      <c r="M1548" s="45" t="n"/>
      <c r="N1548" s="39" t="n"/>
      <c r="O1548" s="46" t="n"/>
    </row>
    <row r="1549">
      <c r="H1549" s="47">
        <f>IF(AND(E1549&lt;&gt;"",F1549&lt;&gt;""), F1549-E1549, IF(G1549&lt;&gt;"", G1549, 0))</f>
        <v/>
      </c>
      <c r="I1549" s="48">
        <f>H1549*Settings!$B$5</f>
        <v/>
      </c>
      <c r="K1549">
        <f>IF(AND(A1549&lt;&gt;"",C1549&lt;&gt;"",D1549&lt;&gt;"",H1549&gt;0),"✓","⚠ missing")</f>
        <v/>
      </c>
      <c r="L1549" s="44" t="n"/>
      <c r="M1549" s="45" t="n"/>
      <c r="N1549" s="39" t="n"/>
      <c r="O1549" s="46" t="n"/>
    </row>
    <row r="1550">
      <c r="H1550" s="47">
        <f>IF(AND(E1550&lt;&gt;"",F1550&lt;&gt;""), F1550-E1550, IF(G1550&lt;&gt;"", G1550, 0))</f>
        <v/>
      </c>
      <c r="I1550" s="48">
        <f>H1550*Settings!$B$5</f>
        <v/>
      </c>
      <c r="K1550">
        <f>IF(AND(A1550&lt;&gt;"",C1550&lt;&gt;"",D1550&lt;&gt;"",H1550&gt;0),"✓","⚠ missing")</f>
        <v/>
      </c>
      <c r="L1550" s="44" t="n"/>
      <c r="M1550" s="45" t="n"/>
      <c r="N1550" s="39" t="n"/>
      <c r="O1550" s="46" t="n"/>
    </row>
    <row r="1551">
      <c r="H1551" s="47">
        <f>IF(AND(E1551&lt;&gt;"",F1551&lt;&gt;""), F1551-E1551, IF(G1551&lt;&gt;"", G1551, 0))</f>
        <v/>
      </c>
      <c r="I1551" s="48">
        <f>H1551*Settings!$B$5</f>
        <v/>
      </c>
      <c r="K1551">
        <f>IF(AND(A1551&lt;&gt;"",C1551&lt;&gt;"",D1551&lt;&gt;"",H1551&gt;0),"✓","⚠ missing")</f>
        <v/>
      </c>
      <c r="L1551" s="44" t="n"/>
      <c r="M1551" s="45" t="n"/>
      <c r="N1551" s="39" t="n"/>
      <c r="O1551" s="46" t="n"/>
    </row>
    <row r="1552">
      <c r="H1552" s="47">
        <f>IF(AND(E1552&lt;&gt;"",F1552&lt;&gt;""), F1552-E1552, IF(G1552&lt;&gt;"", G1552, 0))</f>
        <v/>
      </c>
      <c r="I1552" s="48">
        <f>H1552*Settings!$B$5</f>
        <v/>
      </c>
      <c r="K1552">
        <f>IF(AND(A1552&lt;&gt;"",C1552&lt;&gt;"",D1552&lt;&gt;"",H1552&gt;0),"✓","⚠ missing")</f>
        <v/>
      </c>
      <c r="L1552" s="44" t="n"/>
      <c r="M1552" s="45" t="n"/>
      <c r="N1552" s="39" t="n"/>
      <c r="O1552" s="46" t="n"/>
    </row>
    <row r="1553">
      <c r="H1553" s="47">
        <f>IF(AND(E1553&lt;&gt;"",F1553&lt;&gt;""), F1553-E1553, IF(G1553&lt;&gt;"", G1553, 0))</f>
        <v/>
      </c>
      <c r="I1553" s="48">
        <f>H1553*Settings!$B$5</f>
        <v/>
      </c>
      <c r="K1553">
        <f>IF(AND(A1553&lt;&gt;"",C1553&lt;&gt;"",D1553&lt;&gt;"",H1553&gt;0),"✓","⚠ missing")</f>
        <v/>
      </c>
      <c r="L1553" s="44" t="n"/>
      <c r="M1553" s="45" t="n"/>
      <c r="N1553" s="39" t="n"/>
      <c r="O1553" s="46" t="n"/>
    </row>
    <row r="1554">
      <c r="H1554" s="47">
        <f>IF(AND(E1554&lt;&gt;"",F1554&lt;&gt;""), F1554-E1554, IF(G1554&lt;&gt;"", G1554, 0))</f>
        <v/>
      </c>
      <c r="I1554" s="48">
        <f>H1554*Settings!$B$5</f>
        <v/>
      </c>
      <c r="K1554">
        <f>IF(AND(A1554&lt;&gt;"",C1554&lt;&gt;"",D1554&lt;&gt;"",H1554&gt;0),"✓","⚠ missing")</f>
        <v/>
      </c>
      <c r="L1554" s="44" t="n"/>
      <c r="M1554" s="45" t="n"/>
      <c r="N1554" s="39" t="n"/>
      <c r="O1554" s="46" t="n"/>
    </row>
    <row r="1555">
      <c r="H1555" s="47">
        <f>IF(AND(E1555&lt;&gt;"",F1555&lt;&gt;""), F1555-E1555, IF(G1555&lt;&gt;"", G1555, 0))</f>
        <v/>
      </c>
      <c r="I1555" s="48">
        <f>H1555*Settings!$B$5</f>
        <v/>
      </c>
      <c r="K1555">
        <f>IF(AND(A1555&lt;&gt;"",C1555&lt;&gt;"",D1555&lt;&gt;"",H1555&gt;0),"✓","⚠ missing")</f>
        <v/>
      </c>
      <c r="L1555" s="44" t="n"/>
      <c r="M1555" s="45" t="n"/>
      <c r="N1555" s="39" t="n"/>
      <c r="O1555" s="46" t="n"/>
    </row>
    <row r="1556">
      <c r="H1556" s="47">
        <f>IF(AND(E1556&lt;&gt;"",F1556&lt;&gt;""), F1556-E1556, IF(G1556&lt;&gt;"", G1556, 0))</f>
        <v/>
      </c>
      <c r="I1556" s="48">
        <f>H1556*Settings!$B$5</f>
        <v/>
      </c>
      <c r="K1556">
        <f>IF(AND(A1556&lt;&gt;"",C1556&lt;&gt;"",D1556&lt;&gt;"",H1556&gt;0),"✓","⚠ missing")</f>
        <v/>
      </c>
      <c r="L1556" s="44" t="n"/>
      <c r="M1556" s="45" t="n"/>
      <c r="N1556" s="39" t="n"/>
      <c r="O1556" s="46" t="n"/>
    </row>
    <row r="1557">
      <c r="H1557" s="47">
        <f>IF(AND(E1557&lt;&gt;"",F1557&lt;&gt;""), F1557-E1557, IF(G1557&lt;&gt;"", G1557, 0))</f>
        <v/>
      </c>
      <c r="I1557" s="48">
        <f>H1557*Settings!$B$5</f>
        <v/>
      </c>
      <c r="K1557">
        <f>IF(AND(A1557&lt;&gt;"",C1557&lt;&gt;"",D1557&lt;&gt;"",H1557&gt;0),"✓","⚠ missing")</f>
        <v/>
      </c>
      <c r="L1557" s="44" t="n"/>
      <c r="M1557" s="45" t="n"/>
      <c r="N1557" s="39" t="n"/>
      <c r="O1557" s="46" t="n"/>
    </row>
    <row r="1558">
      <c r="H1558" s="47">
        <f>IF(AND(E1558&lt;&gt;"",F1558&lt;&gt;""), F1558-E1558, IF(G1558&lt;&gt;"", G1558, 0))</f>
        <v/>
      </c>
      <c r="I1558" s="48">
        <f>H1558*Settings!$B$5</f>
        <v/>
      </c>
      <c r="K1558">
        <f>IF(AND(A1558&lt;&gt;"",C1558&lt;&gt;"",D1558&lt;&gt;"",H1558&gt;0),"✓","⚠ missing")</f>
        <v/>
      </c>
      <c r="L1558" s="44" t="n"/>
      <c r="M1558" s="45" t="n"/>
      <c r="N1558" s="39" t="n"/>
      <c r="O1558" s="46" t="n"/>
    </row>
    <row r="1559">
      <c r="H1559" s="47">
        <f>IF(AND(E1559&lt;&gt;"",F1559&lt;&gt;""), F1559-E1559, IF(G1559&lt;&gt;"", G1559, 0))</f>
        <v/>
      </c>
      <c r="I1559" s="48">
        <f>H1559*Settings!$B$5</f>
        <v/>
      </c>
      <c r="K1559">
        <f>IF(AND(A1559&lt;&gt;"",C1559&lt;&gt;"",D1559&lt;&gt;"",H1559&gt;0),"✓","⚠ missing")</f>
        <v/>
      </c>
      <c r="L1559" s="44" t="n"/>
      <c r="M1559" s="45" t="n"/>
      <c r="N1559" s="39" t="n"/>
      <c r="O1559" s="46" t="n"/>
    </row>
    <row r="1560">
      <c r="H1560" s="47">
        <f>IF(AND(E1560&lt;&gt;"",F1560&lt;&gt;""), F1560-E1560, IF(G1560&lt;&gt;"", G1560, 0))</f>
        <v/>
      </c>
      <c r="I1560" s="48">
        <f>H1560*Settings!$B$5</f>
        <v/>
      </c>
      <c r="K1560">
        <f>IF(AND(A1560&lt;&gt;"",C1560&lt;&gt;"",D1560&lt;&gt;"",H1560&gt;0),"✓","⚠ missing")</f>
        <v/>
      </c>
      <c r="L1560" s="44" t="n"/>
      <c r="M1560" s="45" t="n"/>
      <c r="N1560" s="39" t="n"/>
      <c r="O1560" s="46" t="n"/>
    </row>
    <row r="1561">
      <c r="H1561" s="47">
        <f>IF(AND(E1561&lt;&gt;"",F1561&lt;&gt;""), F1561-E1561, IF(G1561&lt;&gt;"", G1561, 0))</f>
        <v/>
      </c>
      <c r="I1561" s="48">
        <f>H1561*Settings!$B$5</f>
        <v/>
      </c>
      <c r="K1561">
        <f>IF(AND(A1561&lt;&gt;"",C1561&lt;&gt;"",D1561&lt;&gt;"",H1561&gt;0),"✓","⚠ missing")</f>
        <v/>
      </c>
      <c r="L1561" s="44" t="n"/>
      <c r="M1561" s="45" t="n"/>
      <c r="N1561" s="39" t="n"/>
      <c r="O1561" s="46" t="n"/>
    </row>
    <row r="1562">
      <c r="H1562" s="47">
        <f>IF(AND(E1562&lt;&gt;"",F1562&lt;&gt;""), F1562-E1562, IF(G1562&lt;&gt;"", G1562, 0))</f>
        <v/>
      </c>
      <c r="I1562" s="48">
        <f>H1562*Settings!$B$5</f>
        <v/>
      </c>
      <c r="K1562">
        <f>IF(AND(A1562&lt;&gt;"",C1562&lt;&gt;"",D1562&lt;&gt;"",H1562&gt;0),"✓","⚠ missing")</f>
        <v/>
      </c>
      <c r="L1562" s="44" t="n"/>
      <c r="M1562" s="45" t="n"/>
      <c r="N1562" s="39" t="n"/>
      <c r="O1562" s="46" t="n"/>
    </row>
    <row r="1563">
      <c r="H1563" s="47">
        <f>IF(AND(E1563&lt;&gt;"",F1563&lt;&gt;""), F1563-E1563, IF(G1563&lt;&gt;"", G1563, 0))</f>
        <v/>
      </c>
      <c r="I1563" s="48">
        <f>H1563*Settings!$B$5</f>
        <v/>
      </c>
      <c r="K1563">
        <f>IF(AND(A1563&lt;&gt;"",C1563&lt;&gt;"",D1563&lt;&gt;"",H1563&gt;0),"✓","⚠ missing")</f>
        <v/>
      </c>
      <c r="L1563" s="44" t="n"/>
      <c r="M1563" s="45" t="n"/>
      <c r="N1563" s="39" t="n"/>
      <c r="O1563" s="46" t="n"/>
    </row>
    <row r="1564">
      <c r="H1564" s="47">
        <f>IF(AND(E1564&lt;&gt;"",F1564&lt;&gt;""), F1564-E1564, IF(G1564&lt;&gt;"", G1564, 0))</f>
        <v/>
      </c>
      <c r="I1564" s="48">
        <f>H1564*Settings!$B$5</f>
        <v/>
      </c>
      <c r="K1564">
        <f>IF(AND(A1564&lt;&gt;"",C1564&lt;&gt;"",D1564&lt;&gt;"",H1564&gt;0),"✓","⚠ missing")</f>
        <v/>
      </c>
      <c r="L1564" s="44" t="n"/>
      <c r="M1564" s="45" t="n"/>
      <c r="N1564" s="39" t="n"/>
      <c r="O1564" s="46" t="n"/>
    </row>
    <row r="1565">
      <c r="H1565" s="47">
        <f>IF(AND(E1565&lt;&gt;"",F1565&lt;&gt;""), F1565-E1565, IF(G1565&lt;&gt;"", G1565, 0))</f>
        <v/>
      </c>
      <c r="I1565" s="48">
        <f>H1565*Settings!$B$5</f>
        <v/>
      </c>
      <c r="K1565">
        <f>IF(AND(A1565&lt;&gt;"",C1565&lt;&gt;"",D1565&lt;&gt;"",H1565&gt;0),"✓","⚠ missing")</f>
        <v/>
      </c>
      <c r="L1565" s="44" t="n"/>
      <c r="M1565" s="45" t="n"/>
      <c r="N1565" s="39" t="n"/>
      <c r="O1565" s="46" t="n"/>
    </row>
    <row r="1566">
      <c r="H1566" s="47">
        <f>IF(AND(E1566&lt;&gt;"",F1566&lt;&gt;""), F1566-E1566, IF(G1566&lt;&gt;"", G1566, 0))</f>
        <v/>
      </c>
      <c r="I1566" s="48">
        <f>H1566*Settings!$B$5</f>
        <v/>
      </c>
      <c r="K1566">
        <f>IF(AND(A1566&lt;&gt;"",C1566&lt;&gt;"",D1566&lt;&gt;"",H1566&gt;0),"✓","⚠ missing")</f>
        <v/>
      </c>
      <c r="L1566" s="44" t="n"/>
      <c r="M1566" s="45" t="n"/>
      <c r="N1566" s="39" t="n"/>
      <c r="O1566" s="46" t="n"/>
    </row>
    <row r="1567">
      <c r="H1567" s="47">
        <f>IF(AND(E1567&lt;&gt;"",F1567&lt;&gt;""), F1567-E1567, IF(G1567&lt;&gt;"", G1567, 0))</f>
        <v/>
      </c>
      <c r="I1567" s="48">
        <f>H1567*Settings!$B$5</f>
        <v/>
      </c>
      <c r="K1567">
        <f>IF(AND(A1567&lt;&gt;"",C1567&lt;&gt;"",D1567&lt;&gt;"",H1567&gt;0),"✓","⚠ missing")</f>
        <v/>
      </c>
      <c r="L1567" s="44" t="n"/>
      <c r="M1567" s="45" t="n"/>
      <c r="N1567" s="39" t="n"/>
      <c r="O1567" s="46" t="n"/>
    </row>
    <row r="1568">
      <c r="H1568" s="47">
        <f>IF(AND(E1568&lt;&gt;"",F1568&lt;&gt;""), F1568-E1568, IF(G1568&lt;&gt;"", G1568, 0))</f>
        <v/>
      </c>
      <c r="I1568" s="48">
        <f>H1568*Settings!$B$5</f>
        <v/>
      </c>
      <c r="K1568">
        <f>IF(AND(A1568&lt;&gt;"",C1568&lt;&gt;"",D1568&lt;&gt;"",H1568&gt;0),"✓","⚠ missing")</f>
        <v/>
      </c>
      <c r="L1568" s="44" t="n"/>
      <c r="M1568" s="45" t="n"/>
      <c r="N1568" s="39" t="n"/>
      <c r="O1568" s="46" t="n"/>
    </row>
    <row r="1569">
      <c r="H1569" s="47">
        <f>IF(AND(E1569&lt;&gt;"",F1569&lt;&gt;""), F1569-E1569, IF(G1569&lt;&gt;"", G1569, 0))</f>
        <v/>
      </c>
      <c r="I1569" s="48">
        <f>H1569*Settings!$B$5</f>
        <v/>
      </c>
      <c r="K1569">
        <f>IF(AND(A1569&lt;&gt;"",C1569&lt;&gt;"",D1569&lt;&gt;"",H1569&gt;0),"✓","⚠ missing")</f>
        <v/>
      </c>
      <c r="L1569" s="44" t="n"/>
      <c r="M1569" s="45" t="n"/>
      <c r="N1569" s="39" t="n"/>
      <c r="O1569" s="46" t="n"/>
    </row>
    <row r="1570">
      <c r="H1570" s="47">
        <f>IF(AND(E1570&lt;&gt;"",F1570&lt;&gt;""), F1570-E1570, IF(G1570&lt;&gt;"", G1570, 0))</f>
        <v/>
      </c>
      <c r="I1570" s="48">
        <f>H1570*Settings!$B$5</f>
        <v/>
      </c>
      <c r="K1570">
        <f>IF(AND(A1570&lt;&gt;"",C1570&lt;&gt;"",D1570&lt;&gt;"",H1570&gt;0),"✓","⚠ missing")</f>
        <v/>
      </c>
      <c r="L1570" s="44" t="n"/>
      <c r="M1570" s="45" t="n"/>
      <c r="N1570" s="39" t="n"/>
      <c r="O1570" s="46" t="n"/>
    </row>
    <row r="1571">
      <c r="H1571" s="47">
        <f>IF(AND(E1571&lt;&gt;"",F1571&lt;&gt;""), F1571-E1571, IF(G1571&lt;&gt;"", G1571, 0))</f>
        <v/>
      </c>
      <c r="I1571" s="48">
        <f>H1571*Settings!$B$5</f>
        <v/>
      </c>
      <c r="K1571">
        <f>IF(AND(A1571&lt;&gt;"",C1571&lt;&gt;"",D1571&lt;&gt;"",H1571&gt;0),"✓","⚠ missing")</f>
        <v/>
      </c>
      <c r="L1571" s="44" t="n"/>
      <c r="M1571" s="45" t="n"/>
      <c r="N1571" s="39" t="n"/>
      <c r="O1571" s="46" t="n"/>
    </row>
    <row r="1572">
      <c r="H1572" s="47">
        <f>IF(AND(E1572&lt;&gt;"",F1572&lt;&gt;""), F1572-E1572, IF(G1572&lt;&gt;"", G1572, 0))</f>
        <v/>
      </c>
      <c r="I1572" s="48">
        <f>H1572*Settings!$B$5</f>
        <v/>
      </c>
      <c r="K1572">
        <f>IF(AND(A1572&lt;&gt;"",C1572&lt;&gt;"",D1572&lt;&gt;"",H1572&gt;0),"✓","⚠ missing")</f>
        <v/>
      </c>
      <c r="L1572" s="44" t="n"/>
      <c r="M1572" s="45" t="n"/>
      <c r="N1572" s="39" t="n"/>
      <c r="O1572" s="46" t="n"/>
    </row>
    <row r="1573">
      <c r="H1573" s="47">
        <f>IF(AND(E1573&lt;&gt;"",F1573&lt;&gt;""), F1573-E1573, IF(G1573&lt;&gt;"", G1573, 0))</f>
        <v/>
      </c>
      <c r="I1573" s="48">
        <f>H1573*Settings!$B$5</f>
        <v/>
      </c>
      <c r="K1573">
        <f>IF(AND(A1573&lt;&gt;"",C1573&lt;&gt;"",D1573&lt;&gt;"",H1573&gt;0),"✓","⚠ missing")</f>
        <v/>
      </c>
      <c r="L1573" s="44" t="n"/>
      <c r="M1573" s="45" t="n"/>
      <c r="N1573" s="39" t="n"/>
      <c r="O1573" s="46" t="n"/>
    </row>
    <row r="1574">
      <c r="H1574" s="47">
        <f>IF(AND(E1574&lt;&gt;"",F1574&lt;&gt;""), F1574-E1574, IF(G1574&lt;&gt;"", G1574, 0))</f>
        <v/>
      </c>
      <c r="I1574" s="48">
        <f>H1574*Settings!$B$5</f>
        <v/>
      </c>
      <c r="K1574">
        <f>IF(AND(A1574&lt;&gt;"",C1574&lt;&gt;"",D1574&lt;&gt;"",H1574&gt;0),"✓","⚠ missing")</f>
        <v/>
      </c>
      <c r="L1574" s="44" t="n"/>
      <c r="M1574" s="45" t="n"/>
      <c r="N1574" s="39" t="n"/>
      <c r="O1574" s="46" t="n"/>
    </row>
    <row r="1575">
      <c r="H1575" s="47">
        <f>IF(AND(E1575&lt;&gt;"",F1575&lt;&gt;""), F1575-E1575, IF(G1575&lt;&gt;"", G1575, 0))</f>
        <v/>
      </c>
      <c r="I1575" s="48">
        <f>H1575*Settings!$B$5</f>
        <v/>
      </c>
      <c r="K1575">
        <f>IF(AND(A1575&lt;&gt;"",C1575&lt;&gt;"",D1575&lt;&gt;"",H1575&gt;0),"✓","⚠ missing")</f>
        <v/>
      </c>
      <c r="L1575" s="44" t="n"/>
      <c r="M1575" s="45" t="n"/>
      <c r="N1575" s="39" t="n"/>
      <c r="O1575" s="46" t="n"/>
    </row>
    <row r="1576">
      <c r="H1576" s="47">
        <f>IF(AND(E1576&lt;&gt;"",F1576&lt;&gt;""), F1576-E1576, IF(G1576&lt;&gt;"", G1576, 0))</f>
        <v/>
      </c>
      <c r="I1576" s="48">
        <f>H1576*Settings!$B$5</f>
        <v/>
      </c>
      <c r="K1576">
        <f>IF(AND(A1576&lt;&gt;"",C1576&lt;&gt;"",D1576&lt;&gt;"",H1576&gt;0),"✓","⚠ missing")</f>
        <v/>
      </c>
      <c r="L1576" s="44" t="n"/>
      <c r="M1576" s="45" t="n"/>
      <c r="N1576" s="39" t="n"/>
      <c r="O1576" s="46" t="n"/>
    </row>
    <row r="1577">
      <c r="H1577" s="47">
        <f>IF(AND(E1577&lt;&gt;"",F1577&lt;&gt;""), F1577-E1577, IF(G1577&lt;&gt;"", G1577, 0))</f>
        <v/>
      </c>
      <c r="I1577" s="48">
        <f>H1577*Settings!$B$5</f>
        <v/>
      </c>
      <c r="K1577">
        <f>IF(AND(A1577&lt;&gt;"",C1577&lt;&gt;"",D1577&lt;&gt;"",H1577&gt;0),"✓","⚠ missing")</f>
        <v/>
      </c>
      <c r="L1577" s="44" t="n"/>
      <c r="M1577" s="45" t="n"/>
      <c r="N1577" s="39" t="n"/>
      <c r="O1577" s="46" t="n"/>
    </row>
    <row r="1578">
      <c r="H1578" s="47">
        <f>IF(AND(E1578&lt;&gt;"",F1578&lt;&gt;""), F1578-E1578, IF(G1578&lt;&gt;"", G1578, 0))</f>
        <v/>
      </c>
      <c r="I1578" s="48">
        <f>H1578*Settings!$B$5</f>
        <v/>
      </c>
      <c r="K1578">
        <f>IF(AND(A1578&lt;&gt;"",C1578&lt;&gt;"",D1578&lt;&gt;"",H1578&gt;0),"✓","⚠ missing")</f>
        <v/>
      </c>
      <c r="L1578" s="44" t="n"/>
      <c r="M1578" s="45" t="n"/>
      <c r="N1578" s="39" t="n"/>
      <c r="O1578" s="46" t="n"/>
    </row>
    <row r="1579">
      <c r="H1579" s="47">
        <f>IF(AND(E1579&lt;&gt;"",F1579&lt;&gt;""), F1579-E1579, IF(G1579&lt;&gt;"", G1579, 0))</f>
        <v/>
      </c>
      <c r="I1579" s="48">
        <f>H1579*Settings!$B$5</f>
        <v/>
      </c>
      <c r="K1579">
        <f>IF(AND(A1579&lt;&gt;"",C1579&lt;&gt;"",D1579&lt;&gt;"",H1579&gt;0),"✓","⚠ missing")</f>
        <v/>
      </c>
      <c r="L1579" s="44" t="n"/>
      <c r="M1579" s="45" t="n"/>
      <c r="N1579" s="39" t="n"/>
      <c r="O1579" s="46" t="n"/>
    </row>
    <row r="1580">
      <c r="H1580" s="47">
        <f>IF(AND(E1580&lt;&gt;"",F1580&lt;&gt;""), F1580-E1580, IF(G1580&lt;&gt;"", G1580, 0))</f>
        <v/>
      </c>
      <c r="I1580" s="48">
        <f>H1580*Settings!$B$5</f>
        <v/>
      </c>
      <c r="K1580">
        <f>IF(AND(A1580&lt;&gt;"",C1580&lt;&gt;"",D1580&lt;&gt;"",H1580&gt;0),"✓","⚠ missing")</f>
        <v/>
      </c>
      <c r="L1580" s="44" t="n"/>
      <c r="M1580" s="45" t="n"/>
      <c r="N1580" s="39" t="n"/>
      <c r="O1580" s="46" t="n"/>
    </row>
    <row r="1581">
      <c r="H1581" s="47">
        <f>IF(AND(E1581&lt;&gt;"",F1581&lt;&gt;""), F1581-E1581, IF(G1581&lt;&gt;"", G1581, 0))</f>
        <v/>
      </c>
      <c r="I1581" s="48">
        <f>H1581*Settings!$B$5</f>
        <v/>
      </c>
      <c r="K1581">
        <f>IF(AND(A1581&lt;&gt;"",C1581&lt;&gt;"",D1581&lt;&gt;"",H1581&gt;0),"✓","⚠ missing")</f>
        <v/>
      </c>
      <c r="L1581" s="44" t="n"/>
      <c r="M1581" s="45" t="n"/>
      <c r="N1581" s="39" t="n"/>
      <c r="O1581" s="46" t="n"/>
    </row>
    <row r="1582">
      <c r="H1582" s="47">
        <f>IF(AND(E1582&lt;&gt;"",F1582&lt;&gt;""), F1582-E1582, IF(G1582&lt;&gt;"", G1582, 0))</f>
        <v/>
      </c>
      <c r="I1582" s="48">
        <f>H1582*Settings!$B$5</f>
        <v/>
      </c>
      <c r="K1582">
        <f>IF(AND(A1582&lt;&gt;"",C1582&lt;&gt;"",D1582&lt;&gt;"",H1582&gt;0),"✓","⚠ missing")</f>
        <v/>
      </c>
      <c r="L1582" s="44" t="n"/>
      <c r="M1582" s="45" t="n"/>
      <c r="N1582" s="39" t="n"/>
      <c r="O1582" s="46" t="n"/>
    </row>
    <row r="1583">
      <c r="H1583" s="47">
        <f>IF(AND(E1583&lt;&gt;"",F1583&lt;&gt;""), F1583-E1583, IF(G1583&lt;&gt;"", G1583, 0))</f>
        <v/>
      </c>
      <c r="I1583" s="48">
        <f>H1583*Settings!$B$5</f>
        <v/>
      </c>
      <c r="K1583">
        <f>IF(AND(A1583&lt;&gt;"",C1583&lt;&gt;"",D1583&lt;&gt;"",H1583&gt;0),"✓","⚠ missing")</f>
        <v/>
      </c>
      <c r="L1583" s="44" t="n"/>
      <c r="M1583" s="45" t="n"/>
      <c r="N1583" s="39" t="n"/>
      <c r="O1583" s="46" t="n"/>
    </row>
    <row r="1584">
      <c r="H1584" s="47">
        <f>IF(AND(E1584&lt;&gt;"",F1584&lt;&gt;""), F1584-E1584, IF(G1584&lt;&gt;"", G1584, 0))</f>
        <v/>
      </c>
      <c r="I1584" s="48">
        <f>H1584*Settings!$B$5</f>
        <v/>
      </c>
      <c r="K1584">
        <f>IF(AND(A1584&lt;&gt;"",C1584&lt;&gt;"",D1584&lt;&gt;"",H1584&gt;0),"✓","⚠ missing")</f>
        <v/>
      </c>
      <c r="L1584" s="44" t="n"/>
      <c r="M1584" s="45" t="n"/>
      <c r="N1584" s="39" t="n"/>
      <c r="O1584" s="46" t="n"/>
    </row>
    <row r="1585">
      <c r="H1585" s="47">
        <f>IF(AND(E1585&lt;&gt;"",F1585&lt;&gt;""), F1585-E1585, IF(G1585&lt;&gt;"", G1585, 0))</f>
        <v/>
      </c>
      <c r="I1585" s="48">
        <f>H1585*Settings!$B$5</f>
        <v/>
      </c>
      <c r="K1585">
        <f>IF(AND(A1585&lt;&gt;"",C1585&lt;&gt;"",D1585&lt;&gt;"",H1585&gt;0),"✓","⚠ missing")</f>
        <v/>
      </c>
      <c r="L1585" s="44" t="n"/>
      <c r="M1585" s="45" t="n"/>
      <c r="N1585" s="39" t="n"/>
      <c r="O1585" s="46" t="n"/>
    </row>
    <row r="1586">
      <c r="H1586" s="47">
        <f>IF(AND(E1586&lt;&gt;"",F1586&lt;&gt;""), F1586-E1586, IF(G1586&lt;&gt;"", G1586, 0))</f>
        <v/>
      </c>
      <c r="I1586" s="48">
        <f>H1586*Settings!$B$5</f>
        <v/>
      </c>
      <c r="K1586">
        <f>IF(AND(A1586&lt;&gt;"",C1586&lt;&gt;"",D1586&lt;&gt;"",H1586&gt;0),"✓","⚠ missing")</f>
        <v/>
      </c>
      <c r="L1586" s="44" t="n"/>
      <c r="M1586" s="45" t="n"/>
      <c r="N1586" s="39" t="n"/>
      <c r="O1586" s="46" t="n"/>
    </row>
    <row r="1587">
      <c r="H1587" s="47">
        <f>IF(AND(E1587&lt;&gt;"",F1587&lt;&gt;""), F1587-E1587, IF(G1587&lt;&gt;"", G1587, 0))</f>
        <v/>
      </c>
      <c r="I1587" s="48">
        <f>H1587*Settings!$B$5</f>
        <v/>
      </c>
      <c r="K1587">
        <f>IF(AND(A1587&lt;&gt;"",C1587&lt;&gt;"",D1587&lt;&gt;"",H1587&gt;0),"✓","⚠ missing")</f>
        <v/>
      </c>
      <c r="L1587" s="44" t="n"/>
      <c r="M1587" s="45" t="n"/>
      <c r="N1587" s="39" t="n"/>
      <c r="O1587" s="46" t="n"/>
    </row>
    <row r="1588">
      <c r="H1588" s="47">
        <f>IF(AND(E1588&lt;&gt;"",F1588&lt;&gt;""), F1588-E1588, IF(G1588&lt;&gt;"", G1588, 0))</f>
        <v/>
      </c>
      <c r="I1588" s="48">
        <f>H1588*Settings!$B$5</f>
        <v/>
      </c>
      <c r="K1588">
        <f>IF(AND(A1588&lt;&gt;"",C1588&lt;&gt;"",D1588&lt;&gt;"",H1588&gt;0),"✓","⚠ missing")</f>
        <v/>
      </c>
      <c r="L1588" s="44" t="n"/>
      <c r="M1588" s="45" t="n"/>
      <c r="N1588" s="39" t="n"/>
      <c r="O1588" s="46" t="n"/>
    </row>
    <row r="1589">
      <c r="H1589" s="47">
        <f>IF(AND(E1589&lt;&gt;"",F1589&lt;&gt;""), F1589-E1589, IF(G1589&lt;&gt;"", G1589, 0))</f>
        <v/>
      </c>
      <c r="I1589" s="48">
        <f>H1589*Settings!$B$5</f>
        <v/>
      </c>
      <c r="K1589">
        <f>IF(AND(A1589&lt;&gt;"",C1589&lt;&gt;"",D1589&lt;&gt;"",H1589&gt;0),"✓","⚠ missing")</f>
        <v/>
      </c>
      <c r="L1589" s="44" t="n"/>
      <c r="M1589" s="45" t="n"/>
      <c r="N1589" s="39" t="n"/>
      <c r="O1589" s="46" t="n"/>
    </row>
    <row r="1590">
      <c r="H1590" s="47">
        <f>IF(AND(E1590&lt;&gt;"",F1590&lt;&gt;""), F1590-E1590, IF(G1590&lt;&gt;"", G1590, 0))</f>
        <v/>
      </c>
      <c r="I1590" s="48">
        <f>H1590*Settings!$B$5</f>
        <v/>
      </c>
      <c r="K1590">
        <f>IF(AND(A1590&lt;&gt;"",C1590&lt;&gt;"",D1590&lt;&gt;"",H1590&gt;0),"✓","⚠ missing")</f>
        <v/>
      </c>
      <c r="L1590" s="44" t="n"/>
      <c r="M1590" s="45" t="n"/>
      <c r="N1590" s="39" t="n"/>
      <c r="O1590" s="46" t="n"/>
    </row>
    <row r="1591">
      <c r="H1591" s="47">
        <f>IF(AND(E1591&lt;&gt;"",F1591&lt;&gt;""), F1591-E1591, IF(G1591&lt;&gt;"", G1591, 0))</f>
        <v/>
      </c>
      <c r="I1591" s="48">
        <f>H1591*Settings!$B$5</f>
        <v/>
      </c>
      <c r="K1591">
        <f>IF(AND(A1591&lt;&gt;"",C1591&lt;&gt;"",D1591&lt;&gt;"",H1591&gt;0),"✓","⚠ missing")</f>
        <v/>
      </c>
      <c r="L1591" s="44" t="n"/>
      <c r="M1591" s="45" t="n"/>
      <c r="N1591" s="39" t="n"/>
      <c r="O1591" s="46" t="n"/>
    </row>
    <row r="1592">
      <c r="H1592" s="47">
        <f>IF(AND(E1592&lt;&gt;"",F1592&lt;&gt;""), F1592-E1592, IF(G1592&lt;&gt;"", G1592, 0))</f>
        <v/>
      </c>
      <c r="I1592" s="48">
        <f>H1592*Settings!$B$5</f>
        <v/>
      </c>
      <c r="K1592">
        <f>IF(AND(A1592&lt;&gt;"",C1592&lt;&gt;"",D1592&lt;&gt;"",H1592&gt;0),"✓","⚠ missing")</f>
        <v/>
      </c>
      <c r="L1592" s="44" t="n"/>
      <c r="M1592" s="45" t="n"/>
      <c r="N1592" s="39" t="n"/>
      <c r="O1592" s="46" t="n"/>
    </row>
    <row r="1593">
      <c r="H1593" s="47">
        <f>IF(AND(E1593&lt;&gt;"",F1593&lt;&gt;""), F1593-E1593, IF(G1593&lt;&gt;"", G1593, 0))</f>
        <v/>
      </c>
      <c r="I1593" s="48">
        <f>H1593*Settings!$B$5</f>
        <v/>
      </c>
      <c r="K1593">
        <f>IF(AND(A1593&lt;&gt;"",C1593&lt;&gt;"",D1593&lt;&gt;"",H1593&gt;0),"✓","⚠ missing")</f>
        <v/>
      </c>
      <c r="L1593" s="44" t="n"/>
      <c r="M1593" s="45" t="n"/>
      <c r="N1593" s="39" t="n"/>
      <c r="O1593" s="46" t="n"/>
    </row>
    <row r="1594">
      <c r="H1594" s="47">
        <f>IF(AND(E1594&lt;&gt;"",F1594&lt;&gt;""), F1594-E1594, IF(G1594&lt;&gt;"", G1594, 0))</f>
        <v/>
      </c>
      <c r="I1594" s="48">
        <f>H1594*Settings!$B$5</f>
        <v/>
      </c>
      <c r="K1594">
        <f>IF(AND(A1594&lt;&gt;"",C1594&lt;&gt;"",D1594&lt;&gt;"",H1594&gt;0),"✓","⚠ missing")</f>
        <v/>
      </c>
      <c r="L1594" s="44" t="n"/>
      <c r="M1594" s="45" t="n"/>
      <c r="N1594" s="39" t="n"/>
      <c r="O1594" s="46" t="n"/>
    </row>
    <row r="1595">
      <c r="H1595" s="47">
        <f>IF(AND(E1595&lt;&gt;"",F1595&lt;&gt;""), F1595-E1595, IF(G1595&lt;&gt;"", G1595, 0))</f>
        <v/>
      </c>
      <c r="I1595" s="48">
        <f>H1595*Settings!$B$5</f>
        <v/>
      </c>
      <c r="K1595">
        <f>IF(AND(A1595&lt;&gt;"",C1595&lt;&gt;"",D1595&lt;&gt;"",H1595&gt;0),"✓","⚠ missing")</f>
        <v/>
      </c>
      <c r="L1595" s="44" t="n"/>
      <c r="M1595" s="45" t="n"/>
      <c r="N1595" s="39" t="n"/>
      <c r="O1595" s="46" t="n"/>
    </row>
    <row r="1596">
      <c r="H1596" s="47">
        <f>IF(AND(E1596&lt;&gt;"",F1596&lt;&gt;""), F1596-E1596, IF(G1596&lt;&gt;"", G1596, 0))</f>
        <v/>
      </c>
      <c r="I1596" s="48">
        <f>H1596*Settings!$B$5</f>
        <v/>
      </c>
      <c r="K1596">
        <f>IF(AND(A1596&lt;&gt;"",C1596&lt;&gt;"",D1596&lt;&gt;"",H1596&gt;0),"✓","⚠ missing")</f>
        <v/>
      </c>
      <c r="L1596" s="44" t="n"/>
      <c r="M1596" s="45" t="n"/>
      <c r="N1596" s="39" t="n"/>
      <c r="O1596" s="46" t="n"/>
    </row>
    <row r="1597">
      <c r="H1597" s="47">
        <f>IF(AND(E1597&lt;&gt;"",F1597&lt;&gt;""), F1597-E1597, IF(G1597&lt;&gt;"", G1597, 0))</f>
        <v/>
      </c>
      <c r="I1597" s="48">
        <f>H1597*Settings!$B$5</f>
        <v/>
      </c>
      <c r="K1597">
        <f>IF(AND(A1597&lt;&gt;"",C1597&lt;&gt;"",D1597&lt;&gt;"",H1597&gt;0),"✓","⚠ missing")</f>
        <v/>
      </c>
      <c r="L1597" s="44" t="n"/>
      <c r="M1597" s="45" t="n"/>
      <c r="N1597" s="39" t="n"/>
      <c r="O1597" s="46" t="n"/>
    </row>
    <row r="1598">
      <c r="H1598" s="47">
        <f>IF(AND(E1598&lt;&gt;"",F1598&lt;&gt;""), F1598-E1598, IF(G1598&lt;&gt;"", G1598, 0))</f>
        <v/>
      </c>
      <c r="I1598" s="48">
        <f>H1598*Settings!$B$5</f>
        <v/>
      </c>
      <c r="K1598">
        <f>IF(AND(A1598&lt;&gt;"",C1598&lt;&gt;"",D1598&lt;&gt;"",H1598&gt;0),"✓","⚠ missing")</f>
        <v/>
      </c>
      <c r="L1598" s="44" t="n"/>
      <c r="M1598" s="45" t="n"/>
      <c r="N1598" s="39" t="n"/>
      <c r="O1598" s="46" t="n"/>
    </row>
    <row r="1599">
      <c r="H1599" s="47">
        <f>IF(AND(E1599&lt;&gt;"",F1599&lt;&gt;""), F1599-E1599, IF(G1599&lt;&gt;"", G1599, 0))</f>
        <v/>
      </c>
      <c r="I1599" s="48">
        <f>H1599*Settings!$B$5</f>
        <v/>
      </c>
      <c r="K1599">
        <f>IF(AND(A1599&lt;&gt;"",C1599&lt;&gt;"",D1599&lt;&gt;"",H1599&gt;0),"✓","⚠ missing")</f>
        <v/>
      </c>
      <c r="L1599" s="44" t="n"/>
      <c r="M1599" s="45" t="n"/>
      <c r="N1599" s="39" t="n"/>
      <c r="O1599" s="46" t="n"/>
    </row>
    <row r="1600">
      <c r="H1600" s="47">
        <f>IF(AND(E1600&lt;&gt;"",F1600&lt;&gt;""), F1600-E1600, IF(G1600&lt;&gt;"", G1600, 0))</f>
        <v/>
      </c>
      <c r="I1600" s="48">
        <f>H1600*Settings!$B$5</f>
        <v/>
      </c>
      <c r="K1600">
        <f>IF(AND(A1600&lt;&gt;"",C1600&lt;&gt;"",D1600&lt;&gt;"",H1600&gt;0),"✓","⚠ missing")</f>
        <v/>
      </c>
      <c r="L1600" s="44" t="n"/>
      <c r="M1600" s="45" t="n"/>
      <c r="N1600" s="39" t="n"/>
      <c r="O1600" s="46" t="n"/>
    </row>
    <row r="1601">
      <c r="H1601" s="47">
        <f>IF(AND(E1601&lt;&gt;"",F1601&lt;&gt;""), F1601-E1601, IF(G1601&lt;&gt;"", G1601, 0))</f>
        <v/>
      </c>
      <c r="I1601" s="48">
        <f>H1601*Settings!$B$5</f>
        <v/>
      </c>
      <c r="K1601">
        <f>IF(AND(A1601&lt;&gt;"",C1601&lt;&gt;"",D1601&lt;&gt;"",H1601&gt;0),"✓","⚠ missing")</f>
        <v/>
      </c>
      <c r="L1601" s="44" t="n"/>
      <c r="M1601" s="45" t="n"/>
      <c r="N1601" s="39" t="n"/>
      <c r="O1601" s="46" t="n"/>
    </row>
    <row r="1602">
      <c r="H1602" s="47">
        <f>IF(AND(E1602&lt;&gt;"",F1602&lt;&gt;""), F1602-E1602, IF(G1602&lt;&gt;"", G1602, 0))</f>
        <v/>
      </c>
      <c r="I1602" s="48">
        <f>H1602*Settings!$B$5</f>
        <v/>
      </c>
      <c r="K1602">
        <f>IF(AND(A1602&lt;&gt;"",C1602&lt;&gt;"",D1602&lt;&gt;"",H1602&gt;0),"✓","⚠ missing")</f>
        <v/>
      </c>
      <c r="L1602" s="44" t="n"/>
      <c r="M1602" s="45" t="n"/>
      <c r="N1602" s="39" t="n"/>
      <c r="O1602" s="46" t="n"/>
    </row>
    <row r="1603">
      <c r="H1603" s="47">
        <f>IF(AND(E1603&lt;&gt;"",F1603&lt;&gt;""), F1603-E1603, IF(G1603&lt;&gt;"", G1603, 0))</f>
        <v/>
      </c>
      <c r="I1603" s="48">
        <f>H1603*Settings!$B$5</f>
        <v/>
      </c>
      <c r="K1603">
        <f>IF(AND(A1603&lt;&gt;"",C1603&lt;&gt;"",D1603&lt;&gt;"",H1603&gt;0),"✓","⚠ missing")</f>
        <v/>
      </c>
      <c r="L1603" s="44" t="n"/>
      <c r="M1603" s="45" t="n"/>
      <c r="N1603" s="39" t="n"/>
      <c r="O1603" s="46" t="n"/>
    </row>
    <row r="1604">
      <c r="H1604" s="47">
        <f>IF(AND(E1604&lt;&gt;"",F1604&lt;&gt;""), F1604-E1604, IF(G1604&lt;&gt;"", G1604, 0))</f>
        <v/>
      </c>
      <c r="I1604" s="48">
        <f>H1604*Settings!$B$5</f>
        <v/>
      </c>
      <c r="K1604">
        <f>IF(AND(A1604&lt;&gt;"",C1604&lt;&gt;"",D1604&lt;&gt;"",H1604&gt;0),"✓","⚠ missing")</f>
        <v/>
      </c>
      <c r="L1604" s="44" t="n"/>
      <c r="M1604" s="45" t="n"/>
      <c r="N1604" s="39" t="n"/>
      <c r="O1604" s="46" t="n"/>
    </row>
    <row r="1605">
      <c r="H1605" s="47">
        <f>IF(AND(E1605&lt;&gt;"",F1605&lt;&gt;""), F1605-E1605, IF(G1605&lt;&gt;"", G1605, 0))</f>
        <v/>
      </c>
      <c r="I1605" s="48">
        <f>H1605*Settings!$B$5</f>
        <v/>
      </c>
      <c r="K1605">
        <f>IF(AND(A1605&lt;&gt;"",C1605&lt;&gt;"",D1605&lt;&gt;"",H1605&gt;0),"✓","⚠ missing")</f>
        <v/>
      </c>
      <c r="L1605" s="44" t="n"/>
      <c r="M1605" s="45" t="n"/>
      <c r="N1605" s="39" t="n"/>
      <c r="O1605" s="46" t="n"/>
    </row>
    <row r="1606">
      <c r="H1606" s="47">
        <f>IF(AND(E1606&lt;&gt;"",F1606&lt;&gt;""), F1606-E1606, IF(G1606&lt;&gt;"", G1606, 0))</f>
        <v/>
      </c>
      <c r="I1606" s="48">
        <f>H1606*Settings!$B$5</f>
        <v/>
      </c>
      <c r="K1606">
        <f>IF(AND(A1606&lt;&gt;"",C1606&lt;&gt;"",D1606&lt;&gt;"",H1606&gt;0),"✓","⚠ missing")</f>
        <v/>
      </c>
      <c r="L1606" s="44" t="n"/>
      <c r="M1606" s="45" t="n"/>
      <c r="N1606" s="39" t="n"/>
      <c r="O1606" s="46" t="n"/>
    </row>
    <row r="1607">
      <c r="H1607" s="47">
        <f>IF(AND(E1607&lt;&gt;"",F1607&lt;&gt;""), F1607-E1607, IF(G1607&lt;&gt;"", G1607, 0))</f>
        <v/>
      </c>
      <c r="I1607" s="48">
        <f>H1607*Settings!$B$5</f>
        <v/>
      </c>
      <c r="K1607">
        <f>IF(AND(A1607&lt;&gt;"",C1607&lt;&gt;"",D1607&lt;&gt;"",H1607&gt;0),"✓","⚠ missing")</f>
        <v/>
      </c>
      <c r="L1607" s="44" t="n"/>
      <c r="M1607" s="45" t="n"/>
      <c r="N1607" s="39" t="n"/>
      <c r="O1607" s="46" t="n"/>
    </row>
    <row r="1608">
      <c r="H1608" s="47">
        <f>IF(AND(E1608&lt;&gt;"",F1608&lt;&gt;""), F1608-E1608, IF(G1608&lt;&gt;"", G1608, 0))</f>
        <v/>
      </c>
      <c r="I1608" s="48">
        <f>H1608*Settings!$B$5</f>
        <v/>
      </c>
      <c r="K1608">
        <f>IF(AND(A1608&lt;&gt;"",C1608&lt;&gt;"",D1608&lt;&gt;"",H1608&gt;0),"✓","⚠ missing")</f>
        <v/>
      </c>
      <c r="L1608" s="44" t="n"/>
      <c r="M1608" s="45" t="n"/>
      <c r="N1608" s="39" t="n"/>
      <c r="O1608" s="46" t="n"/>
    </row>
    <row r="1609">
      <c r="H1609" s="47">
        <f>IF(AND(E1609&lt;&gt;"",F1609&lt;&gt;""), F1609-E1609, IF(G1609&lt;&gt;"", G1609, 0))</f>
        <v/>
      </c>
      <c r="I1609" s="48">
        <f>H1609*Settings!$B$5</f>
        <v/>
      </c>
      <c r="K1609">
        <f>IF(AND(A1609&lt;&gt;"",C1609&lt;&gt;"",D1609&lt;&gt;"",H1609&gt;0),"✓","⚠ missing")</f>
        <v/>
      </c>
      <c r="L1609" s="44" t="n"/>
      <c r="M1609" s="45" t="n"/>
      <c r="N1609" s="39" t="n"/>
      <c r="O1609" s="46" t="n"/>
    </row>
    <row r="1610">
      <c r="H1610" s="47">
        <f>IF(AND(E1610&lt;&gt;"",F1610&lt;&gt;""), F1610-E1610, IF(G1610&lt;&gt;"", G1610, 0))</f>
        <v/>
      </c>
      <c r="I1610" s="48">
        <f>H1610*Settings!$B$5</f>
        <v/>
      </c>
      <c r="K1610">
        <f>IF(AND(A1610&lt;&gt;"",C1610&lt;&gt;"",D1610&lt;&gt;"",H1610&gt;0),"✓","⚠ missing")</f>
        <v/>
      </c>
      <c r="L1610" s="44" t="n"/>
      <c r="M1610" s="45" t="n"/>
      <c r="N1610" s="39" t="n"/>
      <c r="O1610" s="46" t="n"/>
    </row>
    <row r="1611">
      <c r="H1611" s="47">
        <f>IF(AND(E1611&lt;&gt;"",F1611&lt;&gt;""), F1611-E1611, IF(G1611&lt;&gt;"", G1611, 0))</f>
        <v/>
      </c>
      <c r="I1611" s="48">
        <f>H1611*Settings!$B$5</f>
        <v/>
      </c>
      <c r="K1611">
        <f>IF(AND(A1611&lt;&gt;"",C1611&lt;&gt;"",D1611&lt;&gt;"",H1611&gt;0),"✓","⚠ missing")</f>
        <v/>
      </c>
      <c r="L1611" s="44" t="n"/>
      <c r="M1611" s="45" t="n"/>
      <c r="N1611" s="39" t="n"/>
      <c r="O1611" s="46" t="n"/>
    </row>
    <row r="1612">
      <c r="H1612" s="47">
        <f>IF(AND(E1612&lt;&gt;"",F1612&lt;&gt;""), F1612-E1612, IF(G1612&lt;&gt;"", G1612, 0))</f>
        <v/>
      </c>
      <c r="I1612" s="48">
        <f>H1612*Settings!$B$5</f>
        <v/>
      </c>
      <c r="K1612">
        <f>IF(AND(A1612&lt;&gt;"",C1612&lt;&gt;"",D1612&lt;&gt;"",H1612&gt;0),"✓","⚠ missing")</f>
        <v/>
      </c>
      <c r="L1612" s="44" t="n"/>
      <c r="M1612" s="45" t="n"/>
      <c r="N1612" s="39" t="n"/>
      <c r="O1612" s="46" t="n"/>
    </row>
    <row r="1613">
      <c r="H1613" s="47">
        <f>IF(AND(E1613&lt;&gt;"",F1613&lt;&gt;""), F1613-E1613, IF(G1613&lt;&gt;"", G1613, 0))</f>
        <v/>
      </c>
      <c r="I1613" s="48">
        <f>H1613*Settings!$B$5</f>
        <v/>
      </c>
      <c r="K1613">
        <f>IF(AND(A1613&lt;&gt;"",C1613&lt;&gt;"",D1613&lt;&gt;"",H1613&gt;0),"✓","⚠ missing")</f>
        <v/>
      </c>
      <c r="L1613" s="44" t="n"/>
      <c r="M1613" s="45" t="n"/>
      <c r="N1613" s="39" t="n"/>
      <c r="O1613" s="46" t="n"/>
    </row>
    <row r="1614">
      <c r="H1614" s="47">
        <f>IF(AND(E1614&lt;&gt;"",F1614&lt;&gt;""), F1614-E1614, IF(G1614&lt;&gt;"", G1614, 0))</f>
        <v/>
      </c>
      <c r="I1614" s="48">
        <f>H1614*Settings!$B$5</f>
        <v/>
      </c>
      <c r="K1614">
        <f>IF(AND(A1614&lt;&gt;"",C1614&lt;&gt;"",D1614&lt;&gt;"",H1614&gt;0),"✓","⚠ missing")</f>
        <v/>
      </c>
      <c r="L1614" s="44" t="n"/>
      <c r="M1614" s="45" t="n"/>
      <c r="N1614" s="39" t="n"/>
      <c r="O1614" s="46" t="n"/>
    </row>
    <row r="1615">
      <c r="H1615" s="47">
        <f>IF(AND(E1615&lt;&gt;"",F1615&lt;&gt;""), F1615-E1615, IF(G1615&lt;&gt;"", G1615, 0))</f>
        <v/>
      </c>
      <c r="I1615" s="48">
        <f>H1615*Settings!$B$5</f>
        <v/>
      </c>
      <c r="K1615">
        <f>IF(AND(A1615&lt;&gt;"",C1615&lt;&gt;"",D1615&lt;&gt;"",H1615&gt;0),"✓","⚠ missing")</f>
        <v/>
      </c>
      <c r="L1615" s="44" t="n"/>
      <c r="M1615" s="45" t="n"/>
      <c r="N1615" s="39" t="n"/>
      <c r="O1615" s="46" t="n"/>
    </row>
    <row r="1616">
      <c r="H1616" s="47">
        <f>IF(AND(E1616&lt;&gt;"",F1616&lt;&gt;""), F1616-E1616, IF(G1616&lt;&gt;"", G1616, 0))</f>
        <v/>
      </c>
      <c r="I1616" s="48">
        <f>H1616*Settings!$B$5</f>
        <v/>
      </c>
      <c r="K1616">
        <f>IF(AND(A1616&lt;&gt;"",C1616&lt;&gt;"",D1616&lt;&gt;"",H1616&gt;0),"✓","⚠ missing")</f>
        <v/>
      </c>
      <c r="L1616" s="44" t="n"/>
      <c r="M1616" s="45" t="n"/>
      <c r="N1616" s="39" t="n"/>
      <c r="O1616" s="46" t="n"/>
    </row>
    <row r="1617">
      <c r="H1617" s="47">
        <f>IF(AND(E1617&lt;&gt;"",F1617&lt;&gt;""), F1617-E1617, IF(G1617&lt;&gt;"", G1617, 0))</f>
        <v/>
      </c>
      <c r="I1617" s="48">
        <f>H1617*Settings!$B$5</f>
        <v/>
      </c>
      <c r="K1617">
        <f>IF(AND(A1617&lt;&gt;"",C1617&lt;&gt;"",D1617&lt;&gt;"",H1617&gt;0),"✓","⚠ missing")</f>
        <v/>
      </c>
      <c r="L1617" s="44" t="n"/>
      <c r="M1617" s="45" t="n"/>
      <c r="N1617" s="39" t="n"/>
      <c r="O1617" s="46" t="n"/>
    </row>
    <row r="1618">
      <c r="H1618" s="47">
        <f>IF(AND(E1618&lt;&gt;"",F1618&lt;&gt;""), F1618-E1618, IF(G1618&lt;&gt;"", G1618, 0))</f>
        <v/>
      </c>
      <c r="I1618" s="48">
        <f>H1618*Settings!$B$5</f>
        <v/>
      </c>
      <c r="K1618">
        <f>IF(AND(A1618&lt;&gt;"",C1618&lt;&gt;"",D1618&lt;&gt;"",H1618&gt;0),"✓","⚠ missing")</f>
        <v/>
      </c>
      <c r="L1618" s="44" t="n"/>
      <c r="M1618" s="45" t="n"/>
      <c r="N1618" s="39" t="n"/>
      <c r="O1618" s="46" t="n"/>
    </row>
    <row r="1619">
      <c r="H1619" s="47">
        <f>IF(AND(E1619&lt;&gt;"",F1619&lt;&gt;""), F1619-E1619, IF(G1619&lt;&gt;"", G1619, 0))</f>
        <v/>
      </c>
      <c r="I1619" s="48">
        <f>H1619*Settings!$B$5</f>
        <v/>
      </c>
      <c r="K1619">
        <f>IF(AND(A1619&lt;&gt;"",C1619&lt;&gt;"",D1619&lt;&gt;"",H1619&gt;0),"✓","⚠ missing")</f>
        <v/>
      </c>
      <c r="L1619" s="44" t="n"/>
      <c r="M1619" s="45" t="n"/>
      <c r="N1619" s="39" t="n"/>
      <c r="O1619" s="46" t="n"/>
    </row>
    <row r="1620">
      <c r="H1620" s="47">
        <f>IF(AND(E1620&lt;&gt;"",F1620&lt;&gt;""), F1620-E1620, IF(G1620&lt;&gt;"", G1620, 0))</f>
        <v/>
      </c>
      <c r="I1620" s="48">
        <f>H1620*Settings!$B$5</f>
        <v/>
      </c>
      <c r="K1620">
        <f>IF(AND(A1620&lt;&gt;"",C1620&lt;&gt;"",D1620&lt;&gt;"",H1620&gt;0),"✓","⚠ missing")</f>
        <v/>
      </c>
      <c r="L1620" s="44" t="n"/>
      <c r="M1620" s="45" t="n"/>
      <c r="N1620" s="39" t="n"/>
      <c r="O1620" s="46" t="n"/>
    </row>
    <row r="1621">
      <c r="H1621" s="47">
        <f>IF(AND(E1621&lt;&gt;"",F1621&lt;&gt;""), F1621-E1621, IF(G1621&lt;&gt;"", G1621, 0))</f>
        <v/>
      </c>
      <c r="I1621" s="48">
        <f>H1621*Settings!$B$5</f>
        <v/>
      </c>
      <c r="K1621">
        <f>IF(AND(A1621&lt;&gt;"",C1621&lt;&gt;"",D1621&lt;&gt;"",H1621&gt;0),"✓","⚠ missing")</f>
        <v/>
      </c>
      <c r="L1621" s="44" t="n"/>
      <c r="M1621" s="45" t="n"/>
      <c r="N1621" s="39" t="n"/>
      <c r="O1621" s="46" t="n"/>
    </row>
    <row r="1622">
      <c r="H1622" s="47">
        <f>IF(AND(E1622&lt;&gt;"",F1622&lt;&gt;""), F1622-E1622, IF(G1622&lt;&gt;"", G1622, 0))</f>
        <v/>
      </c>
      <c r="I1622" s="48">
        <f>H1622*Settings!$B$5</f>
        <v/>
      </c>
      <c r="K1622">
        <f>IF(AND(A1622&lt;&gt;"",C1622&lt;&gt;"",D1622&lt;&gt;"",H1622&gt;0),"✓","⚠ missing")</f>
        <v/>
      </c>
      <c r="L1622" s="44" t="n"/>
      <c r="M1622" s="45" t="n"/>
      <c r="N1622" s="39" t="n"/>
      <c r="O1622" s="46" t="n"/>
    </row>
    <row r="1623">
      <c r="H1623" s="47">
        <f>IF(AND(E1623&lt;&gt;"",F1623&lt;&gt;""), F1623-E1623, IF(G1623&lt;&gt;"", G1623, 0))</f>
        <v/>
      </c>
      <c r="I1623" s="48">
        <f>H1623*Settings!$B$5</f>
        <v/>
      </c>
      <c r="K1623">
        <f>IF(AND(A1623&lt;&gt;"",C1623&lt;&gt;"",D1623&lt;&gt;"",H1623&gt;0),"✓","⚠ missing")</f>
        <v/>
      </c>
      <c r="L1623" s="44" t="n"/>
      <c r="M1623" s="45" t="n"/>
      <c r="N1623" s="39" t="n"/>
      <c r="O1623" s="46" t="n"/>
    </row>
    <row r="1624">
      <c r="H1624" s="47">
        <f>IF(AND(E1624&lt;&gt;"",F1624&lt;&gt;""), F1624-E1624, IF(G1624&lt;&gt;"", G1624, 0))</f>
        <v/>
      </c>
      <c r="I1624" s="48">
        <f>H1624*Settings!$B$5</f>
        <v/>
      </c>
      <c r="K1624">
        <f>IF(AND(A1624&lt;&gt;"",C1624&lt;&gt;"",D1624&lt;&gt;"",H1624&gt;0),"✓","⚠ missing")</f>
        <v/>
      </c>
      <c r="L1624" s="44" t="n"/>
      <c r="M1624" s="45" t="n"/>
      <c r="N1624" s="39" t="n"/>
      <c r="O1624" s="46" t="n"/>
    </row>
    <row r="1625">
      <c r="H1625" s="47">
        <f>IF(AND(E1625&lt;&gt;"",F1625&lt;&gt;""), F1625-E1625, IF(G1625&lt;&gt;"", G1625, 0))</f>
        <v/>
      </c>
      <c r="I1625" s="48">
        <f>H1625*Settings!$B$5</f>
        <v/>
      </c>
      <c r="K1625">
        <f>IF(AND(A1625&lt;&gt;"",C1625&lt;&gt;"",D1625&lt;&gt;"",H1625&gt;0),"✓","⚠ missing")</f>
        <v/>
      </c>
      <c r="L1625" s="44" t="n"/>
      <c r="M1625" s="45" t="n"/>
      <c r="N1625" s="39" t="n"/>
      <c r="O1625" s="46" t="n"/>
    </row>
    <row r="1626">
      <c r="H1626" s="47">
        <f>IF(AND(E1626&lt;&gt;"",F1626&lt;&gt;""), F1626-E1626, IF(G1626&lt;&gt;"", G1626, 0))</f>
        <v/>
      </c>
      <c r="I1626" s="48">
        <f>H1626*Settings!$B$5</f>
        <v/>
      </c>
      <c r="K1626">
        <f>IF(AND(A1626&lt;&gt;"",C1626&lt;&gt;"",D1626&lt;&gt;"",H1626&gt;0),"✓","⚠ missing")</f>
        <v/>
      </c>
      <c r="L1626" s="44" t="n"/>
      <c r="M1626" s="45" t="n"/>
      <c r="N1626" s="39" t="n"/>
      <c r="O1626" s="46" t="n"/>
    </row>
    <row r="1627">
      <c r="H1627" s="47">
        <f>IF(AND(E1627&lt;&gt;"",F1627&lt;&gt;""), F1627-E1627, IF(G1627&lt;&gt;"", G1627, 0))</f>
        <v/>
      </c>
      <c r="I1627" s="48">
        <f>H1627*Settings!$B$5</f>
        <v/>
      </c>
      <c r="K1627">
        <f>IF(AND(A1627&lt;&gt;"",C1627&lt;&gt;"",D1627&lt;&gt;"",H1627&gt;0),"✓","⚠ missing")</f>
        <v/>
      </c>
      <c r="L1627" s="44" t="n"/>
      <c r="M1627" s="45" t="n"/>
      <c r="N1627" s="39" t="n"/>
      <c r="O1627" s="46" t="n"/>
    </row>
    <row r="1628">
      <c r="H1628" s="47">
        <f>IF(AND(E1628&lt;&gt;"",F1628&lt;&gt;""), F1628-E1628, IF(G1628&lt;&gt;"", G1628, 0))</f>
        <v/>
      </c>
      <c r="I1628" s="48">
        <f>H1628*Settings!$B$5</f>
        <v/>
      </c>
      <c r="K1628">
        <f>IF(AND(A1628&lt;&gt;"",C1628&lt;&gt;"",D1628&lt;&gt;"",H1628&gt;0),"✓","⚠ missing")</f>
        <v/>
      </c>
      <c r="L1628" s="44" t="n"/>
      <c r="M1628" s="45" t="n"/>
      <c r="N1628" s="39" t="n"/>
      <c r="O1628" s="46" t="n"/>
    </row>
    <row r="1629">
      <c r="H1629" s="47">
        <f>IF(AND(E1629&lt;&gt;"",F1629&lt;&gt;""), F1629-E1629, IF(G1629&lt;&gt;"", G1629, 0))</f>
        <v/>
      </c>
      <c r="I1629" s="48">
        <f>H1629*Settings!$B$5</f>
        <v/>
      </c>
      <c r="K1629">
        <f>IF(AND(A1629&lt;&gt;"",C1629&lt;&gt;"",D1629&lt;&gt;"",H1629&gt;0),"✓","⚠ missing")</f>
        <v/>
      </c>
      <c r="L1629" s="44" t="n"/>
      <c r="M1629" s="45" t="n"/>
      <c r="N1629" s="39" t="n"/>
      <c r="O1629" s="46" t="n"/>
    </row>
    <row r="1630">
      <c r="H1630" s="47">
        <f>IF(AND(E1630&lt;&gt;"",F1630&lt;&gt;""), F1630-E1630, IF(G1630&lt;&gt;"", G1630, 0))</f>
        <v/>
      </c>
      <c r="I1630" s="48">
        <f>H1630*Settings!$B$5</f>
        <v/>
      </c>
      <c r="K1630">
        <f>IF(AND(A1630&lt;&gt;"",C1630&lt;&gt;"",D1630&lt;&gt;"",H1630&gt;0),"✓","⚠ missing")</f>
        <v/>
      </c>
      <c r="L1630" s="44" t="n"/>
      <c r="M1630" s="45" t="n"/>
      <c r="N1630" s="39" t="n"/>
      <c r="O1630" s="46" t="n"/>
    </row>
    <row r="1631">
      <c r="H1631" s="47">
        <f>IF(AND(E1631&lt;&gt;"",F1631&lt;&gt;""), F1631-E1631, IF(G1631&lt;&gt;"", G1631, 0))</f>
        <v/>
      </c>
      <c r="I1631" s="48">
        <f>H1631*Settings!$B$5</f>
        <v/>
      </c>
      <c r="K1631">
        <f>IF(AND(A1631&lt;&gt;"",C1631&lt;&gt;"",D1631&lt;&gt;"",H1631&gt;0),"✓","⚠ missing")</f>
        <v/>
      </c>
      <c r="L1631" s="44" t="n"/>
      <c r="M1631" s="45" t="n"/>
      <c r="N1631" s="39" t="n"/>
      <c r="O1631" s="46" t="n"/>
    </row>
    <row r="1632">
      <c r="H1632" s="47">
        <f>IF(AND(E1632&lt;&gt;"",F1632&lt;&gt;""), F1632-E1632, IF(G1632&lt;&gt;"", G1632, 0))</f>
        <v/>
      </c>
      <c r="I1632" s="48">
        <f>H1632*Settings!$B$5</f>
        <v/>
      </c>
      <c r="K1632">
        <f>IF(AND(A1632&lt;&gt;"",C1632&lt;&gt;"",D1632&lt;&gt;"",H1632&gt;0),"✓","⚠ missing")</f>
        <v/>
      </c>
      <c r="L1632" s="44" t="n"/>
      <c r="M1632" s="45" t="n"/>
      <c r="N1632" s="39" t="n"/>
      <c r="O1632" s="46" t="n"/>
    </row>
    <row r="1633">
      <c r="H1633" s="47">
        <f>IF(AND(E1633&lt;&gt;"",F1633&lt;&gt;""), F1633-E1633, IF(G1633&lt;&gt;"", G1633, 0))</f>
        <v/>
      </c>
      <c r="I1633" s="48">
        <f>H1633*Settings!$B$5</f>
        <v/>
      </c>
      <c r="K1633">
        <f>IF(AND(A1633&lt;&gt;"",C1633&lt;&gt;"",D1633&lt;&gt;"",H1633&gt;0),"✓","⚠ missing")</f>
        <v/>
      </c>
      <c r="L1633" s="44" t="n"/>
      <c r="M1633" s="45" t="n"/>
      <c r="N1633" s="39" t="n"/>
      <c r="O1633" s="46" t="n"/>
    </row>
    <row r="1634">
      <c r="H1634" s="47">
        <f>IF(AND(E1634&lt;&gt;"",F1634&lt;&gt;""), F1634-E1634, IF(G1634&lt;&gt;"", G1634, 0))</f>
        <v/>
      </c>
      <c r="I1634" s="48">
        <f>H1634*Settings!$B$5</f>
        <v/>
      </c>
      <c r="K1634">
        <f>IF(AND(A1634&lt;&gt;"",C1634&lt;&gt;"",D1634&lt;&gt;"",H1634&gt;0),"✓","⚠ missing")</f>
        <v/>
      </c>
      <c r="L1634" s="44" t="n"/>
      <c r="M1634" s="45" t="n"/>
      <c r="N1634" s="39" t="n"/>
      <c r="O1634" s="46" t="n"/>
    </row>
    <row r="1635">
      <c r="H1635" s="47">
        <f>IF(AND(E1635&lt;&gt;"",F1635&lt;&gt;""), F1635-E1635, IF(G1635&lt;&gt;"", G1635, 0))</f>
        <v/>
      </c>
      <c r="I1635" s="48">
        <f>H1635*Settings!$B$5</f>
        <v/>
      </c>
      <c r="K1635">
        <f>IF(AND(A1635&lt;&gt;"",C1635&lt;&gt;"",D1635&lt;&gt;"",H1635&gt;0),"✓","⚠ missing")</f>
        <v/>
      </c>
      <c r="L1635" s="44" t="n"/>
      <c r="M1635" s="45" t="n"/>
      <c r="N1635" s="39" t="n"/>
      <c r="O1635" s="46" t="n"/>
    </row>
    <row r="1636">
      <c r="H1636" s="47">
        <f>IF(AND(E1636&lt;&gt;"",F1636&lt;&gt;""), F1636-E1636, IF(G1636&lt;&gt;"", G1636, 0))</f>
        <v/>
      </c>
      <c r="I1636" s="48">
        <f>H1636*Settings!$B$5</f>
        <v/>
      </c>
      <c r="K1636">
        <f>IF(AND(A1636&lt;&gt;"",C1636&lt;&gt;"",D1636&lt;&gt;"",H1636&gt;0),"✓","⚠ missing")</f>
        <v/>
      </c>
      <c r="L1636" s="44" t="n"/>
      <c r="M1636" s="45" t="n"/>
      <c r="N1636" s="39" t="n"/>
      <c r="O1636" s="46" t="n"/>
    </row>
    <row r="1637">
      <c r="H1637" s="47">
        <f>IF(AND(E1637&lt;&gt;"",F1637&lt;&gt;""), F1637-E1637, IF(G1637&lt;&gt;"", G1637, 0))</f>
        <v/>
      </c>
      <c r="I1637" s="48">
        <f>H1637*Settings!$B$5</f>
        <v/>
      </c>
      <c r="K1637">
        <f>IF(AND(A1637&lt;&gt;"",C1637&lt;&gt;"",D1637&lt;&gt;"",H1637&gt;0),"✓","⚠ missing")</f>
        <v/>
      </c>
      <c r="L1637" s="44" t="n"/>
      <c r="M1637" s="45" t="n"/>
      <c r="N1637" s="39" t="n"/>
      <c r="O1637" s="46" t="n"/>
    </row>
    <row r="1638">
      <c r="H1638" s="47">
        <f>IF(AND(E1638&lt;&gt;"",F1638&lt;&gt;""), F1638-E1638, IF(G1638&lt;&gt;"", G1638, 0))</f>
        <v/>
      </c>
      <c r="I1638" s="48">
        <f>H1638*Settings!$B$5</f>
        <v/>
      </c>
      <c r="K1638">
        <f>IF(AND(A1638&lt;&gt;"",C1638&lt;&gt;"",D1638&lt;&gt;"",H1638&gt;0),"✓","⚠ missing")</f>
        <v/>
      </c>
      <c r="L1638" s="44" t="n"/>
      <c r="M1638" s="45" t="n"/>
      <c r="N1638" s="39" t="n"/>
      <c r="O1638" s="46" t="n"/>
    </row>
    <row r="1639">
      <c r="H1639" s="47">
        <f>IF(AND(E1639&lt;&gt;"",F1639&lt;&gt;""), F1639-E1639, IF(G1639&lt;&gt;"", G1639, 0))</f>
        <v/>
      </c>
      <c r="I1639" s="48">
        <f>H1639*Settings!$B$5</f>
        <v/>
      </c>
      <c r="K1639">
        <f>IF(AND(A1639&lt;&gt;"",C1639&lt;&gt;"",D1639&lt;&gt;"",H1639&gt;0),"✓","⚠ missing")</f>
        <v/>
      </c>
      <c r="L1639" s="44" t="n"/>
      <c r="M1639" s="45" t="n"/>
      <c r="N1639" s="39" t="n"/>
      <c r="O1639" s="46" t="n"/>
    </row>
    <row r="1640">
      <c r="H1640" s="47">
        <f>IF(AND(E1640&lt;&gt;"",F1640&lt;&gt;""), F1640-E1640, IF(G1640&lt;&gt;"", G1640, 0))</f>
        <v/>
      </c>
      <c r="I1640" s="48">
        <f>H1640*Settings!$B$5</f>
        <v/>
      </c>
      <c r="K1640">
        <f>IF(AND(A1640&lt;&gt;"",C1640&lt;&gt;"",D1640&lt;&gt;"",H1640&gt;0),"✓","⚠ missing")</f>
        <v/>
      </c>
      <c r="L1640" s="44" t="n"/>
      <c r="M1640" s="45" t="n"/>
      <c r="N1640" s="39" t="n"/>
      <c r="O1640" s="46" t="n"/>
    </row>
    <row r="1641">
      <c r="H1641" s="47">
        <f>IF(AND(E1641&lt;&gt;"",F1641&lt;&gt;""), F1641-E1641, IF(G1641&lt;&gt;"", G1641, 0))</f>
        <v/>
      </c>
      <c r="I1641" s="48">
        <f>H1641*Settings!$B$5</f>
        <v/>
      </c>
      <c r="K1641">
        <f>IF(AND(A1641&lt;&gt;"",C1641&lt;&gt;"",D1641&lt;&gt;"",H1641&gt;0),"✓","⚠ missing")</f>
        <v/>
      </c>
      <c r="L1641" s="44" t="n"/>
      <c r="M1641" s="45" t="n"/>
      <c r="N1641" s="39" t="n"/>
      <c r="O1641" s="46" t="n"/>
    </row>
    <row r="1642">
      <c r="H1642" s="47">
        <f>IF(AND(E1642&lt;&gt;"",F1642&lt;&gt;""), F1642-E1642, IF(G1642&lt;&gt;"", G1642, 0))</f>
        <v/>
      </c>
      <c r="I1642" s="48">
        <f>H1642*Settings!$B$5</f>
        <v/>
      </c>
      <c r="K1642">
        <f>IF(AND(A1642&lt;&gt;"",C1642&lt;&gt;"",D1642&lt;&gt;"",H1642&gt;0),"✓","⚠ missing")</f>
        <v/>
      </c>
      <c r="L1642" s="44" t="n"/>
      <c r="M1642" s="45" t="n"/>
      <c r="N1642" s="39" t="n"/>
      <c r="O1642" s="46" t="n"/>
    </row>
    <row r="1643">
      <c r="H1643" s="47">
        <f>IF(AND(E1643&lt;&gt;"",F1643&lt;&gt;""), F1643-E1643, IF(G1643&lt;&gt;"", G1643, 0))</f>
        <v/>
      </c>
      <c r="I1643" s="48">
        <f>H1643*Settings!$B$5</f>
        <v/>
      </c>
      <c r="K1643">
        <f>IF(AND(A1643&lt;&gt;"",C1643&lt;&gt;"",D1643&lt;&gt;"",H1643&gt;0),"✓","⚠ missing")</f>
        <v/>
      </c>
      <c r="L1643" s="44" t="n"/>
      <c r="M1643" s="45" t="n"/>
      <c r="N1643" s="39" t="n"/>
      <c r="O1643" s="46" t="n"/>
    </row>
    <row r="1644">
      <c r="H1644" s="47">
        <f>IF(AND(E1644&lt;&gt;"",F1644&lt;&gt;""), F1644-E1644, IF(G1644&lt;&gt;"", G1644, 0))</f>
        <v/>
      </c>
      <c r="I1644" s="48">
        <f>H1644*Settings!$B$5</f>
        <v/>
      </c>
      <c r="K1644">
        <f>IF(AND(A1644&lt;&gt;"",C1644&lt;&gt;"",D1644&lt;&gt;"",H1644&gt;0),"✓","⚠ missing")</f>
        <v/>
      </c>
      <c r="L1644" s="44" t="n"/>
      <c r="M1644" s="45" t="n"/>
      <c r="N1644" s="39" t="n"/>
      <c r="O1644" s="46" t="n"/>
    </row>
    <row r="1645">
      <c r="H1645" s="47">
        <f>IF(AND(E1645&lt;&gt;"",F1645&lt;&gt;""), F1645-E1645, IF(G1645&lt;&gt;"", G1645, 0))</f>
        <v/>
      </c>
      <c r="I1645" s="48">
        <f>H1645*Settings!$B$5</f>
        <v/>
      </c>
      <c r="K1645">
        <f>IF(AND(A1645&lt;&gt;"",C1645&lt;&gt;"",D1645&lt;&gt;"",H1645&gt;0),"✓","⚠ missing")</f>
        <v/>
      </c>
      <c r="L1645" s="44" t="n"/>
      <c r="M1645" s="45" t="n"/>
      <c r="N1645" s="39" t="n"/>
      <c r="O1645" s="46" t="n"/>
    </row>
    <row r="1646">
      <c r="H1646" s="47">
        <f>IF(AND(E1646&lt;&gt;"",F1646&lt;&gt;""), F1646-E1646, IF(G1646&lt;&gt;"", G1646, 0))</f>
        <v/>
      </c>
      <c r="I1646" s="48">
        <f>H1646*Settings!$B$5</f>
        <v/>
      </c>
      <c r="K1646">
        <f>IF(AND(A1646&lt;&gt;"",C1646&lt;&gt;"",D1646&lt;&gt;"",H1646&gt;0),"✓","⚠ missing")</f>
        <v/>
      </c>
      <c r="L1646" s="44" t="n"/>
      <c r="M1646" s="45" t="n"/>
      <c r="N1646" s="39" t="n"/>
      <c r="O1646" s="46" t="n"/>
    </row>
    <row r="1647">
      <c r="H1647" s="47">
        <f>IF(AND(E1647&lt;&gt;"",F1647&lt;&gt;""), F1647-E1647, IF(G1647&lt;&gt;"", G1647, 0))</f>
        <v/>
      </c>
      <c r="I1647" s="48">
        <f>H1647*Settings!$B$5</f>
        <v/>
      </c>
      <c r="K1647">
        <f>IF(AND(A1647&lt;&gt;"",C1647&lt;&gt;"",D1647&lt;&gt;"",H1647&gt;0),"✓","⚠ missing")</f>
        <v/>
      </c>
      <c r="L1647" s="44" t="n"/>
      <c r="M1647" s="45" t="n"/>
      <c r="N1647" s="39" t="n"/>
      <c r="O1647" s="46" t="n"/>
    </row>
    <row r="1648">
      <c r="H1648" s="47">
        <f>IF(AND(E1648&lt;&gt;"",F1648&lt;&gt;""), F1648-E1648, IF(G1648&lt;&gt;"", G1648, 0))</f>
        <v/>
      </c>
      <c r="I1648" s="48">
        <f>H1648*Settings!$B$5</f>
        <v/>
      </c>
      <c r="K1648">
        <f>IF(AND(A1648&lt;&gt;"",C1648&lt;&gt;"",D1648&lt;&gt;"",H1648&gt;0),"✓","⚠ missing")</f>
        <v/>
      </c>
      <c r="L1648" s="44" t="n"/>
      <c r="M1648" s="45" t="n"/>
      <c r="N1648" s="39" t="n"/>
      <c r="O1648" s="46" t="n"/>
    </row>
    <row r="1649">
      <c r="H1649" s="47">
        <f>IF(AND(E1649&lt;&gt;"",F1649&lt;&gt;""), F1649-E1649, IF(G1649&lt;&gt;"", G1649, 0))</f>
        <v/>
      </c>
      <c r="I1649" s="48">
        <f>H1649*Settings!$B$5</f>
        <v/>
      </c>
      <c r="K1649">
        <f>IF(AND(A1649&lt;&gt;"",C1649&lt;&gt;"",D1649&lt;&gt;"",H1649&gt;0),"✓","⚠ missing")</f>
        <v/>
      </c>
      <c r="L1649" s="44" t="n"/>
      <c r="M1649" s="45" t="n"/>
      <c r="N1649" s="39" t="n"/>
      <c r="O1649" s="46" t="n"/>
    </row>
    <row r="1650">
      <c r="H1650" s="47">
        <f>IF(AND(E1650&lt;&gt;"",F1650&lt;&gt;""), F1650-E1650, IF(G1650&lt;&gt;"", G1650, 0))</f>
        <v/>
      </c>
      <c r="I1650" s="48">
        <f>H1650*Settings!$B$5</f>
        <v/>
      </c>
      <c r="K1650">
        <f>IF(AND(A1650&lt;&gt;"",C1650&lt;&gt;"",D1650&lt;&gt;"",H1650&gt;0),"✓","⚠ missing")</f>
        <v/>
      </c>
      <c r="L1650" s="44" t="n"/>
      <c r="M1650" s="45" t="n"/>
      <c r="N1650" s="39" t="n"/>
      <c r="O1650" s="46" t="n"/>
    </row>
    <row r="1651">
      <c r="H1651" s="47">
        <f>IF(AND(E1651&lt;&gt;"",F1651&lt;&gt;""), F1651-E1651, IF(G1651&lt;&gt;"", G1651, 0))</f>
        <v/>
      </c>
      <c r="I1651" s="48">
        <f>H1651*Settings!$B$5</f>
        <v/>
      </c>
      <c r="K1651">
        <f>IF(AND(A1651&lt;&gt;"",C1651&lt;&gt;"",D1651&lt;&gt;"",H1651&gt;0),"✓","⚠ missing")</f>
        <v/>
      </c>
      <c r="L1651" s="44" t="n"/>
      <c r="M1651" s="45" t="n"/>
      <c r="N1651" s="39" t="n"/>
      <c r="O1651" s="46" t="n"/>
    </row>
    <row r="1652">
      <c r="H1652" s="47">
        <f>IF(AND(E1652&lt;&gt;"",F1652&lt;&gt;""), F1652-E1652, IF(G1652&lt;&gt;"", G1652, 0))</f>
        <v/>
      </c>
      <c r="I1652" s="48">
        <f>H1652*Settings!$B$5</f>
        <v/>
      </c>
      <c r="K1652">
        <f>IF(AND(A1652&lt;&gt;"",C1652&lt;&gt;"",D1652&lt;&gt;"",H1652&gt;0),"✓","⚠ missing")</f>
        <v/>
      </c>
      <c r="L1652" s="44" t="n"/>
      <c r="M1652" s="45" t="n"/>
      <c r="N1652" s="39" t="n"/>
      <c r="O1652" s="46" t="n"/>
    </row>
    <row r="1653">
      <c r="H1653" s="47">
        <f>IF(AND(E1653&lt;&gt;"",F1653&lt;&gt;""), F1653-E1653, IF(G1653&lt;&gt;"", G1653, 0))</f>
        <v/>
      </c>
      <c r="I1653" s="48">
        <f>H1653*Settings!$B$5</f>
        <v/>
      </c>
      <c r="K1653">
        <f>IF(AND(A1653&lt;&gt;"",C1653&lt;&gt;"",D1653&lt;&gt;"",H1653&gt;0),"✓","⚠ missing")</f>
        <v/>
      </c>
      <c r="L1653" s="44" t="n"/>
      <c r="M1653" s="45" t="n"/>
      <c r="N1653" s="39" t="n"/>
      <c r="O1653" s="46" t="n"/>
    </row>
    <row r="1654">
      <c r="H1654" s="47">
        <f>IF(AND(E1654&lt;&gt;"",F1654&lt;&gt;""), F1654-E1654, IF(G1654&lt;&gt;"", G1654, 0))</f>
        <v/>
      </c>
      <c r="I1654" s="48">
        <f>H1654*Settings!$B$5</f>
        <v/>
      </c>
      <c r="K1654">
        <f>IF(AND(A1654&lt;&gt;"",C1654&lt;&gt;"",D1654&lt;&gt;"",H1654&gt;0),"✓","⚠ missing")</f>
        <v/>
      </c>
      <c r="L1654" s="44" t="n"/>
      <c r="M1654" s="45" t="n"/>
      <c r="N1654" s="39" t="n"/>
      <c r="O1654" s="46" t="n"/>
    </row>
    <row r="1655">
      <c r="H1655" s="47">
        <f>IF(AND(E1655&lt;&gt;"",F1655&lt;&gt;""), F1655-E1655, IF(G1655&lt;&gt;"", G1655, 0))</f>
        <v/>
      </c>
      <c r="I1655" s="48">
        <f>H1655*Settings!$B$5</f>
        <v/>
      </c>
      <c r="K1655">
        <f>IF(AND(A1655&lt;&gt;"",C1655&lt;&gt;"",D1655&lt;&gt;"",H1655&gt;0),"✓","⚠ missing")</f>
        <v/>
      </c>
      <c r="L1655" s="44" t="n"/>
      <c r="M1655" s="45" t="n"/>
      <c r="N1655" s="39" t="n"/>
      <c r="O1655" s="46" t="n"/>
    </row>
    <row r="1656">
      <c r="H1656" s="47">
        <f>IF(AND(E1656&lt;&gt;"",F1656&lt;&gt;""), F1656-E1656, IF(G1656&lt;&gt;"", G1656, 0))</f>
        <v/>
      </c>
      <c r="I1656" s="48">
        <f>H1656*Settings!$B$5</f>
        <v/>
      </c>
      <c r="K1656">
        <f>IF(AND(A1656&lt;&gt;"",C1656&lt;&gt;"",D1656&lt;&gt;"",H1656&gt;0),"✓","⚠ missing")</f>
        <v/>
      </c>
      <c r="L1656" s="44" t="n"/>
      <c r="M1656" s="45" t="n"/>
      <c r="N1656" s="39" t="n"/>
      <c r="O1656" s="46" t="n"/>
    </row>
    <row r="1657">
      <c r="H1657" s="47">
        <f>IF(AND(E1657&lt;&gt;"",F1657&lt;&gt;""), F1657-E1657, IF(G1657&lt;&gt;"", G1657, 0))</f>
        <v/>
      </c>
      <c r="I1657" s="48">
        <f>H1657*Settings!$B$5</f>
        <v/>
      </c>
      <c r="K1657">
        <f>IF(AND(A1657&lt;&gt;"",C1657&lt;&gt;"",D1657&lt;&gt;"",H1657&gt;0),"✓","⚠ missing")</f>
        <v/>
      </c>
      <c r="L1657" s="44" t="n"/>
      <c r="M1657" s="45" t="n"/>
      <c r="N1657" s="39" t="n"/>
      <c r="O1657" s="46" t="n"/>
    </row>
    <row r="1658">
      <c r="H1658" s="47">
        <f>IF(AND(E1658&lt;&gt;"",F1658&lt;&gt;""), F1658-E1658, IF(G1658&lt;&gt;"", G1658, 0))</f>
        <v/>
      </c>
      <c r="I1658" s="48">
        <f>H1658*Settings!$B$5</f>
        <v/>
      </c>
      <c r="K1658">
        <f>IF(AND(A1658&lt;&gt;"",C1658&lt;&gt;"",D1658&lt;&gt;"",H1658&gt;0),"✓","⚠ missing")</f>
        <v/>
      </c>
      <c r="L1658" s="44" t="n"/>
      <c r="M1658" s="45" t="n"/>
      <c r="N1658" s="39" t="n"/>
      <c r="O1658" s="46" t="n"/>
    </row>
    <row r="1659">
      <c r="H1659" s="47">
        <f>IF(AND(E1659&lt;&gt;"",F1659&lt;&gt;""), F1659-E1659, IF(G1659&lt;&gt;"", G1659, 0))</f>
        <v/>
      </c>
      <c r="I1659" s="48">
        <f>H1659*Settings!$B$5</f>
        <v/>
      </c>
      <c r="K1659">
        <f>IF(AND(A1659&lt;&gt;"",C1659&lt;&gt;"",D1659&lt;&gt;"",H1659&gt;0),"✓","⚠ missing")</f>
        <v/>
      </c>
      <c r="L1659" s="44" t="n"/>
      <c r="M1659" s="45" t="n"/>
      <c r="N1659" s="39" t="n"/>
      <c r="O1659" s="46" t="n"/>
    </row>
    <row r="1660">
      <c r="H1660" s="47">
        <f>IF(AND(E1660&lt;&gt;"",F1660&lt;&gt;""), F1660-E1660, IF(G1660&lt;&gt;"", G1660, 0))</f>
        <v/>
      </c>
      <c r="I1660" s="48">
        <f>H1660*Settings!$B$5</f>
        <v/>
      </c>
      <c r="K1660">
        <f>IF(AND(A1660&lt;&gt;"",C1660&lt;&gt;"",D1660&lt;&gt;"",H1660&gt;0),"✓","⚠ missing")</f>
        <v/>
      </c>
      <c r="L1660" s="44" t="n"/>
      <c r="M1660" s="45" t="n"/>
      <c r="N1660" s="39" t="n"/>
      <c r="O1660" s="46" t="n"/>
    </row>
    <row r="1661">
      <c r="H1661" s="47">
        <f>IF(AND(E1661&lt;&gt;"",F1661&lt;&gt;""), F1661-E1661, IF(G1661&lt;&gt;"", G1661, 0))</f>
        <v/>
      </c>
      <c r="I1661" s="48">
        <f>H1661*Settings!$B$5</f>
        <v/>
      </c>
      <c r="K1661">
        <f>IF(AND(A1661&lt;&gt;"",C1661&lt;&gt;"",D1661&lt;&gt;"",H1661&gt;0),"✓","⚠ missing")</f>
        <v/>
      </c>
      <c r="L1661" s="44" t="n"/>
      <c r="M1661" s="45" t="n"/>
      <c r="N1661" s="39" t="n"/>
      <c r="O1661" s="46" t="n"/>
    </row>
    <row r="1662">
      <c r="H1662" s="47">
        <f>IF(AND(E1662&lt;&gt;"",F1662&lt;&gt;""), F1662-E1662, IF(G1662&lt;&gt;"", G1662, 0))</f>
        <v/>
      </c>
      <c r="I1662" s="48">
        <f>H1662*Settings!$B$5</f>
        <v/>
      </c>
      <c r="K1662">
        <f>IF(AND(A1662&lt;&gt;"",C1662&lt;&gt;"",D1662&lt;&gt;"",H1662&gt;0),"✓","⚠ missing")</f>
        <v/>
      </c>
      <c r="L1662" s="44" t="n"/>
      <c r="M1662" s="45" t="n"/>
      <c r="N1662" s="39" t="n"/>
      <c r="O1662" s="46" t="n"/>
    </row>
    <row r="1663">
      <c r="H1663" s="47">
        <f>IF(AND(E1663&lt;&gt;"",F1663&lt;&gt;""), F1663-E1663, IF(G1663&lt;&gt;"", G1663, 0))</f>
        <v/>
      </c>
      <c r="I1663" s="48">
        <f>H1663*Settings!$B$5</f>
        <v/>
      </c>
      <c r="K1663">
        <f>IF(AND(A1663&lt;&gt;"",C1663&lt;&gt;"",D1663&lt;&gt;"",H1663&gt;0),"✓","⚠ missing")</f>
        <v/>
      </c>
      <c r="L1663" s="44" t="n"/>
      <c r="M1663" s="45" t="n"/>
      <c r="N1663" s="39" t="n"/>
      <c r="O1663" s="46" t="n"/>
    </row>
    <row r="1664">
      <c r="H1664" s="47">
        <f>IF(AND(E1664&lt;&gt;"",F1664&lt;&gt;""), F1664-E1664, IF(G1664&lt;&gt;"", G1664, 0))</f>
        <v/>
      </c>
      <c r="I1664" s="48">
        <f>H1664*Settings!$B$5</f>
        <v/>
      </c>
      <c r="K1664">
        <f>IF(AND(A1664&lt;&gt;"",C1664&lt;&gt;"",D1664&lt;&gt;"",H1664&gt;0),"✓","⚠ missing")</f>
        <v/>
      </c>
      <c r="L1664" s="44" t="n"/>
      <c r="M1664" s="45" t="n"/>
      <c r="N1664" s="39" t="n"/>
      <c r="O1664" s="46" t="n"/>
    </row>
    <row r="1665">
      <c r="H1665" s="47">
        <f>IF(AND(E1665&lt;&gt;"",F1665&lt;&gt;""), F1665-E1665, IF(G1665&lt;&gt;"", G1665, 0))</f>
        <v/>
      </c>
      <c r="I1665" s="48">
        <f>H1665*Settings!$B$5</f>
        <v/>
      </c>
      <c r="K1665">
        <f>IF(AND(A1665&lt;&gt;"",C1665&lt;&gt;"",D1665&lt;&gt;"",H1665&gt;0),"✓","⚠ missing")</f>
        <v/>
      </c>
      <c r="L1665" s="44" t="n"/>
      <c r="M1665" s="45" t="n"/>
      <c r="N1665" s="39" t="n"/>
      <c r="O1665" s="46" t="n"/>
    </row>
    <row r="1666">
      <c r="H1666" s="47">
        <f>IF(AND(E1666&lt;&gt;"",F1666&lt;&gt;""), F1666-E1666, IF(G1666&lt;&gt;"", G1666, 0))</f>
        <v/>
      </c>
      <c r="I1666" s="48">
        <f>H1666*Settings!$B$5</f>
        <v/>
      </c>
      <c r="K1666">
        <f>IF(AND(A1666&lt;&gt;"",C1666&lt;&gt;"",D1666&lt;&gt;"",H1666&gt;0),"✓","⚠ missing")</f>
        <v/>
      </c>
      <c r="L1666" s="44" t="n"/>
      <c r="M1666" s="45" t="n"/>
      <c r="N1666" s="39" t="n"/>
      <c r="O1666" s="46" t="n"/>
    </row>
    <row r="1667">
      <c r="H1667" s="47">
        <f>IF(AND(E1667&lt;&gt;"",F1667&lt;&gt;""), F1667-E1667, IF(G1667&lt;&gt;"", G1667, 0))</f>
        <v/>
      </c>
      <c r="I1667" s="48">
        <f>H1667*Settings!$B$5</f>
        <v/>
      </c>
      <c r="K1667">
        <f>IF(AND(A1667&lt;&gt;"",C1667&lt;&gt;"",D1667&lt;&gt;"",H1667&gt;0),"✓","⚠ missing")</f>
        <v/>
      </c>
      <c r="L1667" s="44" t="n"/>
      <c r="M1667" s="45" t="n"/>
      <c r="N1667" s="39" t="n"/>
      <c r="O1667" s="46" t="n"/>
    </row>
    <row r="1668">
      <c r="H1668" s="47">
        <f>IF(AND(E1668&lt;&gt;"",F1668&lt;&gt;""), F1668-E1668, IF(G1668&lt;&gt;"", G1668, 0))</f>
        <v/>
      </c>
      <c r="I1668" s="48">
        <f>H1668*Settings!$B$5</f>
        <v/>
      </c>
      <c r="K1668">
        <f>IF(AND(A1668&lt;&gt;"",C1668&lt;&gt;"",D1668&lt;&gt;"",H1668&gt;0),"✓","⚠ missing")</f>
        <v/>
      </c>
      <c r="L1668" s="44" t="n"/>
      <c r="M1668" s="45" t="n"/>
      <c r="N1668" s="39" t="n"/>
      <c r="O1668" s="46" t="n"/>
    </row>
    <row r="1669">
      <c r="H1669" s="47">
        <f>IF(AND(E1669&lt;&gt;"",F1669&lt;&gt;""), F1669-E1669, IF(G1669&lt;&gt;"", G1669, 0))</f>
        <v/>
      </c>
      <c r="I1669" s="48">
        <f>H1669*Settings!$B$5</f>
        <v/>
      </c>
      <c r="K1669">
        <f>IF(AND(A1669&lt;&gt;"",C1669&lt;&gt;"",D1669&lt;&gt;"",H1669&gt;0),"✓","⚠ missing")</f>
        <v/>
      </c>
      <c r="L1669" s="44" t="n"/>
      <c r="M1669" s="45" t="n"/>
      <c r="N1669" s="39" t="n"/>
      <c r="O1669" s="46" t="n"/>
    </row>
    <row r="1670">
      <c r="H1670" s="47">
        <f>IF(AND(E1670&lt;&gt;"",F1670&lt;&gt;""), F1670-E1670, IF(G1670&lt;&gt;"", G1670, 0))</f>
        <v/>
      </c>
      <c r="I1670" s="48">
        <f>H1670*Settings!$B$5</f>
        <v/>
      </c>
      <c r="K1670">
        <f>IF(AND(A1670&lt;&gt;"",C1670&lt;&gt;"",D1670&lt;&gt;"",H1670&gt;0),"✓","⚠ missing")</f>
        <v/>
      </c>
      <c r="L1670" s="44" t="n"/>
      <c r="M1670" s="45" t="n"/>
      <c r="N1670" s="39" t="n"/>
      <c r="O1670" s="46" t="n"/>
    </row>
    <row r="1671">
      <c r="H1671" s="47">
        <f>IF(AND(E1671&lt;&gt;"",F1671&lt;&gt;""), F1671-E1671, IF(G1671&lt;&gt;"", G1671, 0))</f>
        <v/>
      </c>
      <c r="I1671" s="48">
        <f>H1671*Settings!$B$5</f>
        <v/>
      </c>
      <c r="K1671">
        <f>IF(AND(A1671&lt;&gt;"",C1671&lt;&gt;"",D1671&lt;&gt;"",H1671&gt;0),"✓","⚠ missing")</f>
        <v/>
      </c>
      <c r="L1671" s="44" t="n"/>
      <c r="M1671" s="45" t="n"/>
      <c r="N1671" s="39" t="n"/>
      <c r="O1671" s="46" t="n"/>
    </row>
    <row r="1672">
      <c r="H1672" s="47">
        <f>IF(AND(E1672&lt;&gt;"",F1672&lt;&gt;""), F1672-E1672, IF(G1672&lt;&gt;"", G1672, 0))</f>
        <v/>
      </c>
      <c r="I1672" s="48">
        <f>H1672*Settings!$B$5</f>
        <v/>
      </c>
      <c r="K1672">
        <f>IF(AND(A1672&lt;&gt;"",C1672&lt;&gt;"",D1672&lt;&gt;"",H1672&gt;0),"✓","⚠ missing")</f>
        <v/>
      </c>
      <c r="L1672" s="44" t="n"/>
      <c r="M1672" s="45" t="n"/>
      <c r="N1672" s="39" t="n"/>
      <c r="O1672" s="46" t="n"/>
    </row>
    <row r="1673">
      <c r="H1673" s="47">
        <f>IF(AND(E1673&lt;&gt;"",F1673&lt;&gt;""), F1673-E1673, IF(G1673&lt;&gt;"", G1673, 0))</f>
        <v/>
      </c>
      <c r="I1673" s="48">
        <f>H1673*Settings!$B$5</f>
        <v/>
      </c>
      <c r="K1673">
        <f>IF(AND(A1673&lt;&gt;"",C1673&lt;&gt;"",D1673&lt;&gt;"",H1673&gt;0),"✓","⚠ missing")</f>
        <v/>
      </c>
      <c r="L1673" s="44" t="n"/>
      <c r="M1673" s="45" t="n"/>
      <c r="N1673" s="39" t="n"/>
      <c r="O1673" s="46" t="n"/>
    </row>
    <row r="1674">
      <c r="H1674" s="47">
        <f>IF(AND(E1674&lt;&gt;"",F1674&lt;&gt;""), F1674-E1674, IF(G1674&lt;&gt;"", G1674, 0))</f>
        <v/>
      </c>
      <c r="I1674" s="48">
        <f>H1674*Settings!$B$5</f>
        <v/>
      </c>
      <c r="K1674">
        <f>IF(AND(A1674&lt;&gt;"",C1674&lt;&gt;"",D1674&lt;&gt;"",H1674&gt;0),"✓","⚠ missing")</f>
        <v/>
      </c>
      <c r="L1674" s="44" t="n"/>
      <c r="M1674" s="45" t="n"/>
      <c r="N1674" s="39" t="n"/>
      <c r="O1674" s="46" t="n"/>
    </row>
    <row r="1675">
      <c r="H1675" s="47">
        <f>IF(AND(E1675&lt;&gt;"",F1675&lt;&gt;""), F1675-E1675, IF(G1675&lt;&gt;"", G1675, 0))</f>
        <v/>
      </c>
      <c r="I1675" s="48">
        <f>H1675*Settings!$B$5</f>
        <v/>
      </c>
      <c r="K1675">
        <f>IF(AND(A1675&lt;&gt;"",C1675&lt;&gt;"",D1675&lt;&gt;"",H1675&gt;0),"✓","⚠ missing")</f>
        <v/>
      </c>
      <c r="L1675" s="44" t="n"/>
      <c r="M1675" s="45" t="n"/>
      <c r="N1675" s="39" t="n"/>
      <c r="O1675" s="46" t="n"/>
    </row>
    <row r="1676">
      <c r="H1676" s="47">
        <f>IF(AND(E1676&lt;&gt;"",F1676&lt;&gt;""), F1676-E1676, IF(G1676&lt;&gt;"", G1676, 0))</f>
        <v/>
      </c>
      <c r="I1676" s="48">
        <f>H1676*Settings!$B$5</f>
        <v/>
      </c>
      <c r="K1676">
        <f>IF(AND(A1676&lt;&gt;"",C1676&lt;&gt;"",D1676&lt;&gt;"",H1676&gt;0),"✓","⚠ missing")</f>
        <v/>
      </c>
      <c r="L1676" s="44" t="n"/>
      <c r="M1676" s="45" t="n"/>
      <c r="N1676" s="39" t="n"/>
      <c r="O1676" s="46" t="n"/>
    </row>
    <row r="1677">
      <c r="H1677" s="47">
        <f>IF(AND(E1677&lt;&gt;"",F1677&lt;&gt;""), F1677-E1677, IF(G1677&lt;&gt;"", G1677, 0))</f>
        <v/>
      </c>
      <c r="I1677" s="48">
        <f>H1677*Settings!$B$5</f>
        <v/>
      </c>
      <c r="K1677">
        <f>IF(AND(A1677&lt;&gt;"",C1677&lt;&gt;"",D1677&lt;&gt;"",H1677&gt;0),"✓","⚠ missing")</f>
        <v/>
      </c>
      <c r="L1677" s="44" t="n"/>
      <c r="M1677" s="45" t="n"/>
      <c r="N1677" s="39" t="n"/>
      <c r="O1677" s="46" t="n"/>
    </row>
    <row r="1678">
      <c r="H1678" s="47">
        <f>IF(AND(E1678&lt;&gt;"",F1678&lt;&gt;""), F1678-E1678, IF(G1678&lt;&gt;"", G1678, 0))</f>
        <v/>
      </c>
      <c r="I1678" s="48">
        <f>H1678*Settings!$B$5</f>
        <v/>
      </c>
      <c r="K1678">
        <f>IF(AND(A1678&lt;&gt;"",C1678&lt;&gt;"",D1678&lt;&gt;"",H1678&gt;0),"✓","⚠ missing")</f>
        <v/>
      </c>
      <c r="L1678" s="44" t="n"/>
      <c r="M1678" s="45" t="n"/>
      <c r="N1678" s="39" t="n"/>
      <c r="O1678" s="46" t="n"/>
    </row>
    <row r="1679">
      <c r="H1679" s="47">
        <f>IF(AND(E1679&lt;&gt;"",F1679&lt;&gt;""), F1679-E1679, IF(G1679&lt;&gt;"", G1679, 0))</f>
        <v/>
      </c>
      <c r="I1679" s="48">
        <f>H1679*Settings!$B$5</f>
        <v/>
      </c>
      <c r="K1679">
        <f>IF(AND(A1679&lt;&gt;"",C1679&lt;&gt;"",D1679&lt;&gt;"",H1679&gt;0),"✓","⚠ missing")</f>
        <v/>
      </c>
      <c r="L1679" s="44" t="n"/>
      <c r="M1679" s="45" t="n"/>
      <c r="N1679" s="39" t="n"/>
      <c r="O1679" s="46" t="n"/>
    </row>
    <row r="1680">
      <c r="H1680" s="47">
        <f>IF(AND(E1680&lt;&gt;"",F1680&lt;&gt;""), F1680-E1680, IF(G1680&lt;&gt;"", G1680, 0))</f>
        <v/>
      </c>
      <c r="I1680" s="48">
        <f>H1680*Settings!$B$5</f>
        <v/>
      </c>
      <c r="K1680">
        <f>IF(AND(A1680&lt;&gt;"",C1680&lt;&gt;"",D1680&lt;&gt;"",H1680&gt;0),"✓","⚠ missing")</f>
        <v/>
      </c>
      <c r="L1680" s="44" t="n"/>
      <c r="M1680" s="45" t="n"/>
      <c r="N1680" s="39" t="n"/>
      <c r="O1680" s="46" t="n"/>
    </row>
    <row r="1681">
      <c r="H1681" s="47">
        <f>IF(AND(E1681&lt;&gt;"",F1681&lt;&gt;""), F1681-E1681, IF(G1681&lt;&gt;"", G1681, 0))</f>
        <v/>
      </c>
      <c r="I1681" s="48">
        <f>H1681*Settings!$B$5</f>
        <v/>
      </c>
      <c r="K1681">
        <f>IF(AND(A1681&lt;&gt;"",C1681&lt;&gt;"",D1681&lt;&gt;"",H1681&gt;0),"✓","⚠ missing")</f>
        <v/>
      </c>
      <c r="L1681" s="44" t="n"/>
      <c r="M1681" s="45" t="n"/>
      <c r="N1681" s="39" t="n"/>
      <c r="O1681" s="46" t="n"/>
    </row>
    <row r="1682">
      <c r="H1682" s="47">
        <f>IF(AND(E1682&lt;&gt;"",F1682&lt;&gt;""), F1682-E1682, IF(G1682&lt;&gt;"", G1682, 0))</f>
        <v/>
      </c>
      <c r="I1682" s="48">
        <f>H1682*Settings!$B$5</f>
        <v/>
      </c>
      <c r="K1682">
        <f>IF(AND(A1682&lt;&gt;"",C1682&lt;&gt;"",D1682&lt;&gt;"",H1682&gt;0),"✓","⚠ missing")</f>
        <v/>
      </c>
      <c r="L1682" s="44" t="n"/>
      <c r="M1682" s="45" t="n"/>
      <c r="N1682" s="39" t="n"/>
      <c r="O1682" s="46" t="n"/>
    </row>
    <row r="1683">
      <c r="H1683" s="47">
        <f>IF(AND(E1683&lt;&gt;"",F1683&lt;&gt;""), F1683-E1683, IF(G1683&lt;&gt;"", G1683, 0))</f>
        <v/>
      </c>
      <c r="I1683" s="48">
        <f>H1683*Settings!$B$5</f>
        <v/>
      </c>
      <c r="K1683">
        <f>IF(AND(A1683&lt;&gt;"",C1683&lt;&gt;"",D1683&lt;&gt;"",H1683&gt;0),"✓","⚠ missing")</f>
        <v/>
      </c>
      <c r="L1683" s="44" t="n"/>
      <c r="M1683" s="45" t="n"/>
      <c r="N1683" s="39" t="n"/>
      <c r="O1683" s="46" t="n"/>
    </row>
    <row r="1684">
      <c r="H1684" s="47">
        <f>IF(AND(E1684&lt;&gt;"",F1684&lt;&gt;""), F1684-E1684, IF(G1684&lt;&gt;"", G1684, 0))</f>
        <v/>
      </c>
      <c r="I1684" s="48">
        <f>H1684*Settings!$B$5</f>
        <v/>
      </c>
      <c r="K1684">
        <f>IF(AND(A1684&lt;&gt;"",C1684&lt;&gt;"",D1684&lt;&gt;"",H1684&gt;0),"✓","⚠ missing")</f>
        <v/>
      </c>
      <c r="L1684" s="44" t="n"/>
      <c r="M1684" s="45" t="n"/>
      <c r="N1684" s="39" t="n"/>
      <c r="O1684" s="46" t="n"/>
    </row>
    <row r="1685">
      <c r="H1685" s="47">
        <f>IF(AND(E1685&lt;&gt;"",F1685&lt;&gt;""), F1685-E1685, IF(G1685&lt;&gt;"", G1685, 0))</f>
        <v/>
      </c>
      <c r="I1685" s="48">
        <f>H1685*Settings!$B$5</f>
        <v/>
      </c>
      <c r="K1685">
        <f>IF(AND(A1685&lt;&gt;"",C1685&lt;&gt;"",D1685&lt;&gt;"",H1685&gt;0),"✓","⚠ missing")</f>
        <v/>
      </c>
      <c r="L1685" s="44" t="n"/>
      <c r="M1685" s="45" t="n"/>
      <c r="N1685" s="39" t="n"/>
      <c r="O1685" s="46" t="n"/>
    </row>
    <row r="1686">
      <c r="H1686" s="47">
        <f>IF(AND(E1686&lt;&gt;"",F1686&lt;&gt;""), F1686-E1686, IF(G1686&lt;&gt;"", G1686, 0))</f>
        <v/>
      </c>
      <c r="I1686" s="48">
        <f>H1686*Settings!$B$5</f>
        <v/>
      </c>
      <c r="K1686">
        <f>IF(AND(A1686&lt;&gt;"",C1686&lt;&gt;"",D1686&lt;&gt;"",H1686&gt;0),"✓","⚠ missing")</f>
        <v/>
      </c>
      <c r="L1686" s="44" t="n"/>
      <c r="M1686" s="45" t="n"/>
      <c r="N1686" s="39" t="n"/>
      <c r="O1686" s="46" t="n"/>
    </row>
    <row r="1687">
      <c r="H1687" s="47">
        <f>IF(AND(E1687&lt;&gt;"",F1687&lt;&gt;""), F1687-E1687, IF(G1687&lt;&gt;"", G1687, 0))</f>
        <v/>
      </c>
      <c r="I1687" s="48">
        <f>H1687*Settings!$B$5</f>
        <v/>
      </c>
      <c r="K1687">
        <f>IF(AND(A1687&lt;&gt;"",C1687&lt;&gt;"",D1687&lt;&gt;"",H1687&gt;0),"✓","⚠ missing")</f>
        <v/>
      </c>
      <c r="L1687" s="44" t="n"/>
      <c r="M1687" s="45" t="n"/>
      <c r="N1687" s="39" t="n"/>
      <c r="O1687" s="46" t="n"/>
    </row>
    <row r="1688">
      <c r="H1688" s="47">
        <f>IF(AND(E1688&lt;&gt;"",F1688&lt;&gt;""), F1688-E1688, IF(G1688&lt;&gt;"", G1688, 0))</f>
        <v/>
      </c>
      <c r="I1688" s="48">
        <f>H1688*Settings!$B$5</f>
        <v/>
      </c>
      <c r="K1688">
        <f>IF(AND(A1688&lt;&gt;"",C1688&lt;&gt;"",D1688&lt;&gt;"",H1688&gt;0),"✓","⚠ missing")</f>
        <v/>
      </c>
      <c r="L1688" s="44" t="n"/>
      <c r="M1688" s="45" t="n"/>
      <c r="N1688" s="39" t="n"/>
      <c r="O1688" s="46" t="n"/>
    </row>
    <row r="1689">
      <c r="H1689" s="47">
        <f>IF(AND(E1689&lt;&gt;"",F1689&lt;&gt;""), F1689-E1689, IF(G1689&lt;&gt;"", G1689, 0))</f>
        <v/>
      </c>
      <c r="I1689" s="48">
        <f>H1689*Settings!$B$5</f>
        <v/>
      </c>
      <c r="K1689">
        <f>IF(AND(A1689&lt;&gt;"",C1689&lt;&gt;"",D1689&lt;&gt;"",H1689&gt;0),"✓","⚠ missing")</f>
        <v/>
      </c>
      <c r="L1689" s="44" t="n"/>
      <c r="M1689" s="45" t="n"/>
      <c r="N1689" s="39" t="n"/>
      <c r="O1689" s="46" t="n"/>
    </row>
    <row r="1690">
      <c r="H1690" s="47">
        <f>IF(AND(E1690&lt;&gt;"",F1690&lt;&gt;""), F1690-E1690, IF(G1690&lt;&gt;"", G1690, 0))</f>
        <v/>
      </c>
      <c r="I1690" s="48">
        <f>H1690*Settings!$B$5</f>
        <v/>
      </c>
      <c r="K1690">
        <f>IF(AND(A1690&lt;&gt;"",C1690&lt;&gt;"",D1690&lt;&gt;"",H1690&gt;0),"✓","⚠ missing")</f>
        <v/>
      </c>
      <c r="L1690" s="44" t="n"/>
      <c r="M1690" s="45" t="n"/>
      <c r="N1690" s="39" t="n"/>
      <c r="O1690" s="46" t="n"/>
    </row>
    <row r="1691">
      <c r="H1691" s="47">
        <f>IF(AND(E1691&lt;&gt;"",F1691&lt;&gt;""), F1691-E1691, IF(G1691&lt;&gt;"", G1691, 0))</f>
        <v/>
      </c>
      <c r="I1691" s="48">
        <f>H1691*Settings!$B$5</f>
        <v/>
      </c>
      <c r="K1691">
        <f>IF(AND(A1691&lt;&gt;"",C1691&lt;&gt;"",D1691&lt;&gt;"",H1691&gt;0),"✓","⚠ missing")</f>
        <v/>
      </c>
      <c r="L1691" s="44" t="n"/>
      <c r="M1691" s="45" t="n"/>
      <c r="N1691" s="39" t="n"/>
      <c r="O1691" s="46" t="n"/>
    </row>
    <row r="1692">
      <c r="H1692" s="47">
        <f>IF(AND(E1692&lt;&gt;"",F1692&lt;&gt;""), F1692-E1692, IF(G1692&lt;&gt;"", G1692, 0))</f>
        <v/>
      </c>
      <c r="I1692" s="48">
        <f>H1692*Settings!$B$5</f>
        <v/>
      </c>
      <c r="K1692">
        <f>IF(AND(A1692&lt;&gt;"",C1692&lt;&gt;"",D1692&lt;&gt;"",H1692&gt;0),"✓","⚠ missing")</f>
        <v/>
      </c>
      <c r="L1692" s="44" t="n"/>
      <c r="M1692" s="45" t="n"/>
      <c r="N1692" s="39" t="n"/>
      <c r="O1692" s="46" t="n"/>
    </row>
    <row r="1693">
      <c r="H1693" s="47">
        <f>IF(AND(E1693&lt;&gt;"",F1693&lt;&gt;""), F1693-E1693, IF(G1693&lt;&gt;"", G1693, 0))</f>
        <v/>
      </c>
      <c r="I1693" s="48">
        <f>H1693*Settings!$B$5</f>
        <v/>
      </c>
      <c r="K1693">
        <f>IF(AND(A1693&lt;&gt;"",C1693&lt;&gt;"",D1693&lt;&gt;"",H1693&gt;0),"✓","⚠ missing")</f>
        <v/>
      </c>
      <c r="L1693" s="44" t="n"/>
      <c r="M1693" s="45" t="n"/>
      <c r="N1693" s="39" t="n"/>
      <c r="O1693" s="46" t="n"/>
    </row>
    <row r="1694">
      <c r="H1694" s="47">
        <f>IF(AND(E1694&lt;&gt;"",F1694&lt;&gt;""), F1694-E1694, IF(G1694&lt;&gt;"", G1694, 0))</f>
        <v/>
      </c>
      <c r="I1694" s="48">
        <f>H1694*Settings!$B$5</f>
        <v/>
      </c>
      <c r="K1694">
        <f>IF(AND(A1694&lt;&gt;"",C1694&lt;&gt;"",D1694&lt;&gt;"",H1694&gt;0),"✓","⚠ missing")</f>
        <v/>
      </c>
      <c r="L1694" s="44" t="n"/>
      <c r="M1694" s="45" t="n"/>
      <c r="N1694" s="39" t="n"/>
      <c r="O1694" s="46" t="n"/>
    </row>
    <row r="1695">
      <c r="H1695" s="47">
        <f>IF(AND(E1695&lt;&gt;"",F1695&lt;&gt;""), F1695-E1695, IF(G1695&lt;&gt;"", G1695, 0))</f>
        <v/>
      </c>
      <c r="I1695" s="48">
        <f>H1695*Settings!$B$5</f>
        <v/>
      </c>
      <c r="K1695">
        <f>IF(AND(A1695&lt;&gt;"",C1695&lt;&gt;"",D1695&lt;&gt;"",H1695&gt;0),"✓","⚠ missing")</f>
        <v/>
      </c>
      <c r="L1695" s="44" t="n"/>
      <c r="M1695" s="45" t="n"/>
      <c r="N1695" s="39" t="n"/>
      <c r="O1695" s="46" t="n"/>
    </row>
    <row r="1696">
      <c r="H1696" s="47">
        <f>IF(AND(E1696&lt;&gt;"",F1696&lt;&gt;""), F1696-E1696, IF(G1696&lt;&gt;"", G1696, 0))</f>
        <v/>
      </c>
      <c r="I1696" s="48">
        <f>H1696*Settings!$B$5</f>
        <v/>
      </c>
      <c r="K1696">
        <f>IF(AND(A1696&lt;&gt;"",C1696&lt;&gt;"",D1696&lt;&gt;"",H1696&gt;0),"✓","⚠ missing")</f>
        <v/>
      </c>
      <c r="L1696" s="44" t="n"/>
      <c r="M1696" s="45" t="n"/>
      <c r="N1696" s="39" t="n"/>
      <c r="O1696" s="46" t="n"/>
    </row>
    <row r="1697">
      <c r="H1697" s="47">
        <f>IF(AND(E1697&lt;&gt;"",F1697&lt;&gt;""), F1697-E1697, IF(G1697&lt;&gt;"", G1697, 0))</f>
        <v/>
      </c>
      <c r="I1697" s="48">
        <f>H1697*Settings!$B$5</f>
        <v/>
      </c>
      <c r="K1697">
        <f>IF(AND(A1697&lt;&gt;"",C1697&lt;&gt;"",D1697&lt;&gt;"",H1697&gt;0),"✓","⚠ missing")</f>
        <v/>
      </c>
      <c r="L1697" s="44" t="n"/>
      <c r="M1697" s="45" t="n"/>
      <c r="N1697" s="39" t="n"/>
      <c r="O1697" s="46" t="n"/>
    </row>
    <row r="1698">
      <c r="H1698" s="47">
        <f>IF(AND(E1698&lt;&gt;"",F1698&lt;&gt;""), F1698-E1698, IF(G1698&lt;&gt;"", G1698, 0))</f>
        <v/>
      </c>
      <c r="I1698" s="48">
        <f>H1698*Settings!$B$5</f>
        <v/>
      </c>
      <c r="K1698">
        <f>IF(AND(A1698&lt;&gt;"",C1698&lt;&gt;"",D1698&lt;&gt;"",H1698&gt;0),"✓","⚠ missing")</f>
        <v/>
      </c>
      <c r="L1698" s="44" t="n"/>
      <c r="M1698" s="45" t="n"/>
      <c r="N1698" s="39" t="n"/>
      <c r="O1698" s="46" t="n"/>
    </row>
    <row r="1699">
      <c r="H1699" s="47">
        <f>IF(AND(E1699&lt;&gt;"",F1699&lt;&gt;""), F1699-E1699, IF(G1699&lt;&gt;"", G1699, 0))</f>
        <v/>
      </c>
      <c r="I1699" s="48">
        <f>H1699*Settings!$B$5</f>
        <v/>
      </c>
      <c r="K1699">
        <f>IF(AND(A1699&lt;&gt;"",C1699&lt;&gt;"",D1699&lt;&gt;"",H1699&gt;0),"✓","⚠ missing")</f>
        <v/>
      </c>
      <c r="L1699" s="44" t="n"/>
      <c r="M1699" s="45" t="n"/>
      <c r="N1699" s="39" t="n"/>
      <c r="O1699" s="46" t="n"/>
    </row>
    <row r="1700">
      <c r="H1700" s="47">
        <f>IF(AND(E1700&lt;&gt;"",F1700&lt;&gt;""), F1700-E1700, IF(G1700&lt;&gt;"", G1700, 0))</f>
        <v/>
      </c>
      <c r="I1700" s="48">
        <f>H1700*Settings!$B$5</f>
        <v/>
      </c>
      <c r="K1700">
        <f>IF(AND(A1700&lt;&gt;"",C1700&lt;&gt;"",D1700&lt;&gt;"",H1700&gt;0),"✓","⚠ missing")</f>
        <v/>
      </c>
      <c r="L1700" s="44" t="n"/>
      <c r="M1700" s="45" t="n"/>
      <c r="N1700" s="39" t="n"/>
      <c r="O1700" s="46" t="n"/>
    </row>
    <row r="1701">
      <c r="H1701" s="47">
        <f>IF(AND(E1701&lt;&gt;"",F1701&lt;&gt;""), F1701-E1701, IF(G1701&lt;&gt;"", G1701, 0))</f>
        <v/>
      </c>
      <c r="I1701" s="48">
        <f>H1701*Settings!$B$5</f>
        <v/>
      </c>
      <c r="K1701">
        <f>IF(AND(A1701&lt;&gt;"",C1701&lt;&gt;"",D1701&lt;&gt;"",H1701&gt;0),"✓","⚠ missing")</f>
        <v/>
      </c>
      <c r="L1701" s="44" t="n"/>
      <c r="M1701" s="45" t="n"/>
      <c r="N1701" s="39" t="n"/>
      <c r="O1701" s="46" t="n"/>
    </row>
    <row r="1702">
      <c r="H1702" s="47">
        <f>IF(AND(E1702&lt;&gt;"",F1702&lt;&gt;""), F1702-E1702, IF(G1702&lt;&gt;"", G1702, 0))</f>
        <v/>
      </c>
      <c r="I1702" s="48">
        <f>H1702*Settings!$B$5</f>
        <v/>
      </c>
      <c r="K1702">
        <f>IF(AND(A1702&lt;&gt;"",C1702&lt;&gt;"",D1702&lt;&gt;"",H1702&gt;0),"✓","⚠ missing")</f>
        <v/>
      </c>
      <c r="L1702" s="44" t="n"/>
      <c r="M1702" s="45" t="n"/>
      <c r="N1702" s="39" t="n"/>
      <c r="O1702" s="46" t="n"/>
    </row>
    <row r="1703">
      <c r="H1703" s="47">
        <f>IF(AND(E1703&lt;&gt;"",F1703&lt;&gt;""), F1703-E1703, IF(G1703&lt;&gt;"", G1703, 0))</f>
        <v/>
      </c>
      <c r="I1703" s="48">
        <f>H1703*Settings!$B$5</f>
        <v/>
      </c>
      <c r="K1703">
        <f>IF(AND(A1703&lt;&gt;"",C1703&lt;&gt;"",D1703&lt;&gt;"",H1703&gt;0),"✓","⚠ missing")</f>
        <v/>
      </c>
      <c r="L1703" s="44" t="n"/>
      <c r="M1703" s="45" t="n"/>
      <c r="N1703" s="39" t="n"/>
      <c r="O1703" s="46" t="n"/>
    </row>
    <row r="1704">
      <c r="H1704" s="47">
        <f>IF(AND(E1704&lt;&gt;"",F1704&lt;&gt;""), F1704-E1704, IF(G1704&lt;&gt;"", G1704, 0))</f>
        <v/>
      </c>
      <c r="I1704" s="48">
        <f>H1704*Settings!$B$5</f>
        <v/>
      </c>
      <c r="K1704">
        <f>IF(AND(A1704&lt;&gt;"",C1704&lt;&gt;"",D1704&lt;&gt;"",H1704&gt;0),"✓","⚠ missing")</f>
        <v/>
      </c>
      <c r="L1704" s="44" t="n"/>
      <c r="M1704" s="45" t="n"/>
      <c r="N1704" s="39" t="n"/>
      <c r="O1704" s="46" t="n"/>
    </row>
    <row r="1705">
      <c r="H1705" s="47">
        <f>IF(AND(E1705&lt;&gt;"",F1705&lt;&gt;""), F1705-E1705, IF(G1705&lt;&gt;"", G1705, 0))</f>
        <v/>
      </c>
      <c r="I1705" s="48">
        <f>H1705*Settings!$B$5</f>
        <v/>
      </c>
      <c r="K1705">
        <f>IF(AND(A1705&lt;&gt;"",C1705&lt;&gt;"",D1705&lt;&gt;"",H1705&gt;0),"✓","⚠ missing")</f>
        <v/>
      </c>
      <c r="L1705" s="44" t="n"/>
      <c r="M1705" s="45" t="n"/>
      <c r="N1705" s="39" t="n"/>
      <c r="O1705" s="46" t="n"/>
    </row>
    <row r="1706">
      <c r="H1706" s="47">
        <f>IF(AND(E1706&lt;&gt;"",F1706&lt;&gt;""), F1706-E1706, IF(G1706&lt;&gt;"", G1706, 0))</f>
        <v/>
      </c>
      <c r="I1706" s="48">
        <f>H1706*Settings!$B$5</f>
        <v/>
      </c>
      <c r="K1706">
        <f>IF(AND(A1706&lt;&gt;"",C1706&lt;&gt;"",D1706&lt;&gt;"",H1706&gt;0),"✓","⚠ missing")</f>
        <v/>
      </c>
      <c r="L1706" s="44" t="n"/>
      <c r="M1706" s="45" t="n"/>
      <c r="N1706" s="39" t="n"/>
      <c r="O1706" s="46" t="n"/>
    </row>
    <row r="1707">
      <c r="H1707" s="47">
        <f>IF(AND(E1707&lt;&gt;"",F1707&lt;&gt;""), F1707-E1707, IF(G1707&lt;&gt;"", G1707, 0))</f>
        <v/>
      </c>
      <c r="I1707" s="48">
        <f>H1707*Settings!$B$5</f>
        <v/>
      </c>
      <c r="K1707">
        <f>IF(AND(A1707&lt;&gt;"",C1707&lt;&gt;"",D1707&lt;&gt;"",H1707&gt;0),"✓","⚠ missing")</f>
        <v/>
      </c>
      <c r="L1707" s="44" t="n"/>
      <c r="M1707" s="45" t="n"/>
      <c r="N1707" s="39" t="n"/>
      <c r="O1707" s="46" t="n"/>
    </row>
    <row r="1708">
      <c r="H1708" s="47">
        <f>IF(AND(E1708&lt;&gt;"",F1708&lt;&gt;""), F1708-E1708, IF(G1708&lt;&gt;"", G1708, 0))</f>
        <v/>
      </c>
      <c r="I1708" s="48">
        <f>H1708*Settings!$B$5</f>
        <v/>
      </c>
      <c r="K1708">
        <f>IF(AND(A1708&lt;&gt;"",C1708&lt;&gt;"",D1708&lt;&gt;"",H1708&gt;0),"✓","⚠ missing")</f>
        <v/>
      </c>
      <c r="L1708" s="44" t="n"/>
      <c r="M1708" s="45" t="n"/>
      <c r="N1708" s="39" t="n"/>
      <c r="O1708" s="46" t="n"/>
    </row>
    <row r="1709">
      <c r="H1709" s="47">
        <f>IF(AND(E1709&lt;&gt;"",F1709&lt;&gt;""), F1709-E1709, IF(G1709&lt;&gt;"", G1709, 0))</f>
        <v/>
      </c>
      <c r="I1709" s="48">
        <f>H1709*Settings!$B$5</f>
        <v/>
      </c>
      <c r="K1709">
        <f>IF(AND(A1709&lt;&gt;"",C1709&lt;&gt;"",D1709&lt;&gt;"",H1709&gt;0),"✓","⚠ missing")</f>
        <v/>
      </c>
      <c r="L1709" s="44" t="n"/>
      <c r="M1709" s="45" t="n"/>
      <c r="N1709" s="39" t="n"/>
      <c r="O1709" s="46" t="n"/>
    </row>
    <row r="1710">
      <c r="H1710" s="47">
        <f>IF(AND(E1710&lt;&gt;"",F1710&lt;&gt;""), F1710-E1710, IF(G1710&lt;&gt;"", G1710, 0))</f>
        <v/>
      </c>
      <c r="I1710" s="48">
        <f>H1710*Settings!$B$5</f>
        <v/>
      </c>
      <c r="K1710">
        <f>IF(AND(A1710&lt;&gt;"",C1710&lt;&gt;"",D1710&lt;&gt;"",H1710&gt;0),"✓","⚠ missing")</f>
        <v/>
      </c>
      <c r="L1710" s="44" t="n"/>
      <c r="M1710" s="45" t="n"/>
      <c r="N1710" s="39" t="n"/>
      <c r="O1710" s="46" t="n"/>
    </row>
    <row r="1711">
      <c r="H1711" s="47">
        <f>IF(AND(E1711&lt;&gt;"",F1711&lt;&gt;""), F1711-E1711, IF(G1711&lt;&gt;"", G1711, 0))</f>
        <v/>
      </c>
      <c r="I1711" s="48">
        <f>H1711*Settings!$B$5</f>
        <v/>
      </c>
      <c r="K1711">
        <f>IF(AND(A1711&lt;&gt;"",C1711&lt;&gt;"",D1711&lt;&gt;"",H1711&gt;0),"✓","⚠ missing")</f>
        <v/>
      </c>
      <c r="L1711" s="44" t="n"/>
      <c r="M1711" s="45" t="n"/>
      <c r="N1711" s="39" t="n"/>
      <c r="O1711" s="46" t="n"/>
    </row>
    <row r="1712">
      <c r="H1712" s="47">
        <f>IF(AND(E1712&lt;&gt;"",F1712&lt;&gt;""), F1712-E1712, IF(G1712&lt;&gt;"", G1712, 0))</f>
        <v/>
      </c>
      <c r="I1712" s="48">
        <f>H1712*Settings!$B$5</f>
        <v/>
      </c>
      <c r="K1712">
        <f>IF(AND(A1712&lt;&gt;"",C1712&lt;&gt;"",D1712&lt;&gt;"",H1712&gt;0),"✓","⚠ missing")</f>
        <v/>
      </c>
      <c r="L1712" s="44" t="n"/>
      <c r="M1712" s="45" t="n"/>
      <c r="N1712" s="39" t="n"/>
      <c r="O1712" s="46" t="n"/>
    </row>
    <row r="1713">
      <c r="H1713" s="47">
        <f>IF(AND(E1713&lt;&gt;"",F1713&lt;&gt;""), F1713-E1713, IF(G1713&lt;&gt;"", G1713, 0))</f>
        <v/>
      </c>
      <c r="I1713" s="48">
        <f>H1713*Settings!$B$5</f>
        <v/>
      </c>
      <c r="K1713">
        <f>IF(AND(A1713&lt;&gt;"",C1713&lt;&gt;"",D1713&lt;&gt;"",H1713&gt;0),"✓","⚠ missing")</f>
        <v/>
      </c>
      <c r="L1713" s="44" t="n"/>
      <c r="M1713" s="45" t="n"/>
      <c r="N1713" s="39" t="n"/>
      <c r="O1713" s="46" t="n"/>
    </row>
    <row r="1714">
      <c r="H1714" s="47">
        <f>IF(AND(E1714&lt;&gt;"",F1714&lt;&gt;""), F1714-E1714, IF(G1714&lt;&gt;"", G1714, 0))</f>
        <v/>
      </c>
      <c r="I1714" s="48">
        <f>H1714*Settings!$B$5</f>
        <v/>
      </c>
      <c r="K1714">
        <f>IF(AND(A1714&lt;&gt;"",C1714&lt;&gt;"",D1714&lt;&gt;"",H1714&gt;0),"✓","⚠ missing")</f>
        <v/>
      </c>
      <c r="L1714" s="44" t="n"/>
      <c r="M1714" s="45" t="n"/>
      <c r="N1714" s="39" t="n"/>
      <c r="O1714" s="46" t="n"/>
    </row>
    <row r="1715">
      <c r="H1715" s="47">
        <f>IF(AND(E1715&lt;&gt;"",F1715&lt;&gt;""), F1715-E1715, IF(G1715&lt;&gt;"", G1715, 0))</f>
        <v/>
      </c>
      <c r="I1715" s="48">
        <f>H1715*Settings!$B$5</f>
        <v/>
      </c>
      <c r="K1715">
        <f>IF(AND(A1715&lt;&gt;"",C1715&lt;&gt;"",D1715&lt;&gt;"",H1715&gt;0),"✓","⚠ missing")</f>
        <v/>
      </c>
      <c r="L1715" s="44" t="n"/>
      <c r="M1715" s="45" t="n"/>
      <c r="N1715" s="39" t="n"/>
      <c r="O1715" s="46" t="n"/>
    </row>
    <row r="1716">
      <c r="H1716" s="47">
        <f>IF(AND(E1716&lt;&gt;"",F1716&lt;&gt;""), F1716-E1716, IF(G1716&lt;&gt;"", G1716, 0))</f>
        <v/>
      </c>
      <c r="I1716" s="48">
        <f>H1716*Settings!$B$5</f>
        <v/>
      </c>
      <c r="K1716">
        <f>IF(AND(A1716&lt;&gt;"",C1716&lt;&gt;"",D1716&lt;&gt;"",H1716&gt;0),"✓","⚠ missing")</f>
        <v/>
      </c>
      <c r="L1716" s="44" t="n"/>
      <c r="M1716" s="45" t="n"/>
      <c r="N1716" s="39" t="n"/>
      <c r="O1716" s="46" t="n"/>
    </row>
    <row r="1717">
      <c r="H1717" s="47">
        <f>IF(AND(E1717&lt;&gt;"",F1717&lt;&gt;""), F1717-E1717, IF(G1717&lt;&gt;"", G1717, 0))</f>
        <v/>
      </c>
      <c r="I1717" s="48">
        <f>H1717*Settings!$B$5</f>
        <v/>
      </c>
      <c r="K1717">
        <f>IF(AND(A1717&lt;&gt;"",C1717&lt;&gt;"",D1717&lt;&gt;"",H1717&gt;0),"✓","⚠ missing")</f>
        <v/>
      </c>
      <c r="L1717" s="44" t="n"/>
      <c r="M1717" s="45" t="n"/>
      <c r="N1717" s="39" t="n"/>
      <c r="O1717" s="46" t="n"/>
    </row>
    <row r="1718">
      <c r="H1718" s="47">
        <f>IF(AND(E1718&lt;&gt;"",F1718&lt;&gt;""), F1718-E1718, IF(G1718&lt;&gt;"", G1718, 0))</f>
        <v/>
      </c>
      <c r="I1718" s="48">
        <f>H1718*Settings!$B$5</f>
        <v/>
      </c>
      <c r="K1718">
        <f>IF(AND(A1718&lt;&gt;"",C1718&lt;&gt;"",D1718&lt;&gt;"",H1718&gt;0),"✓","⚠ missing")</f>
        <v/>
      </c>
      <c r="L1718" s="44" t="n"/>
      <c r="M1718" s="45" t="n"/>
      <c r="N1718" s="39" t="n"/>
      <c r="O1718" s="46" t="n"/>
    </row>
    <row r="1719">
      <c r="H1719" s="47">
        <f>IF(AND(E1719&lt;&gt;"",F1719&lt;&gt;""), F1719-E1719, IF(G1719&lt;&gt;"", G1719, 0))</f>
        <v/>
      </c>
      <c r="I1719" s="48">
        <f>H1719*Settings!$B$5</f>
        <v/>
      </c>
      <c r="K1719">
        <f>IF(AND(A1719&lt;&gt;"",C1719&lt;&gt;"",D1719&lt;&gt;"",H1719&gt;0),"✓","⚠ missing")</f>
        <v/>
      </c>
      <c r="L1719" s="44" t="n"/>
      <c r="M1719" s="45" t="n"/>
      <c r="N1719" s="39" t="n"/>
      <c r="O1719" s="46" t="n"/>
    </row>
    <row r="1720">
      <c r="H1720" s="47">
        <f>IF(AND(E1720&lt;&gt;"",F1720&lt;&gt;""), F1720-E1720, IF(G1720&lt;&gt;"", G1720, 0))</f>
        <v/>
      </c>
      <c r="I1720" s="48">
        <f>H1720*Settings!$B$5</f>
        <v/>
      </c>
      <c r="K1720">
        <f>IF(AND(A1720&lt;&gt;"",C1720&lt;&gt;"",D1720&lt;&gt;"",H1720&gt;0),"✓","⚠ missing")</f>
        <v/>
      </c>
      <c r="L1720" s="44" t="n"/>
      <c r="M1720" s="45" t="n"/>
      <c r="N1720" s="39" t="n"/>
      <c r="O1720" s="46" t="n"/>
    </row>
    <row r="1721">
      <c r="H1721" s="47">
        <f>IF(AND(E1721&lt;&gt;"",F1721&lt;&gt;""), F1721-E1721, IF(G1721&lt;&gt;"", G1721, 0))</f>
        <v/>
      </c>
      <c r="I1721" s="48">
        <f>H1721*Settings!$B$5</f>
        <v/>
      </c>
      <c r="K1721">
        <f>IF(AND(A1721&lt;&gt;"",C1721&lt;&gt;"",D1721&lt;&gt;"",H1721&gt;0),"✓","⚠ missing")</f>
        <v/>
      </c>
      <c r="L1721" s="44" t="n"/>
      <c r="M1721" s="45" t="n"/>
      <c r="N1721" s="39" t="n"/>
      <c r="O1721" s="46" t="n"/>
    </row>
    <row r="1722">
      <c r="H1722" s="47">
        <f>IF(AND(E1722&lt;&gt;"",F1722&lt;&gt;""), F1722-E1722, IF(G1722&lt;&gt;"", G1722, 0))</f>
        <v/>
      </c>
      <c r="I1722" s="48">
        <f>H1722*Settings!$B$5</f>
        <v/>
      </c>
      <c r="K1722">
        <f>IF(AND(A1722&lt;&gt;"",C1722&lt;&gt;"",D1722&lt;&gt;"",H1722&gt;0),"✓","⚠ missing")</f>
        <v/>
      </c>
      <c r="L1722" s="44" t="n"/>
      <c r="M1722" s="45" t="n"/>
      <c r="N1722" s="39" t="n"/>
      <c r="O1722" s="46" t="n"/>
    </row>
    <row r="1723">
      <c r="H1723" s="47">
        <f>IF(AND(E1723&lt;&gt;"",F1723&lt;&gt;""), F1723-E1723, IF(G1723&lt;&gt;"", G1723, 0))</f>
        <v/>
      </c>
      <c r="I1723" s="48">
        <f>H1723*Settings!$B$5</f>
        <v/>
      </c>
      <c r="K1723">
        <f>IF(AND(A1723&lt;&gt;"",C1723&lt;&gt;"",D1723&lt;&gt;"",H1723&gt;0),"✓","⚠ missing")</f>
        <v/>
      </c>
      <c r="L1723" s="44" t="n"/>
      <c r="M1723" s="45" t="n"/>
      <c r="N1723" s="39" t="n"/>
      <c r="O1723" s="46" t="n"/>
    </row>
    <row r="1724">
      <c r="H1724" s="47">
        <f>IF(AND(E1724&lt;&gt;"",F1724&lt;&gt;""), F1724-E1724, IF(G1724&lt;&gt;"", G1724, 0))</f>
        <v/>
      </c>
      <c r="I1724" s="48">
        <f>H1724*Settings!$B$5</f>
        <v/>
      </c>
      <c r="K1724">
        <f>IF(AND(A1724&lt;&gt;"",C1724&lt;&gt;"",D1724&lt;&gt;"",H1724&gt;0),"✓","⚠ missing")</f>
        <v/>
      </c>
      <c r="L1724" s="44" t="n"/>
      <c r="M1724" s="45" t="n"/>
      <c r="N1724" s="39" t="n"/>
      <c r="O1724" s="46" t="n"/>
    </row>
    <row r="1725">
      <c r="H1725" s="47">
        <f>IF(AND(E1725&lt;&gt;"",F1725&lt;&gt;""), F1725-E1725, IF(G1725&lt;&gt;"", G1725, 0))</f>
        <v/>
      </c>
      <c r="I1725" s="48">
        <f>H1725*Settings!$B$5</f>
        <v/>
      </c>
      <c r="K1725">
        <f>IF(AND(A1725&lt;&gt;"",C1725&lt;&gt;"",D1725&lt;&gt;"",H1725&gt;0),"✓","⚠ missing")</f>
        <v/>
      </c>
      <c r="L1725" s="44" t="n"/>
      <c r="M1725" s="45" t="n"/>
      <c r="N1725" s="39" t="n"/>
      <c r="O1725" s="46" t="n"/>
    </row>
    <row r="1726">
      <c r="H1726" s="47">
        <f>IF(AND(E1726&lt;&gt;"",F1726&lt;&gt;""), F1726-E1726, IF(G1726&lt;&gt;"", G1726, 0))</f>
        <v/>
      </c>
      <c r="I1726" s="48">
        <f>H1726*Settings!$B$5</f>
        <v/>
      </c>
      <c r="K1726">
        <f>IF(AND(A1726&lt;&gt;"",C1726&lt;&gt;"",D1726&lt;&gt;"",H1726&gt;0),"✓","⚠ missing")</f>
        <v/>
      </c>
      <c r="L1726" s="44" t="n"/>
      <c r="M1726" s="45" t="n"/>
      <c r="N1726" s="39" t="n"/>
      <c r="O1726" s="46" t="n"/>
    </row>
    <row r="1727">
      <c r="H1727" s="47">
        <f>IF(AND(E1727&lt;&gt;"",F1727&lt;&gt;""), F1727-E1727, IF(G1727&lt;&gt;"", G1727, 0))</f>
        <v/>
      </c>
      <c r="I1727" s="48">
        <f>H1727*Settings!$B$5</f>
        <v/>
      </c>
      <c r="K1727">
        <f>IF(AND(A1727&lt;&gt;"",C1727&lt;&gt;"",D1727&lt;&gt;"",H1727&gt;0),"✓","⚠ missing")</f>
        <v/>
      </c>
      <c r="L1727" s="44" t="n"/>
      <c r="M1727" s="45" t="n"/>
      <c r="N1727" s="39" t="n"/>
      <c r="O1727" s="46" t="n"/>
    </row>
    <row r="1728">
      <c r="H1728" s="47">
        <f>IF(AND(E1728&lt;&gt;"",F1728&lt;&gt;""), F1728-E1728, IF(G1728&lt;&gt;"", G1728, 0))</f>
        <v/>
      </c>
      <c r="I1728" s="48">
        <f>H1728*Settings!$B$5</f>
        <v/>
      </c>
      <c r="K1728">
        <f>IF(AND(A1728&lt;&gt;"",C1728&lt;&gt;"",D1728&lt;&gt;"",H1728&gt;0),"✓","⚠ missing")</f>
        <v/>
      </c>
      <c r="L1728" s="44" t="n"/>
      <c r="M1728" s="45" t="n"/>
      <c r="N1728" s="39" t="n"/>
      <c r="O1728" s="46" t="n"/>
    </row>
    <row r="1729">
      <c r="H1729" s="47">
        <f>IF(AND(E1729&lt;&gt;"",F1729&lt;&gt;""), F1729-E1729, IF(G1729&lt;&gt;"", G1729, 0))</f>
        <v/>
      </c>
      <c r="I1729" s="48">
        <f>H1729*Settings!$B$5</f>
        <v/>
      </c>
      <c r="K1729">
        <f>IF(AND(A1729&lt;&gt;"",C1729&lt;&gt;"",D1729&lt;&gt;"",H1729&gt;0),"✓","⚠ missing")</f>
        <v/>
      </c>
      <c r="L1729" s="44" t="n"/>
      <c r="M1729" s="45" t="n"/>
      <c r="N1729" s="39" t="n"/>
      <c r="O1729" s="46" t="n"/>
    </row>
    <row r="1730">
      <c r="H1730" s="47">
        <f>IF(AND(E1730&lt;&gt;"",F1730&lt;&gt;""), F1730-E1730, IF(G1730&lt;&gt;"", G1730, 0))</f>
        <v/>
      </c>
      <c r="I1730" s="48">
        <f>H1730*Settings!$B$5</f>
        <v/>
      </c>
      <c r="K1730">
        <f>IF(AND(A1730&lt;&gt;"",C1730&lt;&gt;"",D1730&lt;&gt;"",H1730&gt;0),"✓","⚠ missing")</f>
        <v/>
      </c>
      <c r="L1730" s="44" t="n"/>
      <c r="M1730" s="45" t="n"/>
      <c r="N1730" s="39" t="n"/>
      <c r="O1730" s="46" t="n"/>
    </row>
    <row r="1731">
      <c r="H1731" s="47">
        <f>IF(AND(E1731&lt;&gt;"",F1731&lt;&gt;""), F1731-E1731, IF(G1731&lt;&gt;"", G1731, 0))</f>
        <v/>
      </c>
      <c r="I1731" s="48">
        <f>H1731*Settings!$B$5</f>
        <v/>
      </c>
      <c r="K1731">
        <f>IF(AND(A1731&lt;&gt;"",C1731&lt;&gt;"",D1731&lt;&gt;"",H1731&gt;0),"✓","⚠ missing")</f>
        <v/>
      </c>
      <c r="L1731" s="44" t="n"/>
      <c r="M1731" s="45" t="n"/>
      <c r="N1731" s="39" t="n"/>
      <c r="O1731" s="46" t="n"/>
    </row>
    <row r="1732">
      <c r="H1732" s="47">
        <f>IF(AND(E1732&lt;&gt;"",F1732&lt;&gt;""), F1732-E1732, IF(G1732&lt;&gt;"", G1732, 0))</f>
        <v/>
      </c>
      <c r="I1732" s="48">
        <f>H1732*Settings!$B$5</f>
        <v/>
      </c>
      <c r="K1732">
        <f>IF(AND(A1732&lt;&gt;"",C1732&lt;&gt;"",D1732&lt;&gt;"",H1732&gt;0),"✓","⚠ missing")</f>
        <v/>
      </c>
      <c r="L1732" s="44" t="n"/>
      <c r="M1732" s="45" t="n"/>
      <c r="N1732" s="39" t="n"/>
      <c r="O1732" s="46" t="n"/>
    </row>
    <row r="1733">
      <c r="H1733" s="47">
        <f>IF(AND(E1733&lt;&gt;"",F1733&lt;&gt;""), F1733-E1733, IF(G1733&lt;&gt;"", G1733, 0))</f>
        <v/>
      </c>
      <c r="I1733" s="48">
        <f>H1733*Settings!$B$5</f>
        <v/>
      </c>
      <c r="K1733">
        <f>IF(AND(A1733&lt;&gt;"",C1733&lt;&gt;"",D1733&lt;&gt;"",H1733&gt;0),"✓","⚠ missing")</f>
        <v/>
      </c>
      <c r="L1733" s="44" t="n"/>
      <c r="M1733" s="45" t="n"/>
      <c r="N1733" s="39" t="n"/>
      <c r="O1733" s="46" t="n"/>
    </row>
    <row r="1734">
      <c r="H1734" s="47">
        <f>IF(AND(E1734&lt;&gt;"",F1734&lt;&gt;""), F1734-E1734, IF(G1734&lt;&gt;"", G1734, 0))</f>
        <v/>
      </c>
      <c r="I1734" s="48">
        <f>H1734*Settings!$B$5</f>
        <v/>
      </c>
      <c r="K1734">
        <f>IF(AND(A1734&lt;&gt;"",C1734&lt;&gt;"",D1734&lt;&gt;"",H1734&gt;0),"✓","⚠ missing")</f>
        <v/>
      </c>
      <c r="L1734" s="44" t="n"/>
      <c r="M1734" s="45" t="n"/>
      <c r="N1734" s="39" t="n"/>
      <c r="O1734" s="46" t="n"/>
    </row>
    <row r="1735">
      <c r="H1735" s="47">
        <f>IF(AND(E1735&lt;&gt;"",F1735&lt;&gt;""), F1735-E1735, IF(G1735&lt;&gt;"", G1735, 0))</f>
        <v/>
      </c>
      <c r="I1735" s="48">
        <f>H1735*Settings!$B$5</f>
        <v/>
      </c>
      <c r="K1735">
        <f>IF(AND(A1735&lt;&gt;"",C1735&lt;&gt;"",D1735&lt;&gt;"",H1735&gt;0),"✓","⚠ missing")</f>
        <v/>
      </c>
      <c r="L1735" s="44" t="n"/>
      <c r="M1735" s="45" t="n"/>
      <c r="N1735" s="39" t="n"/>
      <c r="O1735" s="46" t="n"/>
    </row>
    <row r="1736">
      <c r="H1736" s="47">
        <f>IF(AND(E1736&lt;&gt;"",F1736&lt;&gt;""), F1736-E1736, IF(G1736&lt;&gt;"", G1736, 0))</f>
        <v/>
      </c>
      <c r="I1736" s="48">
        <f>H1736*Settings!$B$5</f>
        <v/>
      </c>
      <c r="K1736">
        <f>IF(AND(A1736&lt;&gt;"",C1736&lt;&gt;"",D1736&lt;&gt;"",H1736&gt;0),"✓","⚠ missing")</f>
        <v/>
      </c>
      <c r="L1736" s="44" t="n"/>
      <c r="M1736" s="45" t="n"/>
      <c r="N1736" s="39" t="n"/>
      <c r="O1736" s="46" t="n"/>
    </row>
    <row r="1737">
      <c r="H1737" s="47">
        <f>IF(AND(E1737&lt;&gt;"",F1737&lt;&gt;""), F1737-E1737, IF(G1737&lt;&gt;"", G1737, 0))</f>
        <v/>
      </c>
      <c r="I1737" s="48">
        <f>H1737*Settings!$B$5</f>
        <v/>
      </c>
      <c r="K1737">
        <f>IF(AND(A1737&lt;&gt;"",C1737&lt;&gt;"",D1737&lt;&gt;"",H1737&gt;0),"✓","⚠ missing")</f>
        <v/>
      </c>
      <c r="L1737" s="44" t="n"/>
      <c r="M1737" s="45" t="n"/>
      <c r="N1737" s="39" t="n"/>
      <c r="O1737" s="46" t="n"/>
    </row>
    <row r="1738">
      <c r="H1738" s="47">
        <f>IF(AND(E1738&lt;&gt;"",F1738&lt;&gt;""), F1738-E1738, IF(G1738&lt;&gt;"", G1738, 0))</f>
        <v/>
      </c>
      <c r="I1738" s="48">
        <f>H1738*Settings!$B$5</f>
        <v/>
      </c>
      <c r="K1738">
        <f>IF(AND(A1738&lt;&gt;"",C1738&lt;&gt;"",D1738&lt;&gt;"",H1738&gt;0),"✓","⚠ missing")</f>
        <v/>
      </c>
      <c r="L1738" s="44" t="n"/>
      <c r="M1738" s="45" t="n"/>
      <c r="N1738" s="39" t="n"/>
      <c r="O1738" s="46" t="n"/>
    </row>
    <row r="1739">
      <c r="H1739" s="47">
        <f>IF(AND(E1739&lt;&gt;"",F1739&lt;&gt;""), F1739-E1739, IF(G1739&lt;&gt;"", G1739, 0))</f>
        <v/>
      </c>
      <c r="I1739" s="48">
        <f>H1739*Settings!$B$5</f>
        <v/>
      </c>
      <c r="K1739">
        <f>IF(AND(A1739&lt;&gt;"",C1739&lt;&gt;"",D1739&lt;&gt;"",H1739&gt;0),"✓","⚠ missing")</f>
        <v/>
      </c>
      <c r="L1739" s="44" t="n"/>
      <c r="M1739" s="45" t="n"/>
      <c r="N1739" s="39" t="n"/>
      <c r="O1739" s="46" t="n"/>
    </row>
    <row r="1740">
      <c r="H1740" s="47">
        <f>IF(AND(E1740&lt;&gt;"",F1740&lt;&gt;""), F1740-E1740, IF(G1740&lt;&gt;"", G1740, 0))</f>
        <v/>
      </c>
      <c r="I1740" s="48">
        <f>H1740*Settings!$B$5</f>
        <v/>
      </c>
      <c r="K1740">
        <f>IF(AND(A1740&lt;&gt;"",C1740&lt;&gt;"",D1740&lt;&gt;"",H1740&gt;0),"✓","⚠ missing")</f>
        <v/>
      </c>
      <c r="L1740" s="44" t="n"/>
      <c r="M1740" s="45" t="n"/>
      <c r="N1740" s="39" t="n"/>
      <c r="O1740" s="46" t="n"/>
    </row>
    <row r="1741">
      <c r="H1741" s="47">
        <f>IF(AND(E1741&lt;&gt;"",F1741&lt;&gt;""), F1741-E1741, IF(G1741&lt;&gt;"", G1741, 0))</f>
        <v/>
      </c>
      <c r="I1741" s="48">
        <f>H1741*Settings!$B$5</f>
        <v/>
      </c>
      <c r="K1741">
        <f>IF(AND(A1741&lt;&gt;"",C1741&lt;&gt;"",D1741&lt;&gt;"",H1741&gt;0),"✓","⚠ missing")</f>
        <v/>
      </c>
      <c r="L1741" s="44" t="n"/>
      <c r="M1741" s="45" t="n"/>
      <c r="N1741" s="39" t="n"/>
      <c r="O1741" s="46" t="n"/>
    </row>
    <row r="1742">
      <c r="H1742" s="47">
        <f>IF(AND(E1742&lt;&gt;"",F1742&lt;&gt;""), F1742-E1742, IF(G1742&lt;&gt;"", G1742, 0))</f>
        <v/>
      </c>
      <c r="I1742" s="48">
        <f>H1742*Settings!$B$5</f>
        <v/>
      </c>
      <c r="K1742">
        <f>IF(AND(A1742&lt;&gt;"",C1742&lt;&gt;"",D1742&lt;&gt;"",H1742&gt;0),"✓","⚠ missing")</f>
        <v/>
      </c>
      <c r="L1742" s="44" t="n"/>
      <c r="M1742" s="45" t="n"/>
      <c r="N1742" s="39" t="n"/>
      <c r="O1742" s="46" t="n"/>
    </row>
    <row r="1743">
      <c r="H1743" s="47">
        <f>IF(AND(E1743&lt;&gt;"",F1743&lt;&gt;""), F1743-E1743, IF(G1743&lt;&gt;"", G1743, 0))</f>
        <v/>
      </c>
      <c r="I1743" s="48">
        <f>H1743*Settings!$B$5</f>
        <v/>
      </c>
      <c r="K1743">
        <f>IF(AND(A1743&lt;&gt;"",C1743&lt;&gt;"",D1743&lt;&gt;"",H1743&gt;0),"✓","⚠ missing")</f>
        <v/>
      </c>
      <c r="L1743" s="44" t="n"/>
      <c r="M1743" s="45" t="n"/>
      <c r="N1743" s="39" t="n"/>
      <c r="O1743" s="46" t="n"/>
    </row>
    <row r="1744">
      <c r="H1744" s="47">
        <f>IF(AND(E1744&lt;&gt;"",F1744&lt;&gt;""), F1744-E1744, IF(G1744&lt;&gt;"", G1744, 0))</f>
        <v/>
      </c>
      <c r="I1744" s="48">
        <f>H1744*Settings!$B$5</f>
        <v/>
      </c>
      <c r="K1744">
        <f>IF(AND(A1744&lt;&gt;"",C1744&lt;&gt;"",D1744&lt;&gt;"",H1744&gt;0),"✓","⚠ missing")</f>
        <v/>
      </c>
      <c r="L1744" s="44" t="n"/>
      <c r="M1744" s="45" t="n"/>
      <c r="N1744" s="39" t="n"/>
      <c r="O1744" s="46" t="n"/>
    </row>
    <row r="1745">
      <c r="H1745" s="47">
        <f>IF(AND(E1745&lt;&gt;"",F1745&lt;&gt;""), F1745-E1745, IF(G1745&lt;&gt;"", G1745, 0))</f>
        <v/>
      </c>
      <c r="I1745" s="48">
        <f>H1745*Settings!$B$5</f>
        <v/>
      </c>
      <c r="K1745">
        <f>IF(AND(A1745&lt;&gt;"",C1745&lt;&gt;"",D1745&lt;&gt;"",H1745&gt;0),"✓","⚠ missing")</f>
        <v/>
      </c>
      <c r="L1745" s="44" t="n"/>
      <c r="M1745" s="45" t="n"/>
      <c r="N1745" s="39" t="n"/>
      <c r="O1745" s="46" t="n"/>
    </row>
    <row r="1746">
      <c r="H1746" s="47">
        <f>IF(AND(E1746&lt;&gt;"",F1746&lt;&gt;""), F1746-E1746, IF(G1746&lt;&gt;"", G1746, 0))</f>
        <v/>
      </c>
      <c r="I1746" s="48">
        <f>H1746*Settings!$B$5</f>
        <v/>
      </c>
      <c r="K1746">
        <f>IF(AND(A1746&lt;&gt;"",C1746&lt;&gt;"",D1746&lt;&gt;"",H1746&gt;0),"✓","⚠ missing")</f>
        <v/>
      </c>
      <c r="L1746" s="44" t="n"/>
      <c r="M1746" s="45" t="n"/>
      <c r="N1746" s="39" t="n"/>
      <c r="O1746" s="46" t="n"/>
    </row>
    <row r="1747">
      <c r="H1747" s="47">
        <f>IF(AND(E1747&lt;&gt;"",F1747&lt;&gt;""), F1747-E1747, IF(G1747&lt;&gt;"", G1747, 0))</f>
        <v/>
      </c>
      <c r="I1747" s="48">
        <f>H1747*Settings!$B$5</f>
        <v/>
      </c>
      <c r="K1747">
        <f>IF(AND(A1747&lt;&gt;"",C1747&lt;&gt;"",D1747&lt;&gt;"",H1747&gt;0),"✓","⚠ missing")</f>
        <v/>
      </c>
      <c r="L1747" s="44" t="n"/>
      <c r="M1747" s="45" t="n"/>
      <c r="N1747" s="39" t="n"/>
      <c r="O1747" s="46" t="n"/>
    </row>
    <row r="1748">
      <c r="H1748" s="47">
        <f>IF(AND(E1748&lt;&gt;"",F1748&lt;&gt;""), F1748-E1748, IF(G1748&lt;&gt;"", G1748, 0))</f>
        <v/>
      </c>
      <c r="I1748" s="48">
        <f>H1748*Settings!$B$5</f>
        <v/>
      </c>
      <c r="K1748">
        <f>IF(AND(A1748&lt;&gt;"",C1748&lt;&gt;"",D1748&lt;&gt;"",H1748&gt;0),"✓","⚠ missing")</f>
        <v/>
      </c>
      <c r="L1748" s="44" t="n"/>
      <c r="M1748" s="45" t="n"/>
      <c r="N1748" s="39" t="n"/>
      <c r="O1748" s="46" t="n"/>
    </row>
    <row r="1749">
      <c r="H1749" s="47">
        <f>IF(AND(E1749&lt;&gt;"",F1749&lt;&gt;""), F1749-E1749, IF(G1749&lt;&gt;"", G1749, 0))</f>
        <v/>
      </c>
      <c r="I1749" s="48">
        <f>H1749*Settings!$B$5</f>
        <v/>
      </c>
      <c r="K1749">
        <f>IF(AND(A1749&lt;&gt;"",C1749&lt;&gt;"",D1749&lt;&gt;"",H1749&gt;0),"✓","⚠ missing")</f>
        <v/>
      </c>
      <c r="L1749" s="44" t="n"/>
      <c r="M1749" s="45" t="n"/>
      <c r="N1749" s="39" t="n"/>
      <c r="O1749" s="46" t="n"/>
    </row>
    <row r="1750">
      <c r="H1750" s="47">
        <f>IF(AND(E1750&lt;&gt;"",F1750&lt;&gt;""), F1750-E1750, IF(G1750&lt;&gt;"", G1750, 0))</f>
        <v/>
      </c>
      <c r="I1750" s="48">
        <f>H1750*Settings!$B$5</f>
        <v/>
      </c>
      <c r="K1750">
        <f>IF(AND(A1750&lt;&gt;"",C1750&lt;&gt;"",D1750&lt;&gt;"",H1750&gt;0),"✓","⚠ missing")</f>
        <v/>
      </c>
      <c r="L1750" s="44" t="n"/>
      <c r="M1750" s="45" t="n"/>
      <c r="N1750" s="39" t="n"/>
      <c r="O1750" s="46" t="n"/>
    </row>
    <row r="1751">
      <c r="H1751" s="47">
        <f>IF(AND(E1751&lt;&gt;"",F1751&lt;&gt;""), F1751-E1751, IF(G1751&lt;&gt;"", G1751, 0))</f>
        <v/>
      </c>
      <c r="I1751" s="48">
        <f>H1751*Settings!$B$5</f>
        <v/>
      </c>
      <c r="K1751">
        <f>IF(AND(A1751&lt;&gt;"",C1751&lt;&gt;"",D1751&lt;&gt;"",H1751&gt;0),"✓","⚠ missing")</f>
        <v/>
      </c>
      <c r="L1751" s="44" t="n"/>
      <c r="M1751" s="45" t="n"/>
      <c r="N1751" s="39" t="n"/>
      <c r="O1751" s="46" t="n"/>
    </row>
    <row r="1752">
      <c r="H1752" s="47">
        <f>IF(AND(E1752&lt;&gt;"",F1752&lt;&gt;""), F1752-E1752, IF(G1752&lt;&gt;"", G1752, 0))</f>
        <v/>
      </c>
      <c r="I1752" s="48">
        <f>H1752*Settings!$B$5</f>
        <v/>
      </c>
      <c r="K1752">
        <f>IF(AND(A1752&lt;&gt;"",C1752&lt;&gt;"",D1752&lt;&gt;"",H1752&gt;0),"✓","⚠ missing")</f>
        <v/>
      </c>
      <c r="L1752" s="44" t="n"/>
      <c r="M1752" s="45" t="n"/>
      <c r="N1752" s="39" t="n"/>
      <c r="O1752" s="46" t="n"/>
    </row>
    <row r="1753">
      <c r="H1753" s="47">
        <f>IF(AND(E1753&lt;&gt;"",F1753&lt;&gt;""), F1753-E1753, IF(G1753&lt;&gt;"", G1753, 0))</f>
        <v/>
      </c>
      <c r="I1753" s="48">
        <f>H1753*Settings!$B$5</f>
        <v/>
      </c>
      <c r="K1753">
        <f>IF(AND(A1753&lt;&gt;"",C1753&lt;&gt;"",D1753&lt;&gt;"",H1753&gt;0),"✓","⚠ missing")</f>
        <v/>
      </c>
      <c r="L1753" s="44" t="n"/>
      <c r="M1753" s="45" t="n"/>
      <c r="N1753" s="39" t="n"/>
      <c r="O1753" s="46" t="n"/>
    </row>
    <row r="1754">
      <c r="H1754" s="47">
        <f>IF(AND(E1754&lt;&gt;"",F1754&lt;&gt;""), F1754-E1754, IF(G1754&lt;&gt;"", G1754, 0))</f>
        <v/>
      </c>
      <c r="I1754" s="48">
        <f>H1754*Settings!$B$5</f>
        <v/>
      </c>
      <c r="K1754">
        <f>IF(AND(A1754&lt;&gt;"",C1754&lt;&gt;"",D1754&lt;&gt;"",H1754&gt;0),"✓","⚠ missing")</f>
        <v/>
      </c>
      <c r="L1754" s="44" t="n"/>
      <c r="M1754" s="45" t="n"/>
      <c r="N1754" s="39" t="n"/>
      <c r="O1754" s="46" t="n"/>
    </row>
    <row r="1755">
      <c r="H1755" s="47">
        <f>IF(AND(E1755&lt;&gt;"",F1755&lt;&gt;""), F1755-E1755, IF(G1755&lt;&gt;"", G1755, 0))</f>
        <v/>
      </c>
      <c r="I1755" s="48">
        <f>H1755*Settings!$B$5</f>
        <v/>
      </c>
      <c r="K1755">
        <f>IF(AND(A1755&lt;&gt;"",C1755&lt;&gt;"",D1755&lt;&gt;"",H1755&gt;0),"✓","⚠ missing")</f>
        <v/>
      </c>
      <c r="L1755" s="44" t="n"/>
      <c r="M1755" s="45" t="n"/>
      <c r="N1755" s="39" t="n"/>
      <c r="O1755" s="46" t="n"/>
    </row>
    <row r="1756">
      <c r="H1756" s="47">
        <f>IF(AND(E1756&lt;&gt;"",F1756&lt;&gt;""), F1756-E1756, IF(G1756&lt;&gt;"", G1756, 0))</f>
        <v/>
      </c>
      <c r="I1756" s="48">
        <f>H1756*Settings!$B$5</f>
        <v/>
      </c>
      <c r="K1756">
        <f>IF(AND(A1756&lt;&gt;"",C1756&lt;&gt;"",D1756&lt;&gt;"",H1756&gt;0),"✓","⚠ missing")</f>
        <v/>
      </c>
      <c r="L1756" s="44" t="n"/>
      <c r="M1756" s="45" t="n"/>
      <c r="N1756" s="39" t="n"/>
      <c r="O1756" s="46" t="n"/>
    </row>
    <row r="1757">
      <c r="H1757" s="47">
        <f>IF(AND(E1757&lt;&gt;"",F1757&lt;&gt;""), F1757-E1757, IF(G1757&lt;&gt;"", G1757, 0))</f>
        <v/>
      </c>
      <c r="I1757" s="48">
        <f>H1757*Settings!$B$5</f>
        <v/>
      </c>
      <c r="K1757">
        <f>IF(AND(A1757&lt;&gt;"",C1757&lt;&gt;"",D1757&lt;&gt;"",H1757&gt;0),"✓","⚠ missing")</f>
        <v/>
      </c>
      <c r="L1757" s="44" t="n"/>
      <c r="M1757" s="45" t="n"/>
      <c r="N1757" s="39" t="n"/>
      <c r="O1757" s="46" t="n"/>
    </row>
    <row r="1758">
      <c r="H1758" s="47">
        <f>IF(AND(E1758&lt;&gt;"",F1758&lt;&gt;""), F1758-E1758, IF(G1758&lt;&gt;"", G1758, 0))</f>
        <v/>
      </c>
      <c r="I1758" s="48">
        <f>H1758*Settings!$B$5</f>
        <v/>
      </c>
      <c r="K1758">
        <f>IF(AND(A1758&lt;&gt;"",C1758&lt;&gt;"",D1758&lt;&gt;"",H1758&gt;0),"✓","⚠ missing")</f>
        <v/>
      </c>
      <c r="L1758" s="44" t="n"/>
      <c r="M1758" s="45" t="n"/>
      <c r="N1758" s="39" t="n"/>
      <c r="O1758" s="46" t="n"/>
    </row>
    <row r="1759">
      <c r="H1759" s="47">
        <f>IF(AND(E1759&lt;&gt;"",F1759&lt;&gt;""), F1759-E1759, IF(G1759&lt;&gt;"", G1759, 0))</f>
        <v/>
      </c>
      <c r="I1759" s="48">
        <f>H1759*Settings!$B$5</f>
        <v/>
      </c>
      <c r="K1759">
        <f>IF(AND(A1759&lt;&gt;"",C1759&lt;&gt;"",D1759&lt;&gt;"",H1759&gt;0),"✓","⚠ missing")</f>
        <v/>
      </c>
      <c r="L1759" s="44" t="n"/>
      <c r="M1759" s="45" t="n"/>
      <c r="N1759" s="39" t="n"/>
      <c r="O1759" s="46" t="n"/>
    </row>
    <row r="1760">
      <c r="H1760" s="47">
        <f>IF(AND(E1760&lt;&gt;"",F1760&lt;&gt;""), F1760-E1760, IF(G1760&lt;&gt;"", G1760, 0))</f>
        <v/>
      </c>
      <c r="I1760" s="48">
        <f>H1760*Settings!$B$5</f>
        <v/>
      </c>
      <c r="K1760">
        <f>IF(AND(A1760&lt;&gt;"",C1760&lt;&gt;"",D1760&lt;&gt;"",H1760&gt;0),"✓","⚠ missing")</f>
        <v/>
      </c>
      <c r="L1760" s="44" t="n"/>
      <c r="M1760" s="45" t="n"/>
      <c r="N1760" s="39" t="n"/>
      <c r="O1760" s="46" t="n"/>
    </row>
    <row r="1761">
      <c r="H1761" s="47">
        <f>IF(AND(E1761&lt;&gt;"",F1761&lt;&gt;""), F1761-E1761, IF(G1761&lt;&gt;"", G1761, 0))</f>
        <v/>
      </c>
      <c r="I1761" s="48">
        <f>H1761*Settings!$B$5</f>
        <v/>
      </c>
      <c r="K1761">
        <f>IF(AND(A1761&lt;&gt;"",C1761&lt;&gt;"",D1761&lt;&gt;"",H1761&gt;0),"✓","⚠ missing")</f>
        <v/>
      </c>
      <c r="L1761" s="44" t="n"/>
      <c r="M1761" s="45" t="n"/>
      <c r="N1761" s="39" t="n"/>
      <c r="O1761" s="46" t="n"/>
    </row>
    <row r="1762">
      <c r="H1762" s="47">
        <f>IF(AND(E1762&lt;&gt;"",F1762&lt;&gt;""), F1762-E1762, IF(G1762&lt;&gt;"", G1762, 0))</f>
        <v/>
      </c>
      <c r="I1762" s="48">
        <f>H1762*Settings!$B$5</f>
        <v/>
      </c>
      <c r="K1762">
        <f>IF(AND(A1762&lt;&gt;"",C1762&lt;&gt;"",D1762&lt;&gt;"",H1762&gt;0),"✓","⚠ missing")</f>
        <v/>
      </c>
      <c r="L1762" s="44" t="n"/>
      <c r="M1762" s="45" t="n"/>
      <c r="N1762" s="39" t="n"/>
      <c r="O1762" s="46" t="n"/>
    </row>
    <row r="1763">
      <c r="H1763" s="47">
        <f>IF(AND(E1763&lt;&gt;"",F1763&lt;&gt;""), F1763-E1763, IF(G1763&lt;&gt;"", G1763, 0))</f>
        <v/>
      </c>
      <c r="I1763" s="48">
        <f>H1763*Settings!$B$5</f>
        <v/>
      </c>
      <c r="K1763">
        <f>IF(AND(A1763&lt;&gt;"",C1763&lt;&gt;"",D1763&lt;&gt;"",H1763&gt;0),"✓","⚠ missing")</f>
        <v/>
      </c>
      <c r="L1763" s="44" t="n"/>
      <c r="M1763" s="45" t="n"/>
      <c r="N1763" s="39" t="n"/>
      <c r="O1763" s="46" t="n"/>
    </row>
    <row r="1764">
      <c r="H1764" s="47">
        <f>IF(AND(E1764&lt;&gt;"",F1764&lt;&gt;""), F1764-E1764, IF(G1764&lt;&gt;"", G1764, 0))</f>
        <v/>
      </c>
      <c r="I1764" s="48">
        <f>H1764*Settings!$B$5</f>
        <v/>
      </c>
      <c r="K1764">
        <f>IF(AND(A1764&lt;&gt;"",C1764&lt;&gt;"",D1764&lt;&gt;"",H1764&gt;0),"✓","⚠ missing")</f>
        <v/>
      </c>
      <c r="L1764" s="44" t="n"/>
      <c r="M1764" s="45" t="n"/>
      <c r="N1764" s="39" t="n"/>
      <c r="O1764" s="46" t="n"/>
    </row>
    <row r="1765">
      <c r="H1765" s="47">
        <f>IF(AND(E1765&lt;&gt;"",F1765&lt;&gt;""), F1765-E1765, IF(G1765&lt;&gt;"", G1765, 0))</f>
        <v/>
      </c>
      <c r="I1765" s="48">
        <f>H1765*Settings!$B$5</f>
        <v/>
      </c>
      <c r="K1765">
        <f>IF(AND(A1765&lt;&gt;"",C1765&lt;&gt;"",D1765&lt;&gt;"",H1765&gt;0),"✓","⚠ missing")</f>
        <v/>
      </c>
      <c r="L1765" s="44" t="n"/>
      <c r="M1765" s="45" t="n"/>
      <c r="N1765" s="39" t="n"/>
      <c r="O1765" s="46" t="n"/>
    </row>
    <row r="1766">
      <c r="H1766" s="47">
        <f>IF(AND(E1766&lt;&gt;"",F1766&lt;&gt;""), F1766-E1766, IF(G1766&lt;&gt;"", G1766, 0))</f>
        <v/>
      </c>
      <c r="I1766" s="48">
        <f>H1766*Settings!$B$5</f>
        <v/>
      </c>
      <c r="K1766">
        <f>IF(AND(A1766&lt;&gt;"",C1766&lt;&gt;"",D1766&lt;&gt;"",H1766&gt;0),"✓","⚠ missing")</f>
        <v/>
      </c>
      <c r="L1766" s="44" t="n"/>
      <c r="M1766" s="45" t="n"/>
      <c r="N1766" s="39" t="n"/>
      <c r="O1766" s="46" t="n"/>
    </row>
    <row r="1767">
      <c r="H1767" s="47">
        <f>IF(AND(E1767&lt;&gt;"",F1767&lt;&gt;""), F1767-E1767, IF(G1767&lt;&gt;"", G1767, 0))</f>
        <v/>
      </c>
      <c r="I1767" s="48">
        <f>H1767*Settings!$B$5</f>
        <v/>
      </c>
      <c r="K1767">
        <f>IF(AND(A1767&lt;&gt;"",C1767&lt;&gt;"",D1767&lt;&gt;"",H1767&gt;0),"✓","⚠ missing")</f>
        <v/>
      </c>
      <c r="L1767" s="44" t="n"/>
      <c r="M1767" s="45" t="n"/>
      <c r="N1767" s="39" t="n"/>
      <c r="O1767" s="46" t="n"/>
    </row>
    <row r="1768">
      <c r="H1768" s="47">
        <f>IF(AND(E1768&lt;&gt;"",F1768&lt;&gt;""), F1768-E1768, IF(G1768&lt;&gt;"", G1768, 0))</f>
        <v/>
      </c>
      <c r="I1768" s="48">
        <f>H1768*Settings!$B$5</f>
        <v/>
      </c>
      <c r="K1768">
        <f>IF(AND(A1768&lt;&gt;"",C1768&lt;&gt;"",D1768&lt;&gt;"",H1768&gt;0),"✓","⚠ missing")</f>
        <v/>
      </c>
      <c r="L1768" s="44" t="n"/>
      <c r="M1768" s="45" t="n"/>
      <c r="N1768" s="39" t="n"/>
      <c r="O1768" s="46" t="n"/>
    </row>
    <row r="1769">
      <c r="H1769" s="47">
        <f>IF(AND(E1769&lt;&gt;"",F1769&lt;&gt;""), F1769-E1769, IF(G1769&lt;&gt;"", G1769, 0))</f>
        <v/>
      </c>
      <c r="I1769" s="48">
        <f>H1769*Settings!$B$5</f>
        <v/>
      </c>
      <c r="K1769">
        <f>IF(AND(A1769&lt;&gt;"",C1769&lt;&gt;"",D1769&lt;&gt;"",H1769&gt;0),"✓","⚠ missing")</f>
        <v/>
      </c>
      <c r="L1769" s="44" t="n"/>
      <c r="M1769" s="45" t="n"/>
      <c r="N1769" s="39" t="n"/>
      <c r="O1769" s="46" t="n"/>
    </row>
    <row r="1770">
      <c r="H1770" s="47">
        <f>IF(AND(E1770&lt;&gt;"",F1770&lt;&gt;""), F1770-E1770, IF(G1770&lt;&gt;"", G1770, 0))</f>
        <v/>
      </c>
      <c r="I1770" s="48">
        <f>H1770*Settings!$B$5</f>
        <v/>
      </c>
      <c r="K1770">
        <f>IF(AND(A1770&lt;&gt;"",C1770&lt;&gt;"",D1770&lt;&gt;"",H1770&gt;0),"✓","⚠ missing")</f>
        <v/>
      </c>
      <c r="L1770" s="44" t="n"/>
      <c r="M1770" s="45" t="n"/>
      <c r="N1770" s="39" t="n"/>
      <c r="O1770" s="46" t="n"/>
    </row>
    <row r="1771">
      <c r="H1771" s="47">
        <f>IF(AND(E1771&lt;&gt;"",F1771&lt;&gt;""), F1771-E1771, IF(G1771&lt;&gt;"", G1771, 0))</f>
        <v/>
      </c>
      <c r="I1771" s="48">
        <f>H1771*Settings!$B$5</f>
        <v/>
      </c>
      <c r="K1771">
        <f>IF(AND(A1771&lt;&gt;"",C1771&lt;&gt;"",D1771&lt;&gt;"",H1771&gt;0),"✓","⚠ missing")</f>
        <v/>
      </c>
      <c r="L1771" s="44" t="n"/>
      <c r="M1771" s="45" t="n"/>
      <c r="N1771" s="39" t="n"/>
      <c r="O1771" s="46" t="n"/>
    </row>
    <row r="1772">
      <c r="H1772" s="47">
        <f>IF(AND(E1772&lt;&gt;"",F1772&lt;&gt;""), F1772-E1772, IF(G1772&lt;&gt;"", G1772, 0))</f>
        <v/>
      </c>
      <c r="I1772" s="48">
        <f>H1772*Settings!$B$5</f>
        <v/>
      </c>
      <c r="K1772">
        <f>IF(AND(A1772&lt;&gt;"",C1772&lt;&gt;"",D1772&lt;&gt;"",H1772&gt;0),"✓","⚠ missing")</f>
        <v/>
      </c>
      <c r="L1772" s="44" t="n"/>
      <c r="M1772" s="45" t="n"/>
      <c r="N1772" s="39" t="n"/>
      <c r="O1772" s="46" t="n"/>
    </row>
    <row r="1773">
      <c r="H1773" s="47">
        <f>IF(AND(E1773&lt;&gt;"",F1773&lt;&gt;""), F1773-E1773, IF(G1773&lt;&gt;"", G1773, 0))</f>
        <v/>
      </c>
      <c r="I1773" s="48">
        <f>H1773*Settings!$B$5</f>
        <v/>
      </c>
      <c r="K1773">
        <f>IF(AND(A1773&lt;&gt;"",C1773&lt;&gt;"",D1773&lt;&gt;"",H1773&gt;0),"✓","⚠ missing")</f>
        <v/>
      </c>
      <c r="L1773" s="44" t="n"/>
      <c r="M1773" s="45" t="n"/>
      <c r="N1773" s="39" t="n"/>
      <c r="O1773" s="46" t="n"/>
    </row>
    <row r="1774">
      <c r="H1774" s="47">
        <f>IF(AND(E1774&lt;&gt;"",F1774&lt;&gt;""), F1774-E1774, IF(G1774&lt;&gt;"", G1774, 0))</f>
        <v/>
      </c>
      <c r="I1774" s="48">
        <f>H1774*Settings!$B$5</f>
        <v/>
      </c>
      <c r="K1774">
        <f>IF(AND(A1774&lt;&gt;"",C1774&lt;&gt;"",D1774&lt;&gt;"",H1774&gt;0),"✓","⚠ missing")</f>
        <v/>
      </c>
      <c r="L1774" s="44" t="n"/>
      <c r="M1774" s="45" t="n"/>
      <c r="N1774" s="39" t="n"/>
      <c r="O1774" s="46" t="n"/>
    </row>
    <row r="1775">
      <c r="H1775" s="47">
        <f>IF(AND(E1775&lt;&gt;"",F1775&lt;&gt;""), F1775-E1775, IF(G1775&lt;&gt;"", G1775, 0))</f>
        <v/>
      </c>
      <c r="I1775" s="48">
        <f>H1775*Settings!$B$5</f>
        <v/>
      </c>
      <c r="K1775">
        <f>IF(AND(A1775&lt;&gt;"",C1775&lt;&gt;"",D1775&lt;&gt;"",H1775&gt;0),"✓","⚠ missing")</f>
        <v/>
      </c>
      <c r="L1775" s="44" t="n"/>
      <c r="M1775" s="45" t="n"/>
      <c r="N1775" s="39" t="n"/>
      <c r="O1775" s="46" t="n"/>
    </row>
    <row r="1776">
      <c r="H1776" s="47">
        <f>IF(AND(E1776&lt;&gt;"",F1776&lt;&gt;""), F1776-E1776, IF(G1776&lt;&gt;"", G1776, 0))</f>
        <v/>
      </c>
      <c r="I1776" s="48">
        <f>H1776*Settings!$B$5</f>
        <v/>
      </c>
      <c r="K1776">
        <f>IF(AND(A1776&lt;&gt;"",C1776&lt;&gt;"",D1776&lt;&gt;"",H1776&gt;0),"✓","⚠ missing")</f>
        <v/>
      </c>
      <c r="L1776" s="44" t="n"/>
      <c r="M1776" s="45" t="n"/>
      <c r="N1776" s="39" t="n"/>
      <c r="O1776" s="46" t="n"/>
    </row>
    <row r="1777">
      <c r="H1777" s="47">
        <f>IF(AND(E1777&lt;&gt;"",F1777&lt;&gt;""), F1777-E1777, IF(G1777&lt;&gt;"", G1777, 0))</f>
        <v/>
      </c>
      <c r="I1777" s="48">
        <f>H1777*Settings!$B$5</f>
        <v/>
      </c>
      <c r="K1777">
        <f>IF(AND(A1777&lt;&gt;"",C1777&lt;&gt;"",D1777&lt;&gt;"",H1777&gt;0),"✓","⚠ missing")</f>
        <v/>
      </c>
      <c r="L1777" s="44" t="n"/>
      <c r="M1777" s="45" t="n"/>
      <c r="N1777" s="39" t="n"/>
      <c r="O1777" s="46" t="n"/>
    </row>
    <row r="1778">
      <c r="H1778" s="47">
        <f>IF(AND(E1778&lt;&gt;"",F1778&lt;&gt;""), F1778-E1778, IF(G1778&lt;&gt;"", G1778, 0))</f>
        <v/>
      </c>
      <c r="I1778" s="48">
        <f>H1778*Settings!$B$5</f>
        <v/>
      </c>
      <c r="K1778">
        <f>IF(AND(A1778&lt;&gt;"",C1778&lt;&gt;"",D1778&lt;&gt;"",H1778&gt;0),"✓","⚠ missing")</f>
        <v/>
      </c>
      <c r="L1778" s="44" t="n"/>
      <c r="M1778" s="45" t="n"/>
      <c r="N1778" s="39" t="n"/>
      <c r="O1778" s="46" t="n"/>
    </row>
    <row r="1779">
      <c r="H1779" s="47">
        <f>IF(AND(E1779&lt;&gt;"",F1779&lt;&gt;""), F1779-E1779, IF(G1779&lt;&gt;"", G1779, 0))</f>
        <v/>
      </c>
      <c r="I1779" s="48">
        <f>H1779*Settings!$B$5</f>
        <v/>
      </c>
      <c r="K1779">
        <f>IF(AND(A1779&lt;&gt;"",C1779&lt;&gt;"",D1779&lt;&gt;"",H1779&gt;0),"✓","⚠ missing")</f>
        <v/>
      </c>
      <c r="L1779" s="44" t="n"/>
      <c r="M1779" s="45" t="n"/>
      <c r="N1779" s="39" t="n"/>
      <c r="O1779" s="46" t="n"/>
    </row>
    <row r="1780">
      <c r="H1780" s="47">
        <f>IF(AND(E1780&lt;&gt;"",F1780&lt;&gt;""), F1780-E1780, IF(G1780&lt;&gt;"", G1780, 0))</f>
        <v/>
      </c>
      <c r="I1780" s="48">
        <f>H1780*Settings!$B$5</f>
        <v/>
      </c>
      <c r="K1780">
        <f>IF(AND(A1780&lt;&gt;"",C1780&lt;&gt;"",D1780&lt;&gt;"",H1780&gt;0),"✓","⚠ missing")</f>
        <v/>
      </c>
      <c r="L1780" s="44" t="n"/>
      <c r="M1780" s="45" t="n"/>
      <c r="N1780" s="39" t="n"/>
      <c r="O1780" s="46" t="n"/>
    </row>
    <row r="1781">
      <c r="H1781" s="47">
        <f>IF(AND(E1781&lt;&gt;"",F1781&lt;&gt;""), F1781-E1781, IF(G1781&lt;&gt;"", G1781, 0))</f>
        <v/>
      </c>
      <c r="I1781" s="48">
        <f>H1781*Settings!$B$5</f>
        <v/>
      </c>
      <c r="K1781">
        <f>IF(AND(A1781&lt;&gt;"",C1781&lt;&gt;"",D1781&lt;&gt;"",H1781&gt;0),"✓","⚠ missing")</f>
        <v/>
      </c>
      <c r="L1781" s="44" t="n"/>
      <c r="M1781" s="45" t="n"/>
      <c r="N1781" s="39" t="n"/>
      <c r="O1781" s="46" t="n"/>
    </row>
    <row r="1782">
      <c r="H1782" s="47">
        <f>IF(AND(E1782&lt;&gt;"",F1782&lt;&gt;""), F1782-E1782, IF(G1782&lt;&gt;"", G1782, 0))</f>
        <v/>
      </c>
      <c r="I1782" s="48">
        <f>H1782*Settings!$B$5</f>
        <v/>
      </c>
      <c r="K1782">
        <f>IF(AND(A1782&lt;&gt;"",C1782&lt;&gt;"",D1782&lt;&gt;"",H1782&gt;0),"✓","⚠ missing")</f>
        <v/>
      </c>
      <c r="L1782" s="44" t="n"/>
      <c r="M1782" s="45" t="n"/>
      <c r="N1782" s="39" t="n"/>
      <c r="O1782" s="46" t="n"/>
    </row>
    <row r="1783">
      <c r="H1783" s="47">
        <f>IF(AND(E1783&lt;&gt;"",F1783&lt;&gt;""), F1783-E1783, IF(G1783&lt;&gt;"", G1783, 0))</f>
        <v/>
      </c>
      <c r="I1783" s="48">
        <f>H1783*Settings!$B$5</f>
        <v/>
      </c>
      <c r="K1783">
        <f>IF(AND(A1783&lt;&gt;"",C1783&lt;&gt;"",D1783&lt;&gt;"",H1783&gt;0),"✓","⚠ missing")</f>
        <v/>
      </c>
      <c r="L1783" s="44" t="n"/>
      <c r="M1783" s="45" t="n"/>
      <c r="N1783" s="39" t="n"/>
      <c r="O1783" s="46" t="n"/>
    </row>
    <row r="1784">
      <c r="H1784" s="47">
        <f>IF(AND(E1784&lt;&gt;"",F1784&lt;&gt;""), F1784-E1784, IF(G1784&lt;&gt;"", G1784, 0))</f>
        <v/>
      </c>
      <c r="I1784" s="48">
        <f>H1784*Settings!$B$5</f>
        <v/>
      </c>
      <c r="K1784">
        <f>IF(AND(A1784&lt;&gt;"",C1784&lt;&gt;"",D1784&lt;&gt;"",H1784&gt;0),"✓","⚠ missing")</f>
        <v/>
      </c>
      <c r="L1784" s="44" t="n"/>
      <c r="M1784" s="45" t="n"/>
      <c r="N1784" s="39" t="n"/>
      <c r="O1784" s="46" t="n"/>
    </row>
    <row r="1785">
      <c r="H1785" s="47">
        <f>IF(AND(E1785&lt;&gt;"",F1785&lt;&gt;""), F1785-E1785, IF(G1785&lt;&gt;"", G1785, 0))</f>
        <v/>
      </c>
      <c r="I1785" s="48">
        <f>H1785*Settings!$B$5</f>
        <v/>
      </c>
      <c r="K1785">
        <f>IF(AND(A1785&lt;&gt;"",C1785&lt;&gt;"",D1785&lt;&gt;"",H1785&gt;0),"✓","⚠ missing")</f>
        <v/>
      </c>
      <c r="L1785" s="44" t="n"/>
      <c r="M1785" s="45" t="n"/>
      <c r="N1785" s="39" t="n"/>
      <c r="O1785" s="46" t="n"/>
    </row>
    <row r="1786">
      <c r="H1786" s="47">
        <f>IF(AND(E1786&lt;&gt;"",F1786&lt;&gt;""), F1786-E1786, IF(G1786&lt;&gt;"", G1786, 0))</f>
        <v/>
      </c>
      <c r="I1786" s="48">
        <f>H1786*Settings!$B$5</f>
        <v/>
      </c>
      <c r="K1786">
        <f>IF(AND(A1786&lt;&gt;"",C1786&lt;&gt;"",D1786&lt;&gt;"",H1786&gt;0),"✓","⚠ missing")</f>
        <v/>
      </c>
      <c r="L1786" s="44" t="n"/>
      <c r="M1786" s="45" t="n"/>
      <c r="N1786" s="39" t="n"/>
      <c r="O1786" s="46" t="n"/>
    </row>
    <row r="1787">
      <c r="H1787" s="47">
        <f>IF(AND(E1787&lt;&gt;"",F1787&lt;&gt;""), F1787-E1787, IF(G1787&lt;&gt;"", G1787, 0))</f>
        <v/>
      </c>
      <c r="I1787" s="48">
        <f>H1787*Settings!$B$5</f>
        <v/>
      </c>
      <c r="K1787">
        <f>IF(AND(A1787&lt;&gt;"",C1787&lt;&gt;"",D1787&lt;&gt;"",H1787&gt;0),"✓","⚠ missing")</f>
        <v/>
      </c>
      <c r="L1787" s="44" t="n"/>
      <c r="M1787" s="45" t="n"/>
      <c r="N1787" s="39" t="n"/>
      <c r="O1787" s="46" t="n"/>
    </row>
    <row r="1788">
      <c r="H1788" s="47">
        <f>IF(AND(E1788&lt;&gt;"",F1788&lt;&gt;""), F1788-E1788, IF(G1788&lt;&gt;"", G1788, 0))</f>
        <v/>
      </c>
      <c r="I1788" s="48">
        <f>H1788*Settings!$B$5</f>
        <v/>
      </c>
      <c r="K1788">
        <f>IF(AND(A1788&lt;&gt;"",C1788&lt;&gt;"",D1788&lt;&gt;"",H1788&gt;0),"✓","⚠ missing")</f>
        <v/>
      </c>
      <c r="L1788" s="44" t="n"/>
      <c r="M1788" s="45" t="n"/>
      <c r="N1788" s="39" t="n"/>
      <c r="O1788" s="46" t="n"/>
    </row>
    <row r="1789">
      <c r="H1789" s="47">
        <f>IF(AND(E1789&lt;&gt;"",F1789&lt;&gt;""), F1789-E1789, IF(G1789&lt;&gt;"", G1789, 0))</f>
        <v/>
      </c>
      <c r="I1789" s="48">
        <f>H1789*Settings!$B$5</f>
        <v/>
      </c>
      <c r="K1789">
        <f>IF(AND(A1789&lt;&gt;"",C1789&lt;&gt;"",D1789&lt;&gt;"",H1789&gt;0),"✓","⚠ missing")</f>
        <v/>
      </c>
      <c r="L1789" s="44" t="n"/>
      <c r="M1789" s="45" t="n"/>
      <c r="N1789" s="39" t="n"/>
      <c r="O1789" s="46" t="n"/>
    </row>
    <row r="1790">
      <c r="H1790" s="47">
        <f>IF(AND(E1790&lt;&gt;"",F1790&lt;&gt;""), F1790-E1790, IF(G1790&lt;&gt;"", G1790, 0))</f>
        <v/>
      </c>
      <c r="I1790" s="48">
        <f>H1790*Settings!$B$5</f>
        <v/>
      </c>
      <c r="K1790">
        <f>IF(AND(A1790&lt;&gt;"",C1790&lt;&gt;"",D1790&lt;&gt;"",H1790&gt;0),"✓","⚠ missing")</f>
        <v/>
      </c>
      <c r="L1790" s="44" t="n"/>
      <c r="M1790" s="45" t="n"/>
      <c r="N1790" s="39" t="n"/>
      <c r="O1790" s="46" t="n"/>
    </row>
    <row r="1791">
      <c r="H1791" s="47">
        <f>IF(AND(E1791&lt;&gt;"",F1791&lt;&gt;""), F1791-E1791, IF(G1791&lt;&gt;"", G1791, 0))</f>
        <v/>
      </c>
      <c r="I1791" s="48">
        <f>H1791*Settings!$B$5</f>
        <v/>
      </c>
      <c r="K1791">
        <f>IF(AND(A1791&lt;&gt;"",C1791&lt;&gt;"",D1791&lt;&gt;"",H1791&gt;0),"✓","⚠ missing")</f>
        <v/>
      </c>
      <c r="L1791" s="44" t="n"/>
      <c r="M1791" s="45" t="n"/>
      <c r="N1791" s="39" t="n"/>
      <c r="O1791" s="46" t="n"/>
    </row>
    <row r="1792">
      <c r="H1792" s="47">
        <f>IF(AND(E1792&lt;&gt;"",F1792&lt;&gt;""), F1792-E1792, IF(G1792&lt;&gt;"", G1792, 0))</f>
        <v/>
      </c>
      <c r="I1792" s="48">
        <f>H1792*Settings!$B$5</f>
        <v/>
      </c>
      <c r="K1792">
        <f>IF(AND(A1792&lt;&gt;"",C1792&lt;&gt;"",D1792&lt;&gt;"",H1792&gt;0),"✓","⚠ missing")</f>
        <v/>
      </c>
      <c r="L1792" s="44" t="n"/>
      <c r="M1792" s="45" t="n"/>
      <c r="N1792" s="39" t="n"/>
      <c r="O1792" s="46" t="n"/>
    </row>
    <row r="1793">
      <c r="H1793" s="47">
        <f>IF(AND(E1793&lt;&gt;"",F1793&lt;&gt;""), F1793-E1793, IF(G1793&lt;&gt;"", G1793, 0))</f>
        <v/>
      </c>
      <c r="I1793" s="48">
        <f>H1793*Settings!$B$5</f>
        <v/>
      </c>
      <c r="K1793">
        <f>IF(AND(A1793&lt;&gt;"",C1793&lt;&gt;"",D1793&lt;&gt;"",H1793&gt;0),"✓","⚠ missing")</f>
        <v/>
      </c>
      <c r="L1793" s="44" t="n"/>
      <c r="M1793" s="45" t="n"/>
      <c r="N1793" s="39" t="n"/>
      <c r="O1793" s="46" t="n"/>
    </row>
    <row r="1794">
      <c r="H1794" s="47">
        <f>IF(AND(E1794&lt;&gt;"",F1794&lt;&gt;""), F1794-E1794, IF(G1794&lt;&gt;"", G1794, 0))</f>
        <v/>
      </c>
      <c r="I1794" s="48">
        <f>H1794*Settings!$B$5</f>
        <v/>
      </c>
      <c r="K1794">
        <f>IF(AND(A1794&lt;&gt;"",C1794&lt;&gt;"",D1794&lt;&gt;"",H1794&gt;0),"✓","⚠ missing")</f>
        <v/>
      </c>
      <c r="L1794" s="44" t="n"/>
      <c r="M1794" s="45" t="n"/>
      <c r="N1794" s="39" t="n"/>
      <c r="O1794" s="46" t="n"/>
    </row>
    <row r="1795">
      <c r="H1795" s="47">
        <f>IF(AND(E1795&lt;&gt;"",F1795&lt;&gt;""), F1795-E1795, IF(G1795&lt;&gt;"", G1795, 0))</f>
        <v/>
      </c>
      <c r="I1795" s="48">
        <f>H1795*Settings!$B$5</f>
        <v/>
      </c>
      <c r="K1795">
        <f>IF(AND(A1795&lt;&gt;"",C1795&lt;&gt;"",D1795&lt;&gt;"",H1795&gt;0),"✓","⚠ missing")</f>
        <v/>
      </c>
      <c r="L1795" s="44" t="n"/>
      <c r="M1795" s="45" t="n"/>
      <c r="N1795" s="39" t="n"/>
      <c r="O1795" s="46" t="n"/>
    </row>
    <row r="1796">
      <c r="H1796" s="47">
        <f>IF(AND(E1796&lt;&gt;"",F1796&lt;&gt;""), F1796-E1796, IF(G1796&lt;&gt;"", G1796, 0))</f>
        <v/>
      </c>
      <c r="I1796" s="48">
        <f>H1796*Settings!$B$5</f>
        <v/>
      </c>
      <c r="K1796">
        <f>IF(AND(A1796&lt;&gt;"",C1796&lt;&gt;"",D1796&lt;&gt;"",H1796&gt;0),"✓","⚠ missing")</f>
        <v/>
      </c>
      <c r="L1796" s="44" t="n"/>
      <c r="M1796" s="45" t="n"/>
      <c r="N1796" s="39" t="n"/>
      <c r="O1796" s="46" t="n"/>
    </row>
    <row r="1797">
      <c r="H1797" s="47">
        <f>IF(AND(E1797&lt;&gt;"",F1797&lt;&gt;""), F1797-E1797, IF(G1797&lt;&gt;"", G1797, 0))</f>
        <v/>
      </c>
      <c r="I1797" s="48">
        <f>H1797*Settings!$B$5</f>
        <v/>
      </c>
      <c r="K1797">
        <f>IF(AND(A1797&lt;&gt;"",C1797&lt;&gt;"",D1797&lt;&gt;"",H1797&gt;0),"✓","⚠ missing")</f>
        <v/>
      </c>
      <c r="L1797" s="44" t="n"/>
      <c r="M1797" s="45" t="n"/>
      <c r="N1797" s="39" t="n"/>
      <c r="O1797" s="46" t="n"/>
    </row>
    <row r="1798">
      <c r="H1798" s="47">
        <f>IF(AND(E1798&lt;&gt;"",F1798&lt;&gt;""), F1798-E1798, IF(G1798&lt;&gt;"", G1798, 0))</f>
        <v/>
      </c>
      <c r="I1798" s="48">
        <f>H1798*Settings!$B$5</f>
        <v/>
      </c>
      <c r="K1798">
        <f>IF(AND(A1798&lt;&gt;"",C1798&lt;&gt;"",D1798&lt;&gt;"",H1798&gt;0),"✓","⚠ missing")</f>
        <v/>
      </c>
      <c r="L1798" s="44" t="n"/>
      <c r="M1798" s="45" t="n"/>
      <c r="N1798" s="39" t="n"/>
      <c r="O1798" s="46" t="n"/>
    </row>
    <row r="1799">
      <c r="H1799" s="47">
        <f>IF(AND(E1799&lt;&gt;"",F1799&lt;&gt;""), F1799-E1799, IF(G1799&lt;&gt;"", G1799, 0))</f>
        <v/>
      </c>
      <c r="I1799" s="48">
        <f>H1799*Settings!$B$5</f>
        <v/>
      </c>
      <c r="K1799">
        <f>IF(AND(A1799&lt;&gt;"",C1799&lt;&gt;"",D1799&lt;&gt;"",H1799&gt;0),"✓","⚠ missing")</f>
        <v/>
      </c>
      <c r="L1799" s="44" t="n"/>
      <c r="M1799" s="45" t="n"/>
      <c r="N1799" s="39" t="n"/>
      <c r="O1799" s="46" t="n"/>
    </row>
    <row r="1800">
      <c r="H1800" s="47">
        <f>IF(AND(E1800&lt;&gt;"",F1800&lt;&gt;""), F1800-E1800, IF(G1800&lt;&gt;"", G1800, 0))</f>
        <v/>
      </c>
      <c r="I1800" s="48">
        <f>H1800*Settings!$B$5</f>
        <v/>
      </c>
      <c r="K1800">
        <f>IF(AND(A1800&lt;&gt;"",C1800&lt;&gt;"",D1800&lt;&gt;"",H1800&gt;0),"✓","⚠ missing")</f>
        <v/>
      </c>
      <c r="L1800" s="44" t="n"/>
      <c r="M1800" s="45" t="n"/>
      <c r="N1800" s="39" t="n"/>
      <c r="O1800" s="46" t="n"/>
    </row>
    <row r="1801">
      <c r="H1801" s="47">
        <f>IF(AND(E1801&lt;&gt;"",F1801&lt;&gt;""), F1801-E1801, IF(G1801&lt;&gt;"", G1801, 0))</f>
        <v/>
      </c>
      <c r="I1801" s="48">
        <f>H1801*Settings!$B$5</f>
        <v/>
      </c>
      <c r="K1801">
        <f>IF(AND(A1801&lt;&gt;"",C1801&lt;&gt;"",D1801&lt;&gt;"",H1801&gt;0),"✓","⚠ missing")</f>
        <v/>
      </c>
      <c r="L1801" s="44" t="n"/>
      <c r="M1801" s="45" t="n"/>
      <c r="N1801" s="39" t="n"/>
      <c r="O1801" s="46" t="n"/>
    </row>
    <row r="1802">
      <c r="H1802" s="47">
        <f>IF(AND(E1802&lt;&gt;"",F1802&lt;&gt;""), F1802-E1802, IF(G1802&lt;&gt;"", G1802, 0))</f>
        <v/>
      </c>
      <c r="I1802" s="48">
        <f>H1802*Settings!$B$5</f>
        <v/>
      </c>
      <c r="K1802">
        <f>IF(AND(A1802&lt;&gt;"",C1802&lt;&gt;"",D1802&lt;&gt;"",H1802&gt;0),"✓","⚠ missing")</f>
        <v/>
      </c>
      <c r="L1802" s="44" t="n"/>
      <c r="M1802" s="45" t="n"/>
      <c r="N1802" s="39" t="n"/>
      <c r="O1802" s="46" t="n"/>
    </row>
    <row r="1803">
      <c r="H1803" s="47">
        <f>IF(AND(E1803&lt;&gt;"",F1803&lt;&gt;""), F1803-E1803, IF(G1803&lt;&gt;"", G1803, 0))</f>
        <v/>
      </c>
      <c r="I1803" s="48">
        <f>H1803*Settings!$B$5</f>
        <v/>
      </c>
      <c r="K1803">
        <f>IF(AND(A1803&lt;&gt;"",C1803&lt;&gt;"",D1803&lt;&gt;"",H1803&gt;0),"✓","⚠ missing")</f>
        <v/>
      </c>
      <c r="L1803" s="44" t="n"/>
      <c r="M1803" s="45" t="n"/>
      <c r="N1803" s="39" t="n"/>
      <c r="O1803" s="46" t="n"/>
    </row>
    <row r="1804">
      <c r="H1804" s="47">
        <f>IF(AND(E1804&lt;&gt;"",F1804&lt;&gt;""), F1804-E1804, IF(G1804&lt;&gt;"", G1804, 0))</f>
        <v/>
      </c>
      <c r="I1804" s="48">
        <f>H1804*Settings!$B$5</f>
        <v/>
      </c>
      <c r="K1804">
        <f>IF(AND(A1804&lt;&gt;"",C1804&lt;&gt;"",D1804&lt;&gt;"",H1804&gt;0),"✓","⚠ missing")</f>
        <v/>
      </c>
      <c r="L1804" s="44" t="n"/>
      <c r="M1804" s="45" t="n"/>
      <c r="N1804" s="39" t="n"/>
      <c r="O1804" s="46" t="n"/>
    </row>
    <row r="1805">
      <c r="H1805" s="47">
        <f>IF(AND(E1805&lt;&gt;"",F1805&lt;&gt;""), F1805-E1805, IF(G1805&lt;&gt;"", G1805, 0))</f>
        <v/>
      </c>
      <c r="I1805" s="48">
        <f>H1805*Settings!$B$5</f>
        <v/>
      </c>
      <c r="K1805">
        <f>IF(AND(A1805&lt;&gt;"",C1805&lt;&gt;"",D1805&lt;&gt;"",H1805&gt;0),"✓","⚠ missing")</f>
        <v/>
      </c>
      <c r="L1805" s="44" t="n"/>
      <c r="M1805" s="45" t="n"/>
      <c r="N1805" s="39" t="n"/>
      <c r="O1805" s="46" t="n"/>
    </row>
    <row r="1806">
      <c r="H1806" s="47">
        <f>IF(AND(E1806&lt;&gt;"",F1806&lt;&gt;""), F1806-E1806, IF(G1806&lt;&gt;"", G1806, 0))</f>
        <v/>
      </c>
      <c r="I1806" s="48">
        <f>H1806*Settings!$B$5</f>
        <v/>
      </c>
      <c r="K1806">
        <f>IF(AND(A1806&lt;&gt;"",C1806&lt;&gt;"",D1806&lt;&gt;"",H1806&gt;0),"✓","⚠ missing")</f>
        <v/>
      </c>
      <c r="L1806" s="44" t="n"/>
      <c r="M1806" s="45" t="n"/>
      <c r="N1806" s="39" t="n"/>
      <c r="O1806" s="46" t="n"/>
    </row>
    <row r="1807">
      <c r="H1807" s="47">
        <f>IF(AND(E1807&lt;&gt;"",F1807&lt;&gt;""), F1807-E1807, IF(G1807&lt;&gt;"", G1807, 0))</f>
        <v/>
      </c>
      <c r="I1807" s="48">
        <f>H1807*Settings!$B$5</f>
        <v/>
      </c>
      <c r="K1807">
        <f>IF(AND(A1807&lt;&gt;"",C1807&lt;&gt;"",D1807&lt;&gt;"",H1807&gt;0),"✓","⚠ missing")</f>
        <v/>
      </c>
      <c r="L1807" s="44" t="n"/>
      <c r="M1807" s="45" t="n"/>
      <c r="N1807" s="39" t="n"/>
      <c r="O1807" s="46" t="n"/>
    </row>
    <row r="1808">
      <c r="H1808" s="47">
        <f>IF(AND(E1808&lt;&gt;"",F1808&lt;&gt;""), F1808-E1808, IF(G1808&lt;&gt;"", G1808, 0))</f>
        <v/>
      </c>
      <c r="I1808" s="48">
        <f>H1808*Settings!$B$5</f>
        <v/>
      </c>
      <c r="K1808">
        <f>IF(AND(A1808&lt;&gt;"",C1808&lt;&gt;"",D1808&lt;&gt;"",H1808&gt;0),"✓","⚠ missing")</f>
        <v/>
      </c>
      <c r="L1808" s="44" t="n"/>
      <c r="M1808" s="45" t="n"/>
      <c r="N1808" s="39" t="n"/>
      <c r="O1808" s="46" t="n"/>
    </row>
    <row r="1809">
      <c r="H1809" s="47">
        <f>IF(AND(E1809&lt;&gt;"",F1809&lt;&gt;""), F1809-E1809, IF(G1809&lt;&gt;"", G1809, 0))</f>
        <v/>
      </c>
      <c r="I1809" s="48">
        <f>H1809*Settings!$B$5</f>
        <v/>
      </c>
      <c r="K1809">
        <f>IF(AND(A1809&lt;&gt;"",C1809&lt;&gt;"",D1809&lt;&gt;"",H1809&gt;0),"✓","⚠ missing")</f>
        <v/>
      </c>
      <c r="L1809" s="44" t="n"/>
      <c r="M1809" s="45" t="n"/>
      <c r="N1809" s="39" t="n"/>
      <c r="O1809" s="46" t="n"/>
    </row>
    <row r="1810">
      <c r="H1810" s="47">
        <f>IF(AND(E1810&lt;&gt;"",F1810&lt;&gt;""), F1810-E1810, IF(G1810&lt;&gt;"", G1810, 0))</f>
        <v/>
      </c>
      <c r="I1810" s="48">
        <f>H1810*Settings!$B$5</f>
        <v/>
      </c>
      <c r="K1810">
        <f>IF(AND(A1810&lt;&gt;"",C1810&lt;&gt;"",D1810&lt;&gt;"",H1810&gt;0),"✓","⚠ missing")</f>
        <v/>
      </c>
      <c r="L1810" s="44" t="n"/>
      <c r="M1810" s="45" t="n"/>
      <c r="N1810" s="39" t="n"/>
      <c r="O1810" s="46" t="n"/>
    </row>
    <row r="1811">
      <c r="H1811" s="47">
        <f>IF(AND(E1811&lt;&gt;"",F1811&lt;&gt;""), F1811-E1811, IF(G1811&lt;&gt;"", G1811, 0))</f>
        <v/>
      </c>
      <c r="I1811" s="48">
        <f>H1811*Settings!$B$5</f>
        <v/>
      </c>
      <c r="K1811">
        <f>IF(AND(A1811&lt;&gt;"",C1811&lt;&gt;"",D1811&lt;&gt;"",H1811&gt;0),"✓","⚠ missing")</f>
        <v/>
      </c>
      <c r="L1811" s="44" t="n"/>
      <c r="M1811" s="45" t="n"/>
      <c r="N1811" s="39" t="n"/>
      <c r="O1811" s="46" t="n"/>
    </row>
    <row r="1812">
      <c r="H1812" s="47">
        <f>IF(AND(E1812&lt;&gt;"",F1812&lt;&gt;""), F1812-E1812, IF(G1812&lt;&gt;"", G1812, 0))</f>
        <v/>
      </c>
      <c r="I1812" s="48">
        <f>H1812*Settings!$B$5</f>
        <v/>
      </c>
      <c r="K1812">
        <f>IF(AND(A1812&lt;&gt;"",C1812&lt;&gt;"",D1812&lt;&gt;"",H1812&gt;0),"✓","⚠ missing")</f>
        <v/>
      </c>
      <c r="L1812" s="44" t="n"/>
      <c r="M1812" s="45" t="n"/>
      <c r="N1812" s="39" t="n"/>
      <c r="O1812" s="46" t="n"/>
    </row>
    <row r="1813">
      <c r="H1813" s="47">
        <f>IF(AND(E1813&lt;&gt;"",F1813&lt;&gt;""), F1813-E1813, IF(G1813&lt;&gt;"", G1813, 0))</f>
        <v/>
      </c>
      <c r="I1813" s="48">
        <f>H1813*Settings!$B$5</f>
        <v/>
      </c>
      <c r="K1813">
        <f>IF(AND(A1813&lt;&gt;"",C1813&lt;&gt;"",D1813&lt;&gt;"",H1813&gt;0),"✓","⚠ missing")</f>
        <v/>
      </c>
      <c r="L1813" s="44" t="n"/>
      <c r="M1813" s="45" t="n"/>
      <c r="N1813" s="39" t="n"/>
      <c r="O1813" s="46" t="n"/>
    </row>
    <row r="1814">
      <c r="H1814" s="47">
        <f>IF(AND(E1814&lt;&gt;"",F1814&lt;&gt;""), F1814-E1814, IF(G1814&lt;&gt;"", G1814, 0))</f>
        <v/>
      </c>
      <c r="I1814" s="48">
        <f>H1814*Settings!$B$5</f>
        <v/>
      </c>
      <c r="K1814">
        <f>IF(AND(A1814&lt;&gt;"",C1814&lt;&gt;"",D1814&lt;&gt;"",H1814&gt;0),"✓","⚠ missing")</f>
        <v/>
      </c>
      <c r="L1814" s="44" t="n"/>
      <c r="M1814" s="45" t="n"/>
      <c r="N1814" s="39" t="n"/>
      <c r="O1814" s="46" t="n"/>
    </row>
    <row r="1815">
      <c r="H1815" s="47">
        <f>IF(AND(E1815&lt;&gt;"",F1815&lt;&gt;""), F1815-E1815, IF(G1815&lt;&gt;"", G1815, 0))</f>
        <v/>
      </c>
      <c r="I1815" s="48">
        <f>H1815*Settings!$B$5</f>
        <v/>
      </c>
      <c r="K1815">
        <f>IF(AND(A1815&lt;&gt;"",C1815&lt;&gt;"",D1815&lt;&gt;"",H1815&gt;0),"✓","⚠ missing")</f>
        <v/>
      </c>
      <c r="L1815" s="44" t="n"/>
      <c r="M1815" s="45" t="n"/>
      <c r="N1815" s="39" t="n"/>
      <c r="O1815" s="46" t="n"/>
    </row>
    <row r="1816">
      <c r="H1816" s="47">
        <f>IF(AND(E1816&lt;&gt;"",F1816&lt;&gt;""), F1816-E1816, IF(G1816&lt;&gt;"", G1816, 0))</f>
        <v/>
      </c>
      <c r="I1816" s="48">
        <f>H1816*Settings!$B$5</f>
        <v/>
      </c>
      <c r="K1816">
        <f>IF(AND(A1816&lt;&gt;"",C1816&lt;&gt;"",D1816&lt;&gt;"",H1816&gt;0),"✓","⚠ missing")</f>
        <v/>
      </c>
      <c r="L1816" s="44" t="n"/>
      <c r="M1816" s="45" t="n"/>
      <c r="N1816" s="39" t="n"/>
      <c r="O1816" s="46" t="n"/>
    </row>
    <row r="1817">
      <c r="H1817" s="47">
        <f>IF(AND(E1817&lt;&gt;"",F1817&lt;&gt;""), F1817-E1817, IF(G1817&lt;&gt;"", G1817, 0))</f>
        <v/>
      </c>
      <c r="I1817" s="48">
        <f>H1817*Settings!$B$5</f>
        <v/>
      </c>
      <c r="K1817">
        <f>IF(AND(A1817&lt;&gt;"",C1817&lt;&gt;"",D1817&lt;&gt;"",H1817&gt;0),"✓","⚠ missing")</f>
        <v/>
      </c>
      <c r="L1817" s="44" t="n"/>
      <c r="M1817" s="45" t="n"/>
      <c r="N1817" s="39" t="n"/>
      <c r="O1817" s="46" t="n"/>
    </row>
    <row r="1818">
      <c r="H1818" s="47">
        <f>IF(AND(E1818&lt;&gt;"",F1818&lt;&gt;""), F1818-E1818, IF(G1818&lt;&gt;"", G1818, 0))</f>
        <v/>
      </c>
      <c r="I1818" s="48">
        <f>H1818*Settings!$B$5</f>
        <v/>
      </c>
      <c r="K1818">
        <f>IF(AND(A1818&lt;&gt;"",C1818&lt;&gt;"",D1818&lt;&gt;"",H1818&gt;0),"✓","⚠ missing")</f>
        <v/>
      </c>
      <c r="L1818" s="44" t="n"/>
      <c r="M1818" s="45" t="n"/>
      <c r="N1818" s="39" t="n"/>
      <c r="O1818" s="46" t="n"/>
    </row>
    <row r="1819">
      <c r="H1819" s="47">
        <f>IF(AND(E1819&lt;&gt;"",F1819&lt;&gt;""), F1819-E1819, IF(G1819&lt;&gt;"", G1819, 0))</f>
        <v/>
      </c>
      <c r="I1819" s="48">
        <f>H1819*Settings!$B$5</f>
        <v/>
      </c>
      <c r="K1819">
        <f>IF(AND(A1819&lt;&gt;"",C1819&lt;&gt;"",D1819&lt;&gt;"",H1819&gt;0),"✓","⚠ missing")</f>
        <v/>
      </c>
      <c r="L1819" s="44" t="n"/>
      <c r="M1819" s="45" t="n"/>
      <c r="N1819" s="39" t="n"/>
      <c r="O1819" s="46" t="n"/>
    </row>
    <row r="1820">
      <c r="H1820" s="47">
        <f>IF(AND(E1820&lt;&gt;"",F1820&lt;&gt;""), F1820-E1820, IF(G1820&lt;&gt;"", G1820, 0))</f>
        <v/>
      </c>
      <c r="I1820" s="48">
        <f>H1820*Settings!$B$5</f>
        <v/>
      </c>
      <c r="K1820">
        <f>IF(AND(A1820&lt;&gt;"",C1820&lt;&gt;"",D1820&lt;&gt;"",H1820&gt;0),"✓","⚠ missing")</f>
        <v/>
      </c>
      <c r="L1820" s="44" t="n"/>
      <c r="M1820" s="45" t="n"/>
      <c r="N1820" s="39" t="n"/>
      <c r="O1820" s="46" t="n"/>
    </row>
    <row r="1821">
      <c r="H1821" s="47">
        <f>IF(AND(E1821&lt;&gt;"",F1821&lt;&gt;""), F1821-E1821, IF(G1821&lt;&gt;"", G1821, 0))</f>
        <v/>
      </c>
      <c r="I1821" s="48">
        <f>H1821*Settings!$B$5</f>
        <v/>
      </c>
      <c r="K1821">
        <f>IF(AND(A1821&lt;&gt;"",C1821&lt;&gt;"",D1821&lt;&gt;"",H1821&gt;0),"✓","⚠ missing")</f>
        <v/>
      </c>
      <c r="L1821" s="44" t="n"/>
      <c r="M1821" s="45" t="n"/>
      <c r="N1821" s="39" t="n"/>
      <c r="O1821" s="46" t="n"/>
    </row>
    <row r="1822">
      <c r="H1822" s="47">
        <f>IF(AND(E1822&lt;&gt;"",F1822&lt;&gt;""), F1822-E1822, IF(G1822&lt;&gt;"", G1822, 0))</f>
        <v/>
      </c>
      <c r="I1822" s="48">
        <f>H1822*Settings!$B$5</f>
        <v/>
      </c>
      <c r="K1822">
        <f>IF(AND(A1822&lt;&gt;"",C1822&lt;&gt;"",D1822&lt;&gt;"",H1822&gt;0),"✓","⚠ missing")</f>
        <v/>
      </c>
      <c r="L1822" s="44" t="n"/>
      <c r="M1822" s="45" t="n"/>
      <c r="N1822" s="39" t="n"/>
      <c r="O1822" s="46" t="n"/>
    </row>
    <row r="1823">
      <c r="H1823" s="47">
        <f>IF(AND(E1823&lt;&gt;"",F1823&lt;&gt;""), F1823-E1823, IF(G1823&lt;&gt;"", G1823, 0))</f>
        <v/>
      </c>
      <c r="I1823" s="48">
        <f>H1823*Settings!$B$5</f>
        <v/>
      </c>
      <c r="K1823">
        <f>IF(AND(A1823&lt;&gt;"",C1823&lt;&gt;"",D1823&lt;&gt;"",H1823&gt;0),"✓","⚠ missing")</f>
        <v/>
      </c>
      <c r="L1823" s="44" t="n"/>
      <c r="M1823" s="45" t="n"/>
      <c r="N1823" s="39" t="n"/>
      <c r="O1823" s="46" t="n"/>
    </row>
    <row r="1824">
      <c r="H1824" s="47">
        <f>IF(AND(E1824&lt;&gt;"",F1824&lt;&gt;""), F1824-E1824, IF(G1824&lt;&gt;"", G1824, 0))</f>
        <v/>
      </c>
      <c r="I1824" s="48">
        <f>H1824*Settings!$B$5</f>
        <v/>
      </c>
      <c r="K1824">
        <f>IF(AND(A1824&lt;&gt;"",C1824&lt;&gt;"",D1824&lt;&gt;"",H1824&gt;0),"✓","⚠ missing")</f>
        <v/>
      </c>
      <c r="L1824" s="44" t="n"/>
      <c r="M1824" s="45" t="n"/>
      <c r="N1824" s="39" t="n"/>
      <c r="O1824" s="46" t="n"/>
    </row>
    <row r="1825">
      <c r="H1825" s="47">
        <f>IF(AND(E1825&lt;&gt;"",F1825&lt;&gt;""), F1825-E1825, IF(G1825&lt;&gt;"", G1825, 0))</f>
        <v/>
      </c>
      <c r="I1825" s="48">
        <f>H1825*Settings!$B$5</f>
        <v/>
      </c>
      <c r="K1825">
        <f>IF(AND(A1825&lt;&gt;"",C1825&lt;&gt;"",D1825&lt;&gt;"",H1825&gt;0),"✓","⚠ missing")</f>
        <v/>
      </c>
      <c r="L1825" s="44" t="n"/>
      <c r="M1825" s="45" t="n"/>
      <c r="N1825" s="39" t="n"/>
      <c r="O1825" s="46" t="n"/>
    </row>
    <row r="1826">
      <c r="H1826" s="47">
        <f>IF(AND(E1826&lt;&gt;"",F1826&lt;&gt;""), F1826-E1826, IF(G1826&lt;&gt;"", G1826, 0))</f>
        <v/>
      </c>
      <c r="I1826" s="48">
        <f>H1826*Settings!$B$5</f>
        <v/>
      </c>
      <c r="K1826">
        <f>IF(AND(A1826&lt;&gt;"",C1826&lt;&gt;"",D1826&lt;&gt;"",H1826&gt;0),"✓","⚠ missing")</f>
        <v/>
      </c>
      <c r="L1826" s="44" t="n"/>
      <c r="M1826" s="45" t="n"/>
      <c r="N1826" s="39" t="n"/>
      <c r="O1826" s="46" t="n"/>
    </row>
    <row r="1827">
      <c r="H1827" s="47">
        <f>IF(AND(E1827&lt;&gt;"",F1827&lt;&gt;""), F1827-E1827, IF(G1827&lt;&gt;"", G1827, 0))</f>
        <v/>
      </c>
      <c r="I1827" s="48">
        <f>H1827*Settings!$B$5</f>
        <v/>
      </c>
      <c r="K1827">
        <f>IF(AND(A1827&lt;&gt;"",C1827&lt;&gt;"",D1827&lt;&gt;"",H1827&gt;0),"✓","⚠ missing")</f>
        <v/>
      </c>
      <c r="L1827" s="44" t="n"/>
      <c r="M1827" s="45" t="n"/>
      <c r="N1827" s="39" t="n"/>
      <c r="O1827" s="46" t="n"/>
    </row>
    <row r="1828">
      <c r="H1828" s="47">
        <f>IF(AND(E1828&lt;&gt;"",F1828&lt;&gt;""), F1828-E1828, IF(G1828&lt;&gt;"", G1828, 0))</f>
        <v/>
      </c>
      <c r="I1828" s="48">
        <f>H1828*Settings!$B$5</f>
        <v/>
      </c>
      <c r="K1828">
        <f>IF(AND(A1828&lt;&gt;"",C1828&lt;&gt;"",D1828&lt;&gt;"",H1828&gt;0),"✓","⚠ missing")</f>
        <v/>
      </c>
      <c r="L1828" s="44" t="n"/>
      <c r="M1828" s="45" t="n"/>
      <c r="N1828" s="39" t="n"/>
      <c r="O1828" s="46" t="n"/>
    </row>
    <row r="1829">
      <c r="H1829" s="47">
        <f>IF(AND(E1829&lt;&gt;"",F1829&lt;&gt;""), F1829-E1829, IF(G1829&lt;&gt;"", G1829, 0))</f>
        <v/>
      </c>
      <c r="I1829" s="48">
        <f>H1829*Settings!$B$5</f>
        <v/>
      </c>
      <c r="K1829">
        <f>IF(AND(A1829&lt;&gt;"",C1829&lt;&gt;"",D1829&lt;&gt;"",H1829&gt;0),"✓","⚠ missing")</f>
        <v/>
      </c>
      <c r="L1829" s="44" t="n"/>
      <c r="M1829" s="45" t="n"/>
      <c r="N1829" s="39" t="n"/>
      <c r="O1829" s="46" t="n"/>
    </row>
    <row r="1830">
      <c r="H1830" s="47">
        <f>IF(AND(E1830&lt;&gt;"",F1830&lt;&gt;""), F1830-E1830, IF(G1830&lt;&gt;"", G1830, 0))</f>
        <v/>
      </c>
      <c r="I1830" s="48">
        <f>H1830*Settings!$B$5</f>
        <v/>
      </c>
      <c r="K1830">
        <f>IF(AND(A1830&lt;&gt;"",C1830&lt;&gt;"",D1830&lt;&gt;"",H1830&gt;0),"✓","⚠ missing")</f>
        <v/>
      </c>
      <c r="L1830" s="44" t="n"/>
      <c r="M1830" s="45" t="n"/>
      <c r="N1830" s="39" t="n"/>
      <c r="O1830" s="46" t="n"/>
    </row>
    <row r="1831">
      <c r="H1831" s="47">
        <f>IF(AND(E1831&lt;&gt;"",F1831&lt;&gt;""), F1831-E1831, IF(G1831&lt;&gt;"", G1831, 0))</f>
        <v/>
      </c>
      <c r="I1831" s="48">
        <f>H1831*Settings!$B$5</f>
        <v/>
      </c>
      <c r="K1831">
        <f>IF(AND(A1831&lt;&gt;"",C1831&lt;&gt;"",D1831&lt;&gt;"",H1831&gt;0),"✓","⚠ missing")</f>
        <v/>
      </c>
      <c r="L1831" s="44" t="n"/>
      <c r="M1831" s="45" t="n"/>
      <c r="N1831" s="39" t="n"/>
      <c r="O1831" s="46" t="n"/>
    </row>
    <row r="1832">
      <c r="H1832" s="47">
        <f>IF(AND(E1832&lt;&gt;"",F1832&lt;&gt;""), F1832-E1832, IF(G1832&lt;&gt;"", G1832, 0))</f>
        <v/>
      </c>
      <c r="I1832" s="48">
        <f>H1832*Settings!$B$5</f>
        <v/>
      </c>
      <c r="K1832">
        <f>IF(AND(A1832&lt;&gt;"",C1832&lt;&gt;"",D1832&lt;&gt;"",H1832&gt;0),"✓","⚠ missing")</f>
        <v/>
      </c>
      <c r="L1832" s="44" t="n"/>
      <c r="M1832" s="45" t="n"/>
      <c r="N1832" s="39" t="n"/>
      <c r="O1832" s="46" t="n"/>
    </row>
    <row r="1833">
      <c r="H1833" s="47">
        <f>IF(AND(E1833&lt;&gt;"",F1833&lt;&gt;""), F1833-E1833, IF(G1833&lt;&gt;"", G1833, 0))</f>
        <v/>
      </c>
      <c r="I1833" s="48">
        <f>H1833*Settings!$B$5</f>
        <v/>
      </c>
      <c r="K1833">
        <f>IF(AND(A1833&lt;&gt;"",C1833&lt;&gt;"",D1833&lt;&gt;"",H1833&gt;0),"✓","⚠ missing")</f>
        <v/>
      </c>
      <c r="L1833" s="44" t="n"/>
      <c r="M1833" s="45" t="n"/>
      <c r="N1833" s="39" t="n"/>
      <c r="O1833" s="46" t="n"/>
    </row>
    <row r="1834">
      <c r="H1834" s="47">
        <f>IF(AND(E1834&lt;&gt;"",F1834&lt;&gt;""), F1834-E1834, IF(G1834&lt;&gt;"", G1834, 0))</f>
        <v/>
      </c>
      <c r="I1834" s="48">
        <f>H1834*Settings!$B$5</f>
        <v/>
      </c>
      <c r="K1834">
        <f>IF(AND(A1834&lt;&gt;"",C1834&lt;&gt;"",D1834&lt;&gt;"",H1834&gt;0),"✓","⚠ missing")</f>
        <v/>
      </c>
      <c r="L1834" s="44" t="n"/>
      <c r="M1834" s="45" t="n"/>
      <c r="N1834" s="39" t="n"/>
      <c r="O1834" s="46" t="n"/>
    </row>
    <row r="1835">
      <c r="H1835" s="47">
        <f>IF(AND(E1835&lt;&gt;"",F1835&lt;&gt;""), F1835-E1835, IF(G1835&lt;&gt;"", G1835, 0))</f>
        <v/>
      </c>
      <c r="I1835" s="48">
        <f>H1835*Settings!$B$5</f>
        <v/>
      </c>
      <c r="K1835">
        <f>IF(AND(A1835&lt;&gt;"",C1835&lt;&gt;"",D1835&lt;&gt;"",H1835&gt;0),"✓","⚠ missing")</f>
        <v/>
      </c>
      <c r="L1835" s="44" t="n"/>
      <c r="M1835" s="45" t="n"/>
      <c r="N1835" s="39" t="n"/>
      <c r="O1835" s="46" t="n"/>
    </row>
    <row r="1836">
      <c r="H1836" s="47">
        <f>IF(AND(E1836&lt;&gt;"",F1836&lt;&gt;""), F1836-E1836, IF(G1836&lt;&gt;"", G1836, 0))</f>
        <v/>
      </c>
      <c r="I1836" s="48">
        <f>H1836*Settings!$B$5</f>
        <v/>
      </c>
      <c r="K1836">
        <f>IF(AND(A1836&lt;&gt;"",C1836&lt;&gt;"",D1836&lt;&gt;"",H1836&gt;0),"✓","⚠ missing")</f>
        <v/>
      </c>
      <c r="L1836" s="44" t="n"/>
      <c r="M1836" s="45" t="n"/>
      <c r="N1836" s="39" t="n"/>
      <c r="O1836" s="46" t="n"/>
    </row>
    <row r="1837">
      <c r="H1837" s="47">
        <f>IF(AND(E1837&lt;&gt;"",F1837&lt;&gt;""), F1837-E1837, IF(G1837&lt;&gt;"", G1837, 0))</f>
        <v/>
      </c>
      <c r="I1837" s="48">
        <f>H1837*Settings!$B$5</f>
        <v/>
      </c>
      <c r="K1837">
        <f>IF(AND(A1837&lt;&gt;"",C1837&lt;&gt;"",D1837&lt;&gt;"",H1837&gt;0),"✓","⚠ missing")</f>
        <v/>
      </c>
      <c r="L1837" s="44" t="n"/>
      <c r="M1837" s="45" t="n"/>
      <c r="N1837" s="39" t="n"/>
      <c r="O1837" s="46" t="n"/>
    </row>
    <row r="1838">
      <c r="H1838" s="47">
        <f>IF(AND(E1838&lt;&gt;"",F1838&lt;&gt;""), F1838-E1838, IF(G1838&lt;&gt;"", G1838, 0))</f>
        <v/>
      </c>
      <c r="I1838" s="48">
        <f>H1838*Settings!$B$5</f>
        <v/>
      </c>
      <c r="K1838">
        <f>IF(AND(A1838&lt;&gt;"",C1838&lt;&gt;"",D1838&lt;&gt;"",H1838&gt;0),"✓","⚠ missing")</f>
        <v/>
      </c>
      <c r="L1838" s="44" t="n"/>
      <c r="M1838" s="45" t="n"/>
      <c r="N1838" s="39" t="n"/>
      <c r="O1838" s="46" t="n"/>
    </row>
    <row r="1839">
      <c r="H1839" s="47">
        <f>IF(AND(E1839&lt;&gt;"",F1839&lt;&gt;""), F1839-E1839, IF(G1839&lt;&gt;"", G1839, 0))</f>
        <v/>
      </c>
      <c r="I1839" s="48">
        <f>H1839*Settings!$B$5</f>
        <v/>
      </c>
      <c r="K1839">
        <f>IF(AND(A1839&lt;&gt;"",C1839&lt;&gt;"",D1839&lt;&gt;"",H1839&gt;0),"✓","⚠ missing")</f>
        <v/>
      </c>
      <c r="L1839" s="44" t="n"/>
      <c r="M1839" s="45" t="n"/>
      <c r="N1839" s="39" t="n"/>
      <c r="O1839" s="46" t="n"/>
    </row>
    <row r="1840">
      <c r="H1840" s="47">
        <f>IF(AND(E1840&lt;&gt;"",F1840&lt;&gt;""), F1840-E1840, IF(G1840&lt;&gt;"", G1840, 0))</f>
        <v/>
      </c>
      <c r="I1840" s="48">
        <f>H1840*Settings!$B$5</f>
        <v/>
      </c>
      <c r="K1840">
        <f>IF(AND(A1840&lt;&gt;"",C1840&lt;&gt;"",D1840&lt;&gt;"",H1840&gt;0),"✓","⚠ missing")</f>
        <v/>
      </c>
      <c r="L1840" s="44" t="n"/>
      <c r="M1840" s="45" t="n"/>
      <c r="N1840" s="39" t="n"/>
      <c r="O1840" s="46" t="n"/>
    </row>
    <row r="1841">
      <c r="H1841" s="47">
        <f>IF(AND(E1841&lt;&gt;"",F1841&lt;&gt;""), F1841-E1841, IF(G1841&lt;&gt;"", G1841, 0))</f>
        <v/>
      </c>
      <c r="I1841" s="48">
        <f>H1841*Settings!$B$5</f>
        <v/>
      </c>
      <c r="K1841">
        <f>IF(AND(A1841&lt;&gt;"",C1841&lt;&gt;"",D1841&lt;&gt;"",H1841&gt;0),"✓","⚠ missing")</f>
        <v/>
      </c>
      <c r="L1841" s="44" t="n"/>
      <c r="M1841" s="45" t="n"/>
      <c r="N1841" s="39" t="n"/>
      <c r="O1841" s="46" t="n"/>
    </row>
    <row r="1842">
      <c r="H1842" s="47">
        <f>IF(AND(E1842&lt;&gt;"",F1842&lt;&gt;""), F1842-E1842, IF(G1842&lt;&gt;"", G1842, 0))</f>
        <v/>
      </c>
      <c r="I1842" s="48">
        <f>H1842*Settings!$B$5</f>
        <v/>
      </c>
      <c r="K1842">
        <f>IF(AND(A1842&lt;&gt;"",C1842&lt;&gt;"",D1842&lt;&gt;"",H1842&gt;0),"✓","⚠ missing")</f>
        <v/>
      </c>
      <c r="L1842" s="44" t="n"/>
      <c r="M1842" s="45" t="n"/>
      <c r="N1842" s="39" t="n"/>
      <c r="O1842" s="46" t="n"/>
    </row>
    <row r="1843">
      <c r="H1843" s="47">
        <f>IF(AND(E1843&lt;&gt;"",F1843&lt;&gt;""), F1843-E1843, IF(G1843&lt;&gt;"", G1843, 0))</f>
        <v/>
      </c>
      <c r="I1843" s="48">
        <f>H1843*Settings!$B$5</f>
        <v/>
      </c>
      <c r="K1843">
        <f>IF(AND(A1843&lt;&gt;"",C1843&lt;&gt;"",D1843&lt;&gt;"",H1843&gt;0),"✓","⚠ missing")</f>
        <v/>
      </c>
      <c r="L1843" s="44" t="n"/>
      <c r="M1843" s="45" t="n"/>
      <c r="N1843" s="39" t="n"/>
      <c r="O1843" s="46" t="n"/>
    </row>
    <row r="1844">
      <c r="H1844" s="47">
        <f>IF(AND(E1844&lt;&gt;"",F1844&lt;&gt;""), F1844-E1844, IF(G1844&lt;&gt;"", G1844, 0))</f>
        <v/>
      </c>
      <c r="I1844" s="48">
        <f>H1844*Settings!$B$5</f>
        <v/>
      </c>
      <c r="K1844">
        <f>IF(AND(A1844&lt;&gt;"",C1844&lt;&gt;"",D1844&lt;&gt;"",H1844&gt;0),"✓","⚠ missing")</f>
        <v/>
      </c>
      <c r="L1844" s="44" t="n"/>
      <c r="M1844" s="45" t="n"/>
      <c r="N1844" s="39" t="n"/>
      <c r="O1844" s="46" t="n"/>
    </row>
    <row r="1845">
      <c r="H1845" s="47">
        <f>IF(AND(E1845&lt;&gt;"",F1845&lt;&gt;""), F1845-E1845, IF(G1845&lt;&gt;"", G1845, 0))</f>
        <v/>
      </c>
      <c r="I1845" s="48">
        <f>H1845*Settings!$B$5</f>
        <v/>
      </c>
      <c r="K1845">
        <f>IF(AND(A1845&lt;&gt;"",C1845&lt;&gt;"",D1845&lt;&gt;"",H1845&gt;0),"✓","⚠ missing")</f>
        <v/>
      </c>
      <c r="L1845" s="44" t="n"/>
      <c r="M1845" s="45" t="n"/>
      <c r="N1845" s="39" t="n"/>
      <c r="O1845" s="46" t="n"/>
    </row>
    <row r="1846">
      <c r="H1846" s="47">
        <f>IF(AND(E1846&lt;&gt;"",F1846&lt;&gt;""), F1846-E1846, IF(G1846&lt;&gt;"", G1846, 0))</f>
        <v/>
      </c>
      <c r="I1846" s="48">
        <f>H1846*Settings!$B$5</f>
        <v/>
      </c>
      <c r="K1846">
        <f>IF(AND(A1846&lt;&gt;"",C1846&lt;&gt;"",D1846&lt;&gt;"",H1846&gt;0),"✓","⚠ missing")</f>
        <v/>
      </c>
      <c r="L1846" s="44" t="n"/>
      <c r="M1846" s="45" t="n"/>
      <c r="N1846" s="39" t="n"/>
      <c r="O1846" s="46" t="n"/>
    </row>
    <row r="1847">
      <c r="H1847" s="47">
        <f>IF(AND(E1847&lt;&gt;"",F1847&lt;&gt;""), F1847-E1847, IF(G1847&lt;&gt;"", G1847, 0))</f>
        <v/>
      </c>
      <c r="I1847" s="48">
        <f>H1847*Settings!$B$5</f>
        <v/>
      </c>
      <c r="K1847">
        <f>IF(AND(A1847&lt;&gt;"",C1847&lt;&gt;"",D1847&lt;&gt;"",H1847&gt;0),"✓","⚠ missing")</f>
        <v/>
      </c>
      <c r="L1847" s="44" t="n"/>
      <c r="M1847" s="45" t="n"/>
      <c r="N1847" s="39" t="n"/>
      <c r="O1847" s="46" t="n"/>
    </row>
    <row r="1848">
      <c r="H1848" s="47">
        <f>IF(AND(E1848&lt;&gt;"",F1848&lt;&gt;""), F1848-E1848, IF(G1848&lt;&gt;"", G1848, 0))</f>
        <v/>
      </c>
      <c r="I1848" s="48">
        <f>H1848*Settings!$B$5</f>
        <v/>
      </c>
      <c r="K1848">
        <f>IF(AND(A1848&lt;&gt;"",C1848&lt;&gt;"",D1848&lt;&gt;"",H1848&gt;0),"✓","⚠ missing")</f>
        <v/>
      </c>
      <c r="L1848" s="44" t="n"/>
      <c r="M1848" s="45" t="n"/>
      <c r="N1848" s="39" t="n"/>
      <c r="O1848" s="46" t="n"/>
    </row>
    <row r="1849">
      <c r="H1849" s="47">
        <f>IF(AND(E1849&lt;&gt;"",F1849&lt;&gt;""), F1849-E1849, IF(G1849&lt;&gt;"", G1849, 0))</f>
        <v/>
      </c>
      <c r="I1849" s="48">
        <f>H1849*Settings!$B$5</f>
        <v/>
      </c>
      <c r="K1849">
        <f>IF(AND(A1849&lt;&gt;"",C1849&lt;&gt;"",D1849&lt;&gt;"",H1849&gt;0),"✓","⚠ missing")</f>
        <v/>
      </c>
      <c r="L1849" s="44" t="n"/>
      <c r="M1849" s="45" t="n"/>
      <c r="N1849" s="39" t="n"/>
      <c r="O1849" s="46" t="n"/>
    </row>
    <row r="1850">
      <c r="H1850" s="47">
        <f>IF(AND(E1850&lt;&gt;"",F1850&lt;&gt;""), F1850-E1850, IF(G1850&lt;&gt;"", G1850, 0))</f>
        <v/>
      </c>
      <c r="I1850" s="48">
        <f>H1850*Settings!$B$5</f>
        <v/>
      </c>
      <c r="K1850">
        <f>IF(AND(A1850&lt;&gt;"",C1850&lt;&gt;"",D1850&lt;&gt;"",H1850&gt;0),"✓","⚠ missing")</f>
        <v/>
      </c>
      <c r="L1850" s="44" t="n"/>
      <c r="M1850" s="45" t="n"/>
      <c r="N1850" s="39" t="n"/>
      <c r="O1850" s="46" t="n"/>
    </row>
    <row r="1851">
      <c r="H1851" s="47">
        <f>IF(AND(E1851&lt;&gt;"",F1851&lt;&gt;""), F1851-E1851, IF(G1851&lt;&gt;"", G1851, 0))</f>
        <v/>
      </c>
      <c r="I1851" s="48">
        <f>H1851*Settings!$B$5</f>
        <v/>
      </c>
      <c r="K1851">
        <f>IF(AND(A1851&lt;&gt;"",C1851&lt;&gt;"",D1851&lt;&gt;"",H1851&gt;0),"✓","⚠ missing")</f>
        <v/>
      </c>
      <c r="L1851" s="44" t="n"/>
      <c r="M1851" s="45" t="n"/>
      <c r="N1851" s="39" t="n"/>
      <c r="O1851" s="46" t="n"/>
    </row>
    <row r="1852">
      <c r="H1852" s="47">
        <f>IF(AND(E1852&lt;&gt;"",F1852&lt;&gt;""), F1852-E1852, IF(G1852&lt;&gt;"", G1852, 0))</f>
        <v/>
      </c>
      <c r="I1852" s="48">
        <f>H1852*Settings!$B$5</f>
        <v/>
      </c>
      <c r="K1852">
        <f>IF(AND(A1852&lt;&gt;"",C1852&lt;&gt;"",D1852&lt;&gt;"",H1852&gt;0),"✓","⚠ missing")</f>
        <v/>
      </c>
      <c r="L1852" s="44" t="n"/>
      <c r="M1852" s="45" t="n"/>
      <c r="N1852" s="39" t="n"/>
      <c r="O1852" s="46" t="n"/>
    </row>
    <row r="1853">
      <c r="H1853" s="47">
        <f>IF(AND(E1853&lt;&gt;"",F1853&lt;&gt;""), F1853-E1853, IF(G1853&lt;&gt;"", G1853, 0))</f>
        <v/>
      </c>
      <c r="I1853" s="48">
        <f>H1853*Settings!$B$5</f>
        <v/>
      </c>
      <c r="K1853">
        <f>IF(AND(A1853&lt;&gt;"",C1853&lt;&gt;"",D1853&lt;&gt;"",H1853&gt;0),"✓","⚠ missing")</f>
        <v/>
      </c>
      <c r="L1853" s="44" t="n"/>
      <c r="M1853" s="45" t="n"/>
      <c r="N1853" s="39" t="n"/>
      <c r="O1853" s="46" t="n"/>
    </row>
    <row r="1854">
      <c r="H1854" s="47">
        <f>IF(AND(E1854&lt;&gt;"",F1854&lt;&gt;""), F1854-E1854, IF(G1854&lt;&gt;"", G1854, 0))</f>
        <v/>
      </c>
      <c r="I1854" s="48">
        <f>H1854*Settings!$B$5</f>
        <v/>
      </c>
      <c r="K1854">
        <f>IF(AND(A1854&lt;&gt;"",C1854&lt;&gt;"",D1854&lt;&gt;"",H1854&gt;0),"✓","⚠ missing")</f>
        <v/>
      </c>
      <c r="L1854" s="44" t="n"/>
      <c r="M1854" s="45" t="n"/>
      <c r="N1854" s="39" t="n"/>
      <c r="O1854" s="46" t="n"/>
    </row>
    <row r="1855">
      <c r="H1855" s="47">
        <f>IF(AND(E1855&lt;&gt;"",F1855&lt;&gt;""), F1855-E1855, IF(G1855&lt;&gt;"", G1855, 0))</f>
        <v/>
      </c>
      <c r="I1855" s="48">
        <f>H1855*Settings!$B$5</f>
        <v/>
      </c>
      <c r="K1855">
        <f>IF(AND(A1855&lt;&gt;"",C1855&lt;&gt;"",D1855&lt;&gt;"",H1855&gt;0),"✓","⚠ missing")</f>
        <v/>
      </c>
      <c r="L1855" s="44" t="n"/>
      <c r="M1855" s="45" t="n"/>
      <c r="N1855" s="39" t="n"/>
      <c r="O1855" s="46" t="n"/>
    </row>
    <row r="1856">
      <c r="H1856" s="47">
        <f>IF(AND(E1856&lt;&gt;"",F1856&lt;&gt;""), F1856-E1856, IF(G1856&lt;&gt;"", G1856, 0))</f>
        <v/>
      </c>
      <c r="I1856" s="48">
        <f>H1856*Settings!$B$5</f>
        <v/>
      </c>
      <c r="K1856">
        <f>IF(AND(A1856&lt;&gt;"",C1856&lt;&gt;"",D1856&lt;&gt;"",H1856&gt;0),"✓","⚠ missing")</f>
        <v/>
      </c>
      <c r="L1856" s="44" t="n"/>
      <c r="M1856" s="45" t="n"/>
      <c r="N1856" s="39" t="n"/>
      <c r="O1856" s="46" t="n"/>
    </row>
    <row r="1857">
      <c r="H1857" s="47">
        <f>IF(AND(E1857&lt;&gt;"",F1857&lt;&gt;""), F1857-E1857, IF(G1857&lt;&gt;"", G1857, 0))</f>
        <v/>
      </c>
      <c r="I1857" s="48">
        <f>H1857*Settings!$B$5</f>
        <v/>
      </c>
      <c r="K1857">
        <f>IF(AND(A1857&lt;&gt;"",C1857&lt;&gt;"",D1857&lt;&gt;"",H1857&gt;0),"✓","⚠ missing")</f>
        <v/>
      </c>
      <c r="L1857" s="44" t="n"/>
      <c r="M1857" s="45" t="n"/>
      <c r="N1857" s="39" t="n"/>
      <c r="O1857" s="46" t="n"/>
    </row>
    <row r="1858">
      <c r="H1858" s="47">
        <f>IF(AND(E1858&lt;&gt;"",F1858&lt;&gt;""), F1858-E1858, IF(G1858&lt;&gt;"", G1858, 0))</f>
        <v/>
      </c>
      <c r="I1858" s="48">
        <f>H1858*Settings!$B$5</f>
        <v/>
      </c>
      <c r="K1858">
        <f>IF(AND(A1858&lt;&gt;"",C1858&lt;&gt;"",D1858&lt;&gt;"",H1858&gt;0),"✓","⚠ missing")</f>
        <v/>
      </c>
      <c r="L1858" s="44" t="n"/>
      <c r="M1858" s="45" t="n"/>
      <c r="N1858" s="39" t="n"/>
      <c r="O1858" s="46" t="n"/>
    </row>
    <row r="1859">
      <c r="H1859" s="47">
        <f>IF(AND(E1859&lt;&gt;"",F1859&lt;&gt;""), F1859-E1859, IF(G1859&lt;&gt;"", G1859, 0))</f>
        <v/>
      </c>
      <c r="I1859" s="48">
        <f>H1859*Settings!$B$5</f>
        <v/>
      </c>
      <c r="K1859">
        <f>IF(AND(A1859&lt;&gt;"",C1859&lt;&gt;"",D1859&lt;&gt;"",H1859&gt;0),"✓","⚠ missing")</f>
        <v/>
      </c>
      <c r="L1859" s="44" t="n"/>
      <c r="M1859" s="45" t="n"/>
      <c r="N1859" s="39" t="n"/>
      <c r="O1859" s="46" t="n"/>
    </row>
    <row r="1860">
      <c r="H1860" s="47">
        <f>IF(AND(E1860&lt;&gt;"",F1860&lt;&gt;""), F1860-E1860, IF(G1860&lt;&gt;"", G1860, 0))</f>
        <v/>
      </c>
      <c r="I1860" s="48">
        <f>H1860*Settings!$B$5</f>
        <v/>
      </c>
      <c r="K1860">
        <f>IF(AND(A1860&lt;&gt;"",C1860&lt;&gt;"",D1860&lt;&gt;"",H1860&gt;0),"✓","⚠ missing")</f>
        <v/>
      </c>
      <c r="L1860" s="44" t="n"/>
      <c r="M1860" s="45" t="n"/>
      <c r="N1860" s="39" t="n"/>
      <c r="O1860" s="46" t="n"/>
    </row>
    <row r="1861">
      <c r="H1861" s="47">
        <f>IF(AND(E1861&lt;&gt;"",F1861&lt;&gt;""), F1861-E1861, IF(G1861&lt;&gt;"", G1861, 0))</f>
        <v/>
      </c>
      <c r="I1861" s="48">
        <f>H1861*Settings!$B$5</f>
        <v/>
      </c>
      <c r="K1861">
        <f>IF(AND(A1861&lt;&gt;"",C1861&lt;&gt;"",D1861&lt;&gt;"",H1861&gt;0),"✓","⚠ missing")</f>
        <v/>
      </c>
      <c r="L1861" s="44" t="n"/>
      <c r="M1861" s="45" t="n"/>
      <c r="N1861" s="39" t="n"/>
      <c r="O1861" s="46" t="n"/>
    </row>
    <row r="1862">
      <c r="H1862" s="47">
        <f>IF(AND(E1862&lt;&gt;"",F1862&lt;&gt;""), F1862-E1862, IF(G1862&lt;&gt;"", G1862, 0))</f>
        <v/>
      </c>
      <c r="I1862" s="48">
        <f>H1862*Settings!$B$5</f>
        <v/>
      </c>
      <c r="K1862">
        <f>IF(AND(A1862&lt;&gt;"",C1862&lt;&gt;"",D1862&lt;&gt;"",H1862&gt;0),"✓","⚠ missing")</f>
        <v/>
      </c>
      <c r="L1862" s="44" t="n"/>
      <c r="M1862" s="45" t="n"/>
      <c r="N1862" s="39" t="n"/>
      <c r="O1862" s="46" t="n"/>
    </row>
    <row r="1863">
      <c r="H1863" s="47">
        <f>IF(AND(E1863&lt;&gt;"",F1863&lt;&gt;""), F1863-E1863, IF(G1863&lt;&gt;"", G1863, 0))</f>
        <v/>
      </c>
      <c r="I1863" s="48">
        <f>H1863*Settings!$B$5</f>
        <v/>
      </c>
      <c r="K1863">
        <f>IF(AND(A1863&lt;&gt;"",C1863&lt;&gt;"",D1863&lt;&gt;"",H1863&gt;0),"✓","⚠ missing")</f>
        <v/>
      </c>
      <c r="L1863" s="44" t="n"/>
      <c r="M1863" s="45" t="n"/>
      <c r="N1863" s="39" t="n"/>
      <c r="O1863" s="46" t="n"/>
    </row>
    <row r="1864">
      <c r="H1864" s="47">
        <f>IF(AND(E1864&lt;&gt;"",F1864&lt;&gt;""), F1864-E1864, IF(G1864&lt;&gt;"", G1864, 0))</f>
        <v/>
      </c>
      <c r="I1864" s="48">
        <f>H1864*Settings!$B$5</f>
        <v/>
      </c>
      <c r="K1864">
        <f>IF(AND(A1864&lt;&gt;"",C1864&lt;&gt;"",D1864&lt;&gt;"",H1864&gt;0),"✓","⚠ missing")</f>
        <v/>
      </c>
      <c r="L1864" s="44" t="n"/>
      <c r="M1864" s="45" t="n"/>
      <c r="N1864" s="39" t="n"/>
      <c r="O1864" s="46" t="n"/>
    </row>
    <row r="1865">
      <c r="H1865" s="47">
        <f>IF(AND(E1865&lt;&gt;"",F1865&lt;&gt;""), F1865-E1865, IF(G1865&lt;&gt;"", G1865, 0))</f>
        <v/>
      </c>
      <c r="I1865" s="48">
        <f>H1865*Settings!$B$5</f>
        <v/>
      </c>
      <c r="K1865">
        <f>IF(AND(A1865&lt;&gt;"",C1865&lt;&gt;"",D1865&lt;&gt;"",H1865&gt;0),"✓","⚠ missing")</f>
        <v/>
      </c>
      <c r="L1865" s="44" t="n"/>
      <c r="M1865" s="45" t="n"/>
      <c r="N1865" s="39" t="n"/>
      <c r="O1865" s="46" t="n"/>
    </row>
    <row r="1866">
      <c r="H1866" s="47">
        <f>IF(AND(E1866&lt;&gt;"",F1866&lt;&gt;""), F1866-E1866, IF(G1866&lt;&gt;"", G1866, 0))</f>
        <v/>
      </c>
      <c r="I1866" s="48">
        <f>H1866*Settings!$B$5</f>
        <v/>
      </c>
      <c r="K1866">
        <f>IF(AND(A1866&lt;&gt;"",C1866&lt;&gt;"",D1866&lt;&gt;"",H1866&gt;0),"✓","⚠ missing")</f>
        <v/>
      </c>
      <c r="L1866" s="44" t="n"/>
      <c r="M1866" s="45" t="n"/>
      <c r="N1866" s="39" t="n"/>
      <c r="O1866" s="46" t="n"/>
    </row>
    <row r="1867">
      <c r="H1867" s="47">
        <f>IF(AND(E1867&lt;&gt;"",F1867&lt;&gt;""), F1867-E1867, IF(G1867&lt;&gt;"", G1867, 0))</f>
        <v/>
      </c>
      <c r="I1867" s="48">
        <f>H1867*Settings!$B$5</f>
        <v/>
      </c>
      <c r="K1867">
        <f>IF(AND(A1867&lt;&gt;"",C1867&lt;&gt;"",D1867&lt;&gt;"",H1867&gt;0),"✓","⚠ missing")</f>
        <v/>
      </c>
      <c r="L1867" s="44" t="n"/>
      <c r="M1867" s="45" t="n"/>
      <c r="N1867" s="39" t="n"/>
      <c r="O1867" s="46" t="n"/>
    </row>
    <row r="1868">
      <c r="H1868" s="47">
        <f>IF(AND(E1868&lt;&gt;"",F1868&lt;&gt;""), F1868-E1868, IF(G1868&lt;&gt;"", G1868, 0))</f>
        <v/>
      </c>
      <c r="I1868" s="48">
        <f>H1868*Settings!$B$5</f>
        <v/>
      </c>
      <c r="K1868">
        <f>IF(AND(A1868&lt;&gt;"",C1868&lt;&gt;"",D1868&lt;&gt;"",H1868&gt;0),"✓","⚠ missing")</f>
        <v/>
      </c>
      <c r="L1868" s="44" t="n"/>
      <c r="M1868" s="45" t="n"/>
      <c r="N1868" s="39" t="n"/>
      <c r="O1868" s="46" t="n"/>
    </row>
    <row r="1869">
      <c r="H1869" s="47">
        <f>IF(AND(E1869&lt;&gt;"",F1869&lt;&gt;""), F1869-E1869, IF(G1869&lt;&gt;"", G1869, 0))</f>
        <v/>
      </c>
      <c r="I1869" s="48">
        <f>H1869*Settings!$B$5</f>
        <v/>
      </c>
      <c r="K1869">
        <f>IF(AND(A1869&lt;&gt;"",C1869&lt;&gt;"",D1869&lt;&gt;"",H1869&gt;0),"✓","⚠ missing")</f>
        <v/>
      </c>
      <c r="L1869" s="44" t="n"/>
      <c r="M1869" s="45" t="n"/>
      <c r="N1869" s="39" t="n"/>
      <c r="O1869" s="46" t="n"/>
    </row>
    <row r="1870">
      <c r="H1870" s="47">
        <f>IF(AND(E1870&lt;&gt;"",F1870&lt;&gt;""), F1870-E1870, IF(G1870&lt;&gt;"", G1870, 0))</f>
        <v/>
      </c>
      <c r="I1870" s="48">
        <f>H1870*Settings!$B$5</f>
        <v/>
      </c>
      <c r="K1870">
        <f>IF(AND(A1870&lt;&gt;"",C1870&lt;&gt;"",D1870&lt;&gt;"",H1870&gt;0),"✓","⚠ missing")</f>
        <v/>
      </c>
      <c r="L1870" s="44" t="n"/>
      <c r="M1870" s="45" t="n"/>
      <c r="N1870" s="39" t="n"/>
      <c r="O1870" s="46" t="n"/>
    </row>
    <row r="1871">
      <c r="H1871" s="47">
        <f>IF(AND(E1871&lt;&gt;"",F1871&lt;&gt;""), F1871-E1871, IF(G1871&lt;&gt;"", G1871, 0))</f>
        <v/>
      </c>
      <c r="I1871" s="48">
        <f>H1871*Settings!$B$5</f>
        <v/>
      </c>
      <c r="K1871">
        <f>IF(AND(A1871&lt;&gt;"",C1871&lt;&gt;"",D1871&lt;&gt;"",H1871&gt;0),"✓","⚠ missing")</f>
        <v/>
      </c>
      <c r="L1871" s="44" t="n"/>
      <c r="M1871" s="45" t="n"/>
      <c r="N1871" s="39" t="n"/>
      <c r="O1871" s="46" t="n"/>
    </row>
    <row r="1872">
      <c r="H1872" s="47">
        <f>IF(AND(E1872&lt;&gt;"",F1872&lt;&gt;""), F1872-E1872, IF(G1872&lt;&gt;"", G1872, 0))</f>
        <v/>
      </c>
      <c r="I1872" s="48">
        <f>H1872*Settings!$B$5</f>
        <v/>
      </c>
      <c r="K1872">
        <f>IF(AND(A1872&lt;&gt;"",C1872&lt;&gt;"",D1872&lt;&gt;"",H1872&gt;0),"✓","⚠ missing")</f>
        <v/>
      </c>
      <c r="L1872" s="44" t="n"/>
      <c r="M1872" s="45" t="n"/>
      <c r="N1872" s="39" t="n"/>
      <c r="O1872" s="46" t="n"/>
    </row>
    <row r="1873">
      <c r="H1873" s="47">
        <f>IF(AND(E1873&lt;&gt;"",F1873&lt;&gt;""), F1873-E1873, IF(G1873&lt;&gt;"", G1873, 0))</f>
        <v/>
      </c>
      <c r="I1873" s="48">
        <f>H1873*Settings!$B$5</f>
        <v/>
      </c>
      <c r="K1873">
        <f>IF(AND(A1873&lt;&gt;"",C1873&lt;&gt;"",D1873&lt;&gt;"",H1873&gt;0),"✓","⚠ missing")</f>
        <v/>
      </c>
      <c r="L1873" s="44" t="n"/>
      <c r="M1873" s="45" t="n"/>
      <c r="N1873" s="39" t="n"/>
      <c r="O1873" s="46" t="n"/>
    </row>
    <row r="1874">
      <c r="H1874" s="47">
        <f>IF(AND(E1874&lt;&gt;"",F1874&lt;&gt;""), F1874-E1874, IF(G1874&lt;&gt;"", G1874, 0))</f>
        <v/>
      </c>
      <c r="I1874" s="48">
        <f>H1874*Settings!$B$5</f>
        <v/>
      </c>
      <c r="K1874">
        <f>IF(AND(A1874&lt;&gt;"",C1874&lt;&gt;"",D1874&lt;&gt;"",H1874&gt;0),"✓","⚠ missing")</f>
        <v/>
      </c>
      <c r="L1874" s="44" t="n"/>
      <c r="M1874" s="45" t="n"/>
      <c r="N1874" s="39" t="n"/>
      <c r="O1874" s="46" t="n"/>
    </row>
    <row r="1875">
      <c r="H1875" s="47">
        <f>IF(AND(E1875&lt;&gt;"",F1875&lt;&gt;""), F1875-E1875, IF(G1875&lt;&gt;"", G1875, 0))</f>
        <v/>
      </c>
      <c r="I1875" s="48">
        <f>H1875*Settings!$B$5</f>
        <v/>
      </c>
      <c r="K1875">
        <f>IF(AND(A1875&lt;&gt;"",C1875&lt;&gt;"",D1875&lt;&gt;"",H1875&gt;0),"✓","⚠ missing")</f>
        <v/>
      </c>
      <c r="L1875" s="44" t="n"/>
      <c r="M1875" s="45" t="n"/>
      <c r="N1875" s="39" t="n"/>
      <c r="O1875" s="46" t="n"/>
    </row>
    <row r="1876">
      <c r="H1876" s="47">
        <f>IF(AND(E1876&lt;&gt;"",F1876&lt;&gt;""), F1876-E1876, IF(G1876&lt;&gt;"", G1876, 0))</f>
        <v/>
      </c>
      <c r="I1876" s="48">
        <f>H1876*Settings!$B$5</f>
        <v/>
      </c>
      <c r="K1876">
        <f>IF(AND(A1876&lt;&gt;"",C1876&lt;&gt;"",D1876&lt;&gt;"",H1876&gt;0),"✓","⚠ missing")</f>
        <v/>
      </c>
      <c r="L1876" s="44" t="n"/>
      <c r="M1876" s="45" t="n"/>
      <c r="N1876" s="39" t="n"/>
      <c r="O1876" s="46" t="n"/>
    </row>
    <row r="1877">
      <c r="H1877" s="47">
        <f>IF(AND(E1877&lt;&gt;"",F1877&lt;&gt;""), F1877-E1877, IF(G1877&lt;&gt;"", G1877, 0))</f>
        <v/>
      </c>
      <c r="I1877" s="48">
        <f>H1877*Settings!$B$5</f>
        <v/>
      </c>
      <c r="K1877">
        <f>IF(AND(A1877&lt;&gt;"",C1877&lt;&gt;"",D1877&lt;&gt;"",H1877&gt;0),"✓","⚠ missing")</f>
        <v/>
      </c>
      <c r="L1877" s="44" t="n"/>
      <c r="M1877" s="45" t="n"/>
      <c r="N1877" s="39" t="n"/>
      <c r="O1877" s="46" t="n"/>
    </row>
    <row r="1878">
      <c r="H1878" s="47">
        <f>IF(AND(E1878&lt;&gt;"",F1878&lt;&gt;""), F1878-E1878, IF(G1878&lt;&gt;"", G1878, 0))</f>
        <v/>
      </c>
      <c r="I1878" s="48">
        <f>H1878*Settings!$B$5</f>
        <v/>
      </c>
      <c r="K1878">
        <f>IF(AND(A1878&lt;&gt;"",C1878&lt;&gt;"",D1878&lt;&gt;"",H1878&gt;0),"✓","⚠ missing")</f>
        <v/>
      </c>
      <c r="L1878" s="44" t="n"/>
      <c r="M1878" s="45" t="n"/>
      <c r="N1878" s="39" t="n"/>
      <c r="O1878" s="46" t="n"/>
    </row>
    <row r="1879">
      <c r="H1879" s="47">
        <f>IF(AND(E1879&lt;&gt;"",F1879&lt;&gt;""), F1879-E1879, IF(G1879&lt;&gt;"", G1879, 0))</f>
        <v/>
      </c>
      <c r="I1879" s="48">
        <f>H1879*Settings!$B$5</f>
        <v/>
      </c>
      <c r="K1879">
        <f>IF(AND(A1879&lt;&gt;"",C1879&lt;&gt;"",D1879&lt;&gt;"",H1879&gt;0),"✓","⚠ missing")</f>
        <v/>
      </c>
      <c r="L1879" s="44" t="n"/>
      <c r="M1879" s="45" t="n"/>
      <c r="N1879" s="39" t="n"/>
      <c r="O1879" s="46" t="n"/>
    </row>
    <row r="1880">
      <c r="H1880" s="47">
        <f>IF(AND(E1880&lt;&gt;"",F1880&lt;&gt;""), F1880-E1880, IF(G1880&lt;&gt;"", G1880, 0))</f>
        <v/>
      </c>
      <c r="I1880" s="48">
        <f>H1880*Settings!$B$5</f>
        <v/>
      </c>
      <c r="K1880">
        <f>IF(AND(A1880&lt;&gt;"",C1880&lt;&gt;"",D1880&lt;&gt;"",H1880&gt;0),"✓","⚠ missing")</f>
        <v/>
      </c>
      <c r="L1880" s="44" t="n"/>
      <c r="M1880" s="45" t="n"/>
      <c r="N1880" s="39" t="n"/>
      <c r="O1880" s="46" t="n"/>
    </row>
    <row r="1881">
      <c r="H1881" s="47">
        <f>IF(AND(E1881&lt;&gt;"",F1881&lt;&gt;""), F1881-E1881, IF(G1881&lt;&gt;"", G1881, 0))</f>
        <v/>
      </c>
      <c r="I1881" s="48">
        <f>H1881*Settings!$B$5</f>
        <v/>
      </c>
      <c r="K1881">
        <f>IF(AND(A1881&lt;&gt;"",C1881&lt;&gt;"",D1881&lt;&gt;"",H1881&gt;0),"✓","⚠ missing")</f>
        <v/>
      </c>
      <c r="L1881" s="44" t="n"/>
      <c r="M1881" s="45" t="n"/>
      <c r="N1881" s="39" t="n"/>
      <c r="O1881" s="46" t="n"/>
    </row>
    <row r="1882">
      <c r="H1882" s="47">
        <f>IF(AND(E1882&lt;&gt;"",F1882&lt;&gt;""), F1882-E1882, IF(G1882&lt;&gt;"", G1882, 0))</f>
        <v/>
      </c>
      <c r="I1882" s="48">
        <f>H1882*Settings!$B$5</f>
        <v/>
      </c>
      <c r="K1882">
        <f>IF(AND(A1882&lt;&gt;"",C1882&lt;&gt;"",D1882&lt;&gt;"",H1882&gt;0),"✓","⚠ missing")</f>
        <v/>
      </c>
      <c r="L1882" s="44" t="n"/>
      <c r="M1882" s="45" t="n"/>
      <c r="N1882" s="39" t="n"/>
      <c r="O1882" s="46" t="n"/>
    </row>
    <row r="1883">
      <c r="H1883" s="47">
        <f>IF(AND(E1883&lt;&gt;"",F1883&lt;&gt;""), F1883-E1883, IF(G1883&lt;&gt;"", G1883, 0))</f>
        <v/>
      </c>
      <c r="I1883" s="48">
        <f>H1883*Settings!$B$5</f>
        <v/>
      </c>
      <c r="K1883">
        <f>IF(AND(A1883&lt;&gt;"",C1883&lt;&gt;"",D1883&lt;&gt;"",H1883&gt;0),"✓","⚠ missing")</f>
        <v/>
      </c>
      <c r="L1883" s="44" t="n"/>
      <c r="M1883" s="45" t="n"/>
      <c r="N1883" s="39" t="n"/>
      <c r="O1883" s="46" t="n"/>
    </row>
    <row r="1884">
      <c r="H1884" s="47">
        <f>IF(AND(E1884&lt;&gt;"",F1884&lt;&gt;""), F1884-E1884, IF(G1884&lt;&gt;"", G1884, 0))</f>
        <v/>
      </c>
      <c r="I1884" s="48">
        <f>H1884*Settings!$B$5</f>
        <v/>
      </c>
      <c r="K1884">
        <f>IF(AND(A1884&lt;&gt;"",C1884&lt;&gt;"",D1884&lt;&gt;"",H1884&gt;0),"✓","⚠ missing")</f>
        <v/>
      </c>
      <c r="L1884" s="44" t="n"/>
      <c r="M1884" s="45" t="n"/>
      <c r="N1884" s="39" t="n"/>
      <c r="O1884" s="46" t="n"/>
    </row>
    <row r="1885">
      <c r="H1885" s="47">
        <f>IF(AND(E1885&lt;&gt;"",F1885&lt;&gt;""), F1885-E1885, IF(G1885&lt;&gt;"", G1885, 0))</f>
        <v/>
      </c>
      <c r="I1885" s="48">
        <f>H1885*Settings!$B$5</f>
        <v/>
      </c>
      <c r="K1885">
        <f>IF(AND(A1885&lt;&gt;"",C1885&lt;&gt;"",D1885&lt;&gt;"",H1885&gt;0),"✓","⚠ missing")</f>
        <v/>
      </c>
      <c r="L1885" s="44" t="n"/>
      <c r="M1885" s="45" t="n"/>
      <c r="N1885" s="39" t="n"/>
      <c r="O1885" s="46" t="n"/>
    </row>
    <row r="1886">
      <c r="H1886" s="47">
        <f>IF(AND(E1886&lt;&gt;"",F1886&lt;&gt;""), F1886-E1886, IF(G1886&lt;&gt;"", G1886, 0))</f>
        <v/>
      </c>
      <c r="I1886" s="48">
        <f>H1886*Settings!$B$5</f>
        <v/>
      </c>
      <c r="K1886">
        <f>IF(AND(A1886&lt;&gt;"",C1886&lt;&gt;"",D1886&lt;&gt;"",H1886&gt;0),"✓","⚠ missing")</f>
        <v/>
      </c>
      <c r="L1886" s="44" t="n"/>
      <c r="M1886" s="45" t="n"/>
      <c r="N1886" s="39" t="n"/>
      <c r="O1886" s="46" t="n"/>
    </row>
    <row r="1887">
      <c r="H1887" s="47">
        <f>IF(AND(E1887&lt;&gt;"",F1887&lt;&gt;""), F1887-E1887, IF(G1887&lt;&gt;"", G1887, 0))</f>
        <v/>
      </c>
      <c r="I1887" s="48">
        <f>H1887*Settings!$B$5</f>
        <v/>
      </c>
      <c r="K1887">
        <f>IF(AND(A1887&lt;&gt;"",C1887&lt;&gt;"",D1887&lt;&gt;"",H1887&gt;0),"✓","⚠ missing")</f>
        <v/>
      </c>
      <c r="L1887" s="44" t="n"/>
      <c r="M1887" s="45" t="n"/>
      <c r="N1887" s="39" t="n"/>
      <c r="O1887" s="46" t="n"/>
    </row>
    <row r="1888">
      <c r="H1888" s="47">
        <f>IF(AND(E1888&lt;&gt;"",F1888&lt;&gt;""), F1888-E1888, IF(G1888&lt;&gt;"", G1888, 0))</f>
        <v/>
      </c>
      <c r="I1888" s="48">
        <f>H1888*Settings!$B$5</f>
        <v/>
      </c>
      <c r="K1888">
        <f>IF(AND(A1888&lt;&gt;"",C1888&lt;&gt;"",D1888&lt;&gt;"",H1888&gt;0),"✓","⚠ missing")</f>
        <v/>
      </c>
      <c r="L1888" s="44" t="n"/>
      <c r="M1888" s="45" t="n"/>
      <c r="N1888" s="39" t="n"/>
      <c r="O1888" s="46" t="n"/>
    </row>
    <row r="1889">
      <c r="H1889" s="47">
        <f>IF(AND(E1889&lt;&gt;"",F1889&lt;&gt;""), F1889-E1889, IF(G1889&lt;&gt;"", G1889, 0))</f>
        <v/>
      </c>
      <c r="I1889" s="48">
        <f>H1889*Settings!$B$5</f>
        <v/>
      </c>
      <c r="K1889">
        <f>IF(AND(A1889&lt;&gt;"",C1889&lt;&gt;"",D1889&lt;&gt;"",H1889&gt;0),"✓","⚠ missing")</f>
        <v/>
      </c>
      <c r="L1889" s="44" t="n"/>
      <c r="M1889" s="45" t="n"/>
      <c r="N1889" s="39" t="n"/>
      <c r="O1889" s="46" t="n"/>
    </row>
    <row r="1890">
      <c r="H1890" s="47">
        <f>IF(AND(E1890&lt;&gt;"",F1890&lt;&gt;""), F1890-E1890, IF(G1890&lt;&gt;"", G1890, 0))</f>
        <v/>
      </c>
      <c r="I1890" s="48">
        <f>H1890*Settings!$B$5</f>
        <v/>
      </c>
      <c r="K1890">
        <f>IF(AND(A1890&lt;&gt;"",C1890&lt;&gt;"",D1890&lt;&gt;"",H1890&gt;0),"✓","⚠ missing")</f>
        <v/>
      </c>
      <c r="L1890" s="44" t="n"/>
      <c r="M1890" s="45" t="n"/>
      <c r="N1890" s="39" t="n"/>
      <c r="O1890" s="46" t="n"/>
    </row>
    <row r="1891">
      <c r="H1891" s="47">
        <f>IF(AND(E1891&lt;&gt;"",F1891&lt;&gt;""), F1891-E1891, IF(G1891&lt;&gt;"", G1891, 0))</f>
        <v/>
      </c>
      <c r="I1891" s="48">
        <f>H1891*Settings!$B$5</f>
        <v/>
      </c>
      <c r="K1891">
        <f>IF(AND(A1891&lt;&gt;"",C1891&lt;&gt;"",D1891&lt;&gt;"",H1891&gt;0),"✓","⚠ missing")</f>
        <v/>
      </c>
      <c r="L1891" s="44" t="n"/>
      <c r="M1891" s="45" t="n"/>
      <c r="N1891" s="39" t="n"/>
      <c r="O1891" s="46" t="n"/>
    </row>
    <row r="1892">
      <c r="H1892" s="47">
        <f>IF(AND(E1892&lt;&gt;"",F1892&lt;&gt;""), F1892-E1892, IF(G1892&lt;&gt;"", G1892, 0))</f>
        <v/>
      </c>
      <c r="I1892" s="48">
        <f>H1892*Settings!$B$5</f>
        <v/>
      </c>
      <c r="K1892">
        <f>IF(AND(A1892&lt;&gt;"",C1892&lt;&gt;"",D1892&lt;&gt;"",H1892&gt;0),"✓","⚠ missing")</f>
        <v/>
      </c>
      <c r="L1892" s="44" t="n"/>
      <c r="M1892" s="45" t="n"/>
      <c r="N1892" s="39" t="n"/>
      <c r="O1892" s="46" t="n"/>
    </row>
    <row r="1893">
      <c r="H1893" s="47">
        <f>IF(AND(E1893&lt;&gt;"",F1893&lt;&gt;""), F1893-E1893, IF(G1893&lt;&gt;"", G1893, 0))</f>
        <v/>
      </c>
      <c r="I1893" s="48">
        <f>H1893*Settings!$B$5</f>
        <v/>
      </c>
      <c r="K1893">
        <f>IF(AND(A1893&lt;&gt;"",C1893&lt;&gt;"",D1893&lt;&gt;"",H1893&gt;0),"✓","⚠ missing")</f>
        <v/>
      </c>
      <c r="L1893" s="44" t="n"/>
      <c r="M1893" s="45" t="n"/>
      <c r="N1893" s="39" t="n"/>
      <c r="O1893" s="46" t="n"/>
    </row>
    <row r="1894">
      <c r="H1894" s="47">
        <f>IF(AND(E1894&lt;&gt;"",F1894&lt;&gt;""), F1894-E1894, IF(G1894&lt;&gt;"", G1894, 0))</f>
        <v/>
      </c>
      <c r="I1894" s="48">
        <f>H1894*Settings!$B$5</f>
        <v/>
      </c>
      <c r="K1894">
        <f>IF(AND(A1894&lt;&gt;"",C1894&lt;&gt;"",D1894&lt;&gt;"",H1894&gt;0),"✓","⚠ missing")</f>
        <v/>
      </c>
      <c r="L1894" s="44" t="n"/>
      <c r="M1894" s="45" t="n"/>
      <c r="N1894" s="39" t="n"/>
      <c r="O1894" s="46" t="n"/>
    </row>
    <row r="1895">
      <c r="H1895" s="47">
        <f>IF(AND(E1895&lt;&gt;"",F1895&lt;&gt;""), F1895-E1895, IF(G1895&lt;&gt;"", G1895, 0))</f>
        <v/>
      </c>
      <c r="I1895" s="48">
        <f>H1895*Settings!$B$5</f>
        <v/>
      </c>
      <c r="K1895">
        <f>IF(AND(A1895&lt;&gt;"",C1895&lt;&gt;"",D1895&lt;&gt;"",H1895&gt;0),"✓","⚠ missing")</f>
        <v/>
      </c>
      <c r="L1895" s="44" t="n"/>
      <c r="M1895" s="45" t="n"/>
      <c r="N1895" s="39" t="n"/>
      <c r="O1895" s="46" t="n"/>
    </row>
    <row r="1896">
      <c r="H1896" s="47">
        <f>IF(AND(E1896&lt;&gt;"",F1896&lt;&gt;""), F1896-E1896, IF(G1896&lt;&gt;"", G1896, 0))</f>
        <v/>
      </c>
      <c r="I1896" s="48">
        <f>H1896*Settings!$B$5</f>
        <v/>
      </c>
      <c r="K1896">
        <f>IF(AND(A1896&lt;&gt;"",C1896&lt;&gt;"",D1896&lt;&gt;"",H1896&gt;0),"✓","⚠ missing")</f>
        <v/>
      </c>
      <c r="L1896" s="44" t="n"/>
      <c r="M1896" s="45" t="n"/>
      <c r="N1896" s="39" t="n"/>
      <c r="O1896" s="46" t="n"/>
    </row>
    <row r="1897">
      <c r="H1897" s="47">
        <f>IF(AND(E1897&lt;&gt;"",F1897&lt;&gt;""), F1897-E1897, IF(G1897&lt;&gt;"", G1897, 0))</f>
        <v/>
      </c>
      <c r="I1897" s="48">
        <f>H1897*Settings!$B$5</f>
        <v/>
      </c>
      <c r="K1897">
        <f>IF(AND(A1897&lt;&gt;"",C1897&lt;&gt;"",D1897&lt;&gt;"",H1897&gt;0),"✓","⚠ missing")</f>
        <v/>
      </c>
      <c r="L1897" s="44" t="n"/>
      <c r="M1897" s="45" t="n"/>
      <c r="N1897" s="39" t="n"/>
      <c r="O1897" s="46" t="n"/>
    </row>
    <row r="1898">
      <c r="H1898" s="47">
        <f>IF(AND(E1898&lt;&gt;"",F1898&lt;&gt;""), F1898-E1898, IF(G1898&lt;&gt;"", G1898, 0))</f>
        <v/>
      </c>
      <c r="I1898" s="48">
        <f>H1898*Settings!$B$5</f>
        <v/>
      </c>
      <c r="K1898">
        <f>IF(AND(A1898&lt;&gt;"",C1898&lt;&gt;"",D1898&lt;&gt;"",H1898&gt;0),"✓","⚠ missing")</f>
        <v/>
      </c>
      <c r="L1898" s="44" t="n"/>
      <c r="M1898" s="45" t="n"/>
      <c r="N1898" s="39" t="n"/>
      <c r="O1898" s="46" t="n"/>
    </row>
    <row r="1899">
      <c r="H1899" s="47">
        <f>IF(AND(E1899&lt;&gt;"",F1899&lt;&gt;""), F1899-E1899, IF(G1899&lt;&gt;"", G1899, 0))</f>
        <v/>
      </c>
      <c r="I1899" s="48">
        <f>H1899*Settings!$B$5</f>
        <v/>
      </c>
      <c r="K1899">
        <f>IF(AND(A1899&lt;&gt;"",C1899&lt;&gt;"",D1899&lt;&gt;"",H1899&gt;0),"✓","⚠ missing")</f>
        <v/>
      </c>
      <c r="L1899" s="44" t="n"/>
      <c r="M1899" s="45" t="n"/>
      <c r="N1899" s="39" t="n"/>
      <c r="O1899" s="46" t="n"/>
    </row>
    <row r="1900">
      <c r="H1900" s="47">
        <f>IF(AND(E1900&lt;&gt;"",F1900&lt;&gt;""), F1900-E1900, IF(G1900&lt;&gt;"", G1900, 0))</f>
        <v/>
      </c>
      <c r="I1900" s="48">
        <f>H1900*Settings!$B$5</f>
        <v/>
      </c>
      <c r="K1900">
        <f>IF(AND(A1900&lt;&gt;"",C1900&lt;&gt;"",D1900&lt;&gt;"",H1900&gt;0),"✓","⚠ missing")</f>
        <v/>
      </c>
      <c r="L1900" s="44" t="n"/>
      <c r="M1900" s="45" t="n"/>
      <c r="N1900" s="39" t="n"/>
      <c r="O1900" s="46" t="n"/>
    </row>
    <row r="1901">
      <c r="H1901" s="47">
        <f>IF(AND(E1901&lt;&gt;"",F1901&lt;&gt;""), F1901-E1901, IF(G1901&lt;&gt;"", G1901, 0))</f>
        <v/>
      </c>
      <c r="I1901" s="48">
        <f>H1901*Settings!$B$5</f>
        <v/>
      </c>
      <c r="K1901">
        <f>IF(AND(A1901&lt;&gt;"",C1901&lt;&gt;"",D1901&lt;&gt;"",H1901&gt;0),"✓","⚠ missing")</f>
        <v/>
      </c>
      <c r="L1901" s="44" t="n"/>
      <c r="M1901" s="45" t="n"/>
      <c r="N1901" s="39" t="n"/>
      <c r="O1901" s="46" t="n"/>
    </row>
    <row r="1902">
      <c r="H1902" s="47">
        <f>IF(AND(E1902&lt;&gt;"",F1902&lt;&gt;""), F1902-E1902, IF(G1902&lt;&gt;"", G1902, 0))</f>
        <v/>
      </c>
      <c r="I1902" s="48">
        <f>H1902*Settings!$B$5</f>
        <v/>
      </c>
      <c r="K1902">
        <f>IF(AND(A1902&lt;&gt;"",C1902&lt;&gt;"",D1902&lt;&gt;"",H1902&gt;0),"✓","⚠ missing")</f>
        <v/>
      </c>
      <c r="L1902" s="44" t="n"/>
      <c r="M1902" s="45" t="n"/>
      <c r="N1902" s="39" t="n"/>
      <c r="O1902" s="46" t="n"/>
    </row>
    <row r="1903">
      <c r="H1903" s="47">
        <f>IF(AND(E1903&lt;&gt;"",F1903&lt;&gt;""), F1903-E1903, IF(G1903&lt;&gt;"", G1903, 0))</f>
        <v/>
      </c>
      <c r="I1903" s="48">
        <f>H1903*Settings!$B$5</f>
        <v/>
      </c>
      <c r="K1903">
        <f>IF(AND(A1903&lt;&gt;"",C1903&lt;&gt;"",D1903&lt;&gt;"",H1903&gt;0),"✓","⚠ missing")</f>
        <v/>
      </c>
      <c r="L1903" s="44" t="n"/>
      <c r="M1903" s="45" t="n"/>
      <c r="N1903" s="39" t="n"/>
      <c r="O1903" s="46" t="n"/>
    </row>
    <row r="1904">
      <c r="H1904" s="47">
        <f>IF(AND(E1904&lt;&gt;"",F1904&lt;&gt;""), F1904-E1904, IF(G1904&lt;&gt;"", G1904, 0))</f>
        <v/>
      </c>
      <c r="I1904" s="48">
        <f>H1904*Settings!$B$5</f>
        <v/>
      </c>
      <c r="K1904">
        <f>IF(AND(A1904&lt;&gt;"",C1904&lt;&gt;"",D1904&lt;&gt;"",H1904&gt;0),"✓","⚠ missing")</f>
        <v/>
      </c>
      <c r="L1904" s="44" t="n"/>
      <c r="M1904" s="45" t="n"/>
      <c r="N1904" s="39" t="n"/>
      <c r="O1904" s="46" t="n"/>
    </row>
    <row r="1905">
      <c r="H1905" s="47">
        <f>IF(AND(E1905&lt;&gt;"",F1905&lt;&gt;""), F1905-E1905, IF(G1905&lt;&gt;"", G1905, 0))</f>
        <v/>
      </c>
      <c r="I1905" s="48">
        <f>H1905*Settings!$B$5</f>
        <v/>
      </c>
      <c r="K1905">
        <f>IF(AND(A1905&lt;&gt;"",C1905&lt;&gt;"",D1905&lt;&gt;"",H1905&gt;0),"✓","⚠ missing")</f>
        <v/>
      </c>
      <c r="L1905" s="44" t="n"/>
      <c r="M1905" s="45" t="n"/>
      <c r="N1905" s="39" t="n"/>
      <c r="O1905" s="46" t="n"/>
    </row>
    <row r="1906">
      <c r="H1906" s="47">
        <f>IF(AND(E1906&lt;&gt;"",F1906&lt;&gt;""), F1906-E1906, IF(G1906&lt;&gt;"", G1906, 0))</f>
        <v/>
      </c>
      <c r="I1906" s="48">
        <f>H1906*Settings!$B$5</f>
        <v/>
      </c>
      <c r="K1906">
        <f>IF(AND(A1906&lt;&gt;"",C1906&lt;&gt;"",D1906&lt;&gt;"",H1906&gt;0),"✓","⚠ missing")</f>
        <v/>
      </c>
      <c r="L1906" s="44" t="n"/>
      <c r="M1906" s="45" t="n"/>
      <c r="N1906" s="39" t="n"/>
      <c r="O1906" s="46" t="n"/>
    </row>
    <row r="1907">
      <c r="H1907" s="47">
        <f>IF(AND(E1907&lt;&gt;"",F1907&lt;&gt;""), F1907-E1907, IF(G1907&lt;&gt;"", G1907, 0))</f>
        <v/>
      </c>
      <c r="I1907" s="48">
        <f>H1907*Settings!$B$5</f>
        <v/>
      </c>
      <c r="K1907">
        <f>IF(AND(A1907&lt;&gt;"",C1907&lt;&gt;"",D1907&lt;&gt;"",H1907&gt;0),"✓","⚠ missing")</f>
        <v/>
      </c>
      <c r="L1907" s="44" t="n"/>
      <c r="M1907" s="45" t="n"/>
      <c r="N1907" s="39" t="n"/>
      <c r="O1907" s="46" t="n"/>
    </row>
    <row r="1908">
      <c r="H1908" s="47">
        <f>IF(AND(E1908&lt;&gt;"",F1908&lt;&gt;""), F1908-E1908, IF(G1908&lt;&gt;"", G1908, 0))</f>
        <v/>
      </c>
      <c r="I1908" s="48">
        <f>H1908*Settings!$B$5</f>
        <v/>
      </c>
      <c r="K1908">
        <f>IF(AND(A1908&lt;&gt;"",C1908&lt;&gt;"",D1908&lt;&gt;"",H1908&gt;0),"✓","⚠ missing")</f>
        <v/>
      </c>
      <c r="L1908" s="44" t="n"/>
      <c r="M1908" s="45" t="n"/>
      <c r="N1908" s="39" t="n"/>
      <c r="O1908" s="46" t="n"/>
    </row>
    <row r="1909">
      <c r="H1909" s="47">
        <f>IF(AND(E1909&lt;&gt;"",F1909&lt;&gt;""), F1909-E1909, IF(G1909&lt;&gt;"", G1909, 0))</f>
        <v/>
      </c>
      <c r="I1909" s="48">
        <f>H1909*Settings!$B$5</f>
        <v/>
      </c>
      <c r="K1909">
        <f>IF(AND(A1909&lt;&gt;"",C1909&lt;&gt;"",D1909&lt;&gt;"",H1909&gt;0),"✓","⚠ missing")</f>
        <v/>
      </c>
      <c r="L1909" s="44" t="n"/>
      <c r="M1909" s="45" t="n"/>
      <c r="N1909" s="39" t="n"/>
      <c r="O1909" s="46" t="n"/>
    </row>
    <row r="1910">
      <c r="H1910" s="47">
        <f>IF(AND(E1910&lt;&gt;"",F1910&lt;&gt;""), F1910-E1910, IF(G1910&lt;&gt;"", G1910, 0))</f>
        <v/>
      </c>
      <c r="I1910" s="48">
        <f>H1910*Settings!$B$5</f>
        <v/>
      </c>
      <c r="K1910">
        <f>IF(AND(A1910&lt;&gt;"",C1910&lt;&gt;"",D1910&lt;&gt;"",H1910&gt;0),"✓","⚠ missing")</f>
        <v/>
      </c>
      <c r="L1910" s="44" t="n"/>
      <c r="M1910" s="45" t="n"/>
      <c r="N1910" s="39" t="n"/>
      <c r="O1910" s="46" t="n"/>
    </row>
    <row r="1911">
      <c r="H1911" s="47">
        <f>IF(AND(E1911&lt;&gt;"",F1911&lt;&gt;""), F1911-E1911, IF(G1911&lt;&gt;"", G1911, 0))</f>
        <v/>
      </c>
      <c r="I1911" s="48">
        <f>H1911*Settings!$B$5</f>
        <v/>
      </c>
      <c r="K1911">
        <f>IF(AND(A1911&lt;&gt;"",C1911&lt;&gt;"",D1911&lt;&gt;"",H1911&gt;0),"✓","⚠ missing")</f>
        <v/>
      </c>
      <c r="L1911" s="44" t="n"/>
      <c r="M1911" s="45" t="n"/>
      <c r="N1911" s="39" t="n"/>
      <c r="O1911" s="46" t="n"/>
    </row>
    <row r="1912">
      <c r="H1912" s="47">
        <f>IF(AND(E1912&lt;&gt;"",F1912&lt;&gt;""), F1912-E1912, IF(G1912&lt;&gt;"", G1912, 0))</f>
        <v/>
      </c>
      <c r="I1912" s="48">
        <f>H1912*Settings!$B$5</f>
        <v/>
      </c>
      <c r="K1912">
        <f>IF(AND(A1912&lt;&gt;"",C1912&lt;&gt;"",D1912&lt;&gt;"",H1912&gt;0),"✓","⚠ missing")</f>
        <v/>
      </c>
      <c r="L1912" s="44" t="n"/>
      <c r="M1912" s="45" t="n"/>
      <c r="N1912" s="39" t="n"/>
      <c r="O1912" s="46" t="n"/>
    </row>
    <row r="1913">
      <c r="H1913" s="47">
        <f>IF(AND(E1913&lt;&gt;"",F1913&lt;&gt;""), F1913-E1913, IF(G1913&lt;&gt;"", G1913, 0))</f>
        <v/>
      </c>
      <c r="I1913" s="48">
        <f>H1913*Settings!$B$5</f>
        <v/>
      </c>
      <c r="K1913">
        <f>IF(AND(A1913&lt;&gt;"",C1913&lt;&gt;"",D1913&lt;&gt;"",H1913&gt;0),"✓","⚠ missing")</f>
        <v/>
      </c>
      <c r="L1913" s="44" t="n"/>
      <c r="M1913" s="45" t="n"/>
      <c r="N1913" s="39" t="n"/>
      <c r="O1913" s="46" t="n"/>
    </row>
    <row r="1914">
      <c r="H1914" s="47">
        <f>IF(AND(E1914&lt;&gt;"",F1914&lt;&gt;""), F1914-E1914, IF(G1914&lt;&gt;"", G1914, 0))</f>
        <v/>
      </c>
      <c r="I1914" s="48">
        <f>H1914*Settings!$B$5</f>
        <v/>
      </c>
      <c r="K1914">
        <f>IF(AND(A1914&lt;&gt;"",C1914&lt;&gt;"",D1914&lt;&gt;"",H1914&gt;0),"✓","⚠ missing")</f>
        <v/>
      </c>
      <c r="L1914" s="44" t="n"/>
      <c r="M1914" s="45" t="n"/>
      <c r="N1914" s="39" t="n"/>
      <c r="O1914" s="46" t="n"/>
    </row>
    <row r="1915">
      <c r="H1915" s="47">
        <f>IF(AND(E1915&lt;&gt;"",F1915&lt;&gt;""), F1915-E1915, IF(G1915&lt;&gt;"", G1915, 0))</f>
        <v/>
      </c>
      <c r="I1915" s="48">
        <f>H1915*Settings!$B$5</f>
        <v/>
      </c>
      <c r="K1915">
        <f>IF(AND(A1915&lt;&gt;"",C1915&lt;&gt;"",D1915&lt;&gt;"",H1915&gt;0),"✓","⚠ missing")</f>
        <v/>
      </c>
      <c r="L1915" s="44" t="n"/>
      <c r="M1915" s="45" t="n"/>
      <c r="N1915" s="39" t="n"/>
      <c r="O1915" s="46" t="n"/>
    </row>
    <row r="1916">
      <c r="H1916" s="47">
        <f>IF(AND(E1916&lt;&gt;"",F1916&lt;&gt;""), F1916-E1916, IF(G1916&lt;&gt;"", G1916, 0))</f>
        <v/>
      </c>
      <c r="I1916" s="48">
        <f>H1916*Settings!$B$5</f>
        <v/>
      </c>
      <c r="K1916">
        <f>IF(AND(A1916&lt;&gt;"",C1916&lt;&gt;"",D1916&lt;&gt;"",H1916&gt;0),"✓","⚠ missing")</f>
        <v/>
      </c>
      <c r="L1916" s="44" t="n"/>
      <c r="M1916" s="45" t="n"/>
      <c r="N1916" s="39" t="n"/>
      <c r="O1916" s="46" t="n"/>
    </row>
    <row r="1917">
      <c r="H1917" s="47">
        <f>IF(AND(E1917&lt;&gt;"",F1917&lt;&gt;""), F1917-E1917, IF(G1917&lt;&gt;"", G1917, 0))</f>
        <v/>
      </c>
      <c r="I1917" s="48">
        <f>H1917*Settings!$B$5</f>
        <v/>
      </c>
      <c r="K1917">
        <f>IF(AND(A1917&lt;&gt;"",C1917&lt;&gt;"",D1917&lt;&gt;"",H1917&gt;0),"✓","⚠ missing")</f>
        <v/>
      </c>
      <c r="L1917" s="44" t="n"/>
      <c r="M1917" s="45" t="n"/>
      <c r="N1917" s="39" t="n"/>
      <c r="O1917" s="46" t="n"/>
    </row>
    <row r="1918">
      <c r="H1918" s="47">
        <f>IF(AND(E1918&lt;&gt;"",F1918&lt;&gt;""), F1918-E1918, IF(G1918&lt;&gt;"", G1918, 0))</f>
        <v/>
      </c>
      <c r="I1918" s="48">
        <f>H1918*Settings!$B$5</f>
        <v/>
      </c>
      <c r="K1918">
        <f>IF(AND(A1918&lt;&gt;"",C1918&lt;&gt;"",D1918&lt;&gt;"",H1918&gt;0),"✓","⚠ missing")</f>
        <v/>
      </c>
      <c r="L1918" s="44" t="n"/>
      <c r="M1918" s="45" t="n"/>
      <c r="N1918" s="39" t="n"/>
      <c r="O1918" s="46" t="n"/>
    </row>
    <row r="1919">
      <c r="H1919" s="47">
        <f>IF(AND(E1919&lt;&gt;"",F1919&lt;&gt;""), F1919-E1919, IF(G1919&lt;&gt;"", G1919, 0))</f>
        <v/>
      </c>
      <c r="I1919" s="48">
        <f>H1919*Settings!$B$5</f>
        <v/>
      </c>
      <c r="K1919">
        <f>IF(AND(A1919&lt;&gt;"",C1919&lt;&gt;"",D1919&lt;&gt;"",H1919&gt;0),"✓","⚠ missing")</f>
        <v/>
      </c>
      <c r="L1919" s="44" t="n"/>
      <c r="M1919" s="45" t="n"/>
      <c r="N1919" s="39" t="n"/>
      <c r="O1919" s="46" t="n"/>
    </row>
    <row r="1920">
      <c r="H1920" s="47">
        <f>IF(AND(E1920&lt;&gt;"",F1920&lt;&gt;""), F1920-E1920, IF(G1920&lt;&gt;"", G1920, 0))</f>
        <v/>
      </c>
      <c r="I1920" s="48">
        <f>H1920*Settings!$B$5</f>
        <v/>
      </c>
      <c r="K1920">
        <f>IF(AND(A1920&lt;&gt;"",C1920&lt;&gt;"",D1920&lt;&gt;"",H1920&gt;0),"✓","⚠ missing")</f>
        <v/>
      </c>
      <c r="L1920" s="44" t="n"/>
      <c r="M1920" s="45" t="n"/>
      <c r="N1920" s="39" t="n"/>
      <c r="O1920" s="46" t="n"/>
    </row>
    <row r="1921">
      <c r="H1921" s="47">
        <f>IF(AND(E1921&lt;&gt;"",F1921&lt;&gt;""), F1921-E1921, IF(G1921&lt;&gt;"", G1921, 0))</f>
        <v/>
      </c>
      <c r="I1921" s="48">
        <f>H1921*Settings!$B$5</f>
        <v/>
      </c>
      <c r="K1921">
        <f>IF(AND(A1921&lt;&gt;"",C1921&lt;&gt;"",D1921&lt;&gt;"",H1921&gt;0),"✓","⚠ missing")</f>
        <v/>
      </c>
      <c r="L1921" s="44" t="n"/>
      <c r="M1921" s="45" t="n"/>
      <c r="N1921" s="39" t="n"/>
      <c r="O1921" s="46" t="n"/>
    </row>
    <row r="1922">
      <c r="H1922" s="47">
        <f>IF(AND(E1922&lt;&gt;"",F1922&lt;&gt;""), F1922-E1922, IF(G1922&lt;&gt;"", G1922, 0))</f>
        <v/>
      </c>
      <c r="I1922" s="48">
        <f>H1922*Settings!$B$5</f>
        <v/>
      </c>
      <c r="K1922">
        <f>IF(AND(A1922&lt;&gt;"",C1922&lt;&gt;"",D1922&lt;&gt;"",H1922&gt;0),"✓","⚠ missing")</f>
        <v/>
      </c>
      <c r="L1922" s="44" t="n"/>
      <c r="M1922" s="45" t="n"/>
      <c r="N1922" s="39" t="n"/>
      <c r="O1922" s="46" t="n"/>
    </row>
    <row r="1923">
      <c r="H1923" s="47">
        <f>IF(AND(E1923&lt;&gt;"",F1923&lt;&gt;""), F1923-E1923, IF(G1923&lt;&gt;"", G1923, 0))</f>
        <v/>
      </c>
      <c r="I1923" s="48">
        <f>H1923*Settings!$B$5</f>
        <v/>
      </c>
      <c r="K1923">
        <f>IF(AND(A1923&lt;&gt;"",C1923&lt;&gt;"",D1923&lt;&gt;"",H1923&gt;0),"✓","⚠ missing")</f>
        <v/>
      </c>
      <c r="L1923" s="44" t="n"/>
      <c r="M1923" s="45" t="n"/>
      <c r="N1923" s="39" t="n"/>
      <c r="O1923" s="46" t="n"/>
    </row>
    <row r="1924">
      <c r="H1924" s="47">
        <f>IF(AND(E1924&lt;&gt;"",F1924&lt;&gt;""), F1924-E1924, IF(G1924&lt;&gt;"", G1924, 0))</f>
        <v/>
      </c>
      <c r="I1924" s="48">
        <f>H1924*Settings!$B$5</f>
        <v/>
      </c>
      <c r="K1924">
        <f>IF(AND(A1924&lt;&gt;"",C1924&lt;&gt;"",D1924&lt;&gt;"",H1924&gt;0),"✓","⚠ missing")</f>
        <v/>
      </c>
      <c r="L1924" s="44" t="n"/>
      <c r="M1924" s="45" t="n"/>
      <c r="N1924" s="39" t="n"/>
      <c r="O1924" s="46" t="n"/>
    </row>
    <row r="1925">
      <c r="H1925" s="47">
        <f>IF(AND(E1925&lt;&gt;"",F1925&lt;&gt;""), F1925-E1925, IF(G1925&lt;&gt;"", G1925, 0))</f>
        <v/>
      </c>
      <c r="I1925" s="48">
        <f>H1925*Settings!$B$5</f>
        <v/>
      </c>
      <c r="K1925">
        <f>IF(AND(A1925&lt;&gt;"",C1925&lt;&gt;"",D1925&lt;&gt;"",H1925&gt;0),"✓","⚠ missing")</f>
        <v/>
      </c>
      <c r="L1925" s="44" t="n"/>
      <c r="M1925" s="45" t="n"/>
      <c r="N1925" s="39" t="n"/>
      <c r="O1925" s="46" t="n"/>
    </row>
    <row r="1926">
      <c r="H1926" s="47">
        <f>IF(AND(E1926&lt;&gt;"",F1926&lt;&gt;""), F1926-E1926, IF(G1926&lt;&gt;"", G1926, 0))</f>
        <v/>
      </c>
      <c r="I1926" s="48">
        <f>H1926*Settings!$B$5</f>
        <v/>
      </c>
      <c r="K1926">
        <f>IF(AND(A1926&lt;&gt;"",C1926&lt;&gt;"",D1926&lt;&gt;"",H1926&gt;0),"✓","⚠ missing")</f>
        <v/>
      </c>
      <c r="L1926" s="44" t="n"/>
      <c r="M1926" s="45" t="n"/>
      <c r="N1926" s="39" t="n"/>
      <c r="O1926" s="46" t="n"/>
    </row>
    <row r="1927">
      <c r="H1927" s="47">
        <f>IF(AND(E1927&lt;&gt;"",F1927&lt;&gt;""), F1927-E1927, IF(G1927&lt;&gt;"", G1927, 0))</f>
        <v/>
      </c>
      <c r="I1927" s="48">
        <f>H1927*Settings!$B$5</f>
        <v/>
      </c>
      <c r="K1927">
        <f>IF(AND(A1927&lt;&gt;"",C1927&lt;&gt;"",D1927&lt;&gt;"",H1927&gt;0),"✓","⚠ missing")</f>
        <v/>
      </c>
      <c r="L1927" s="44" t="n"/>
      <c r="M1927" s="45" t="n"/>
      <c r="N1927" s="39" t="n"/>
      <c r="O1927" s="46" t="n"/>
    </row>
    <row r="1928">
      <c r="H1928" s="47">
        <f>IF(AND(E1928&lt;&gt;"",F1928&lt;&gt;""), F1928-E1928, IF(G1928&lt;&gt;"", G1928, 0))</f>
        <v/>
      </c>
      <c r="I1928" s="48">
        <f>H1928*Settings!$B$5</f>
        <v/>
      </c>
      <c r="K1928">
        <f>IF(AND(A1928&lt;&gt;"",C1928&lt;&gt;"",D1928&lt;&gt;"",H1928&gt;0),"✓","⚠ missing")</f>
        <v/>
      </c>
      <c r="L1928" s="44" t="n"/>
      <c r="M1928" s="45" t="n"/>
      <c r="N1928" s="39" t="n"/>
      <c r="O1928" s="46" t="n"/>
    </row>
    <row r="1929">
      <c r="H1929" s="47">
        <f>IF(AND(E1929&lt;&gt;"",F1929&lt;&gt;""), F1929-E1929, IF(G1929&lt;&gt;"", G1929, 0))</f>
        <v/>
      </c>
      <c r="I1929" s="48">
        <f>H1929*Settings!$B$5</f>
        <v/>
      </c>
      <c r="K1929">
        <f>IF(AND(A1929&lt;&gt;"",C1929&lt;&gt;"",D1929&lt;&gt;"",H1929&gt;0),"✓","⚠ missing")</f>
        <v/>
      </c>
      <c r="L1929" s="44" t="n"/>
      <c r="M1929" s="45" t="n"/>
      <c r="N1929" s="39" t="n"/>
      <c r="O1929" s="46" t="n"/>
    </row>
    <row r="1930">
      <c r="H1930" s="47">
        <f>IF(AND(E1930&lt;&gt;"",F1930&lt;&gt;""), F1930-E1930, IF(G1930&lt;&gt;"", G1930, 0))</f>
        <v/>
      </c>
      <c r="I1930" s="48">
        <f>H1930*Settings!$B$5</f>
        <v/>
      </c>
      <c r="K1930">
        <f>IF(AND(A1930&lt;&gt;"",C1930&lt;&gt;"",D1930&lt;&gt;"",H1930&gt;0),"✓","⚠ missing")</f>
        <v/>
      </c>
      <c r="L1930" s="44" t="n"/>
      <c r="M1930" s="45" t="n"/>
      <c r="N1930" s="39" t="n"/>
      <c r="O1930" s="46" t="n"/>
    </row>
    <row r="1931">
      <c r="H1931" s="47">
        <f>IF(AND(E1931&lt;&gt;"",F1931&lt;&gt;""), F1931-E1931, IF(G1931&lt;&gt;"", G1931, 0))</f>
        <v/>
      </c>
      <c r="I1931" s="48">
        <f>H1931*Settings!$B$5</f>
        <v/>
      </c>
      <c r="K1931">
        <f>IF(AND(A1931&lt;&gt;"",C1931&lt;&gt;"",D1931&lt;&gt;"",H1931&gt;0),"✓","⚠ missing")</f>
        <v/>
      </c>
      <c r="L1931" s="44" t="n"/>
      <c r="M1931" s="45" t="n"/>
      <c r="N1931" s="39" t="n"/>
      <c r="O1931" s="46" t="n"/>
    </row>
    <row r="1932">
      <c r="H1932" s="47">
        <f>IF(AND(E1932&lt;&gt;"",F1932&lt;&gt;""), F1932-E1932, IF(G1932&lt;&gt;"", G1932, 0))</f>
        <v/>
      </c>
      <c r="I1932" s="48">
        <f>H1932*Settings!$B$5</f>
        <v/>
      </c>
      <c r="K1932">
        <f>IF(AND(A1932&lt;&gt;"",C1932&lt;&gt;"",D1932&lt;&gt;"",H1932&gt;0),"✓","⚠ missing")</f>
        <v/>
      </c>
      <c r="L1932" s="44" t="n"/>
      <c r="M1932" s="45" t="n"/>
      <c r="N1932" s="39" t="n"/>
      <c r="O1932" s="46" t="n"/>
    </row>
    <row r="1933">
      <c r="H1933" s="47">
        <f>IF(AND(E1933&lt;&gt;"",F1933&lt;&gt;""), F1933-E1933, IF(G1933&lt;&gt;"", G1933, 0))</f>
        <v/>
      </c>
      <c r="I1933" s="48">
        <f>H1933*Settings!$B$5</f>
        <v/>
      </c>
      <c r="K1933">
        <f>IF(AND(A1933&lt;&gt;"",C1933&lt;&gt;"",D1933&lt;&gt;"",H1933&gt;0),"✓","⚠ missing")</f>
        <v/>
      </c>
      <c r="L1933" s="44" t="n"/>
      <c r="M1933" s="45" t="n"/>
      <c r="N1933" s="39" t="n"/>
      <c r="O1933" s="46" t="n"/>
    </row>
    <row r="1934">
      <c r="H1934" s="47">
        <f>IF(AND(E1934&lt;&gt;"",F1934&lt;&gt;""), F1934-E1934, IF(G1934&lt;&gt;"", G1934, 0))</f>
        <v/>
      </c>
      <c r="I1934" s="48">
        <f>H1934*Settings!$B$5</f>
        <v/>
      </c>
      <c r="K1934">
        <f>IF(AND(A1934&lt;&gt;"",C1934&lt;&gt;"",D1934&lt;&gt;"",H1934&gt;0),"✓","⚠ missing")</f>
        <v/>
      </c>
      <c r="L1934" s="44" t="n"/>
      <c r="M1934" s="45" t="n"/>
      <c r="N1934" s="39" t="n"/>
      <c r="O1934" s="46" t="n"/>
    </row>
    <row r="1935">
      <c r="H1935" s="47">
        <f>IF(AND(E1935&lt;&gt;"",F1935&lt;&gt;""), F1935-E1935, IF(G1935&lt;&gt;"", G1935, 0))</f>
        <v/>
      </c>
      <c r="I1935" s="48">
        <f>H1935*Settings!$B$5</f>
        <v/>
      </c>
      <c r="K1935">
        <f>IF(AND(A1935&lt;&gt;"",C1935&lt;&gt;"",D1935&lt;&gt;"",H1935&gt;0),"✓","⚠ missing")</f>
        <v/>
      </c>
      <c r="L1935" s="44" t="n"/>
      <c r="M1935" s="45" t="n"/>
      <c r="N1935" s="39" t="n"/>
      <c r="O1935" s="46" t="n"/>
    </row>
    <row r="1936">
      <c r="H1936" s="47">
        <f>IF(AND(E1936&lt;&gt;"",F1936&lt;&gt;""), F1936-E1936, IF(G1936&lt;&gt;"", G1936, 0))</f>
        <v/>
      </c>
      <c r="I1936" s="48">
        <f>H1936*Settings!$B$5</f>
        <v/>
      </c>
      <c r="K1936">
        <f>IF(AND(A1936&lt;&gt;"",C1936&lt;&gt;"",D1936&lt;&gt;"",H1936&gt;0),"✓","⚠ missing")</f>
        <v/>
      </c>
      <c r="L1936" s="44" t="n"/>
      <c r="M1936" s="45" t="n"/>
      <c r="N1936" s="39" t="n"/>
      <c r="O1936" s="46" t="n"/>
    </row>
    <row r="1937">
      <c r="H1937" s="47">
        <f>IF(AND(E1937&lt;&gt;"",F1937&lt;&gt;""), F1937-E1937, IF(G1937&lt;&gt;"", G1937, 0))</f>
        <v/>
      </c>
      <c r="I1937" s="48">
        <f>H1937*Settings!$B$5</f>
        <v/>
      </c>
      <c r="K1937">
        <f>IF(AND(A1937&lt;&gt;"",C1937&lt;&gt;"",D1937&lt;&gt;"",H1937&gt;0),"✓","⚠ missing")</f>
        <v/>
      </c>
      <c r="L1937" s="44" t="n"/>
      <c r="M1937" s="45" t="n"/>
      <c r="N1937" s="39" t="n"/>
      <c r="O1937" s="46" t="n"/>
    </row>
    <row r="1938">
      <c r="H1938" s="47">
        <f>IF(AND(E1938&lt;&gt;"",F1938&lt;&gt;""), F1938-E1938, IF(G1938&lt;&gt;"", G1938, 0))</f>
        <v/>
      </c>
      <c r="I1938" s="48">
        <f>H1938*Settings!$B$5</f>
        <v/>
      </c>
      <c r="K1938">
        <f>IF(AND(A1938&lt;&gt;"",C1938&lt;&gt;"",D1938&lt;&gt;"",H1938&gt;0),"✓","⚠ missing")</f>
        <v/>
      </c>
      <c r="L1938" s="44" t="n"/>
      <c r="M1938" s="45" t="n"/>
      <c r="N1938" s="39" t="n"/>
      <c r="O1938" s="46" t="n"/>
    </row>
    <row r="1939">
      <c r="H1939" s="47">
        <f>IF(AND(E1939&lt;&gt;"",F1939&lt;&gt;""), F1939-E1939, IF(G1939&lt;&gt;"", G1939, 0))</f>
        <v/>
      </c>
      <c r="I1939" s="48">
        <f>H1939*Settings!$B$5</f>
        <v/>
      </c>
      <c r="K1939">
        <f>IF(AND(A1939&lt;&gt;"",C1939&lt;&gt;"",D1939&lt;&gt;"",H1939&gt;0),"✓","⚠ missing")</f>
        <v/>
      </c>
      <c r="L1939" s="44" t="n"/>
      <c r="M1939" s="45" t="n"/>
      <c r="N1939" s="39" t="n"/>
      <c r="O1939" s="46" t="n"/>
    </row>
    <row r="1940">
      <c r="H1940" s="47">
        <f>IF(AND(E1940&lt;&gt;"",F1940&lt;&gt;""), F1940-E1940, IF(G1940&lt;&gt;"", G1940, 0))</f>
        <v/>
      </c>
      <c r="I1940" s="48">
        <f>H1940*Settings!$B$5</f>
        <v/>
      </c>
      <c r="K1940">
        <f>IF(AND(A1940&lt;&gt;"",C1940&lt;&gt;"",D1940&lt;&gt;"",H1940&gt;0),"✓","⚠ missing")</f>
        <v/>
      </c>
      <c r="L1940" s="44" t="n"/>
      <c r="M1940" s="45" t="n"/>
      <c r="N1940" s="39" t="n"/>
      <c r="O1940" s="46" t="n"/>
    </row>
    <row r="1941">
      <c r="H1941" s="47">
        <f>IF(AND(E1941&lt;&gt;"",F1941&lt;&gt;""), F1941-E1941, IF(G1941&lt;&gt;"", G1941, 0))</f>
        <v/>
      </c>
      <c r="I1941" s="48">
        <f>H1941*Settings!$B$5</f>
        <v/>
      </c>
      <c r="K1941">
        <f>IF(AND(A1941&lt;&gt;"",C1941&lt;&gt;"",D1941&lt;&gt;"",H1941&gt;0),"✓","⚠ missing")</f>
        <v/>
      </c>
      <c r="L1941" s="44" t="n"/>
      <c r="M1941" s="45" t="n"/>
      <c r="N1941" s="39" t="n"/>
      <c r="O1941" s="46" t="n"/>
    </row>
    <row r="1942">
      <c r="H1942" s="47">
        <f>IF(AND(E1942&lt;&gt;"",F1942&lt;&gt;""), F1942-E1942, IF(G1942&lt;&gt;"", G1942, 0))</f>
        <v/>
      </c>
      <c r="I1942" s="48">
        <f>H1942*Settings!$B$5</f>
        <v/>
      </c>
      <c r="K1942">
        <f>IF(AND(A1942&lt;&gt;"",C1942&lt;&gt;"",D1942&lt;&gt;"",H1942&gt;0),"✓","⚠ missing")</f>
        <v/>
      </c>
      <c r="L1942" s="44" t="n"/>
      <c r="M1942" s="45" t="n"/>
      <c r="N1942" s="39" t="n"/>
      <c r="O1942" s="46" t="n"/>
    </row>
    <row r="1943">
      <c r="H1943" s="47">
        <f>IF(AND(E1943&lt;&gt;"",F1943&lt;&gt;""), F1943-E1943, IF(G1943&lt;&gt;"", G1943, 0))</f>
        <v/>
      </c>
      <c r="I1943" s="48">
        <f>H1943*Settings!$B$5</f>
        <v/>
      </c>
      <c r="K1943">
        <f>IF(AND(A1943&lt;&gt;"",C1943&lt;&gt;"",D1943&lt;&gt;"",H1943&gt;0),"✓","⚠ missing")</f>
        <v/>
      </c>
      <c r="L1943" s="44" t="n"/>
      <c r="M1943" s="45" t="n"/>
      <c r="N1943" s="39" t="n"/>
      <c r="O1943" s="46" t="n"/>
    </row>
    <row r="1944">
      <c r="H1944" s="47">
        <f>IF(AND(E1944&lt;&gt;"",F1944&lt;&gt;""), F1944-E1944, IF(G1944&lt;&gt;"", G1944, 0))</f>
        <v/>
      </c>
      <c r="I1944" s="48">
        <f>H1944*Settings!$B$5</f>
        <v/>
      </c>
      <c r="K1944">
        <f>IF(AND(A1944&lt;&gt;"",C1944&lt;&gt;"",D1944&lt;&gt;"",H1944&gt;0),"✓","⚠ missing")</f>
        <v/>
      </c>
      <c r="L1944" s="44" t="n"/>
      <c r="M1944" s="45" t="n"/>
      <c r="N1944" s="39" t="n"/>
      <c r="O1944" s="46" t="n"/>
    </row>
    <row r="1945">
      <c r="H1945" s="47">
        <f>IF(AND(E1945&lt;&gt;"",F1945&lt;&gt;""), F1945-E1945, IF(G1945&lt;&gt;"", G1945, 0))</f>
        <v/>
      </c>
      <c r="I1945" s="48">
        <f>H1945*Settings!$B$5</f>
        <v/>
      </c>
      <c r="K1945">
        <f>IF(AND(A1945&lt;&gt;"",C1945&lt;&gt;"",D1945&lt;&gt;"",H1945&gt;0),"✓","⚠ missing")</f>
        <v/>
      </c>
      <c r="L1945" s="44" t="n"/>
      <c r="M1945" s="45" t="n"/>
      <c r="N1945" s="39" t="n"/>
      <c r="O1945" s="46" t="n"/>
    </row>
    <row r="1946">
      <c r="H1946" s="47">
        <f>IF(AND(E1946&lt;&gt;"",F1946&lt;&gt;""), F1946-E1946, IF(G1946&lt;&gt;"", G1946, 0))</f>
        <v/>
      </c>
      <c r="I1946" s="48">
        <f>H1946*Settings!$B$5</f>
        <v/>
      </c>
      <c r="K1946">
        <f>IF(AND(A1946&lt;&gt;"",C1946&lt;&gt;"",D1946&lt;&gt;"",H1946&gt;0),"✓","⚠ missing")</f>
        <v/>
      </c>
      <c r="L1946" s="44" t="n"/>
      <c r="M1946" s="45" t="n"/>
      <c r="N1946" s="39" t="n"/>
      <c r="O1946" s="46" t="n"/>
    </row>
    <row r="1947">
      <c r="H1947" s="47">
        <f>IF(AND(E1947&lt;&gt;"",F1947&lt;&gt;""), F1947-E1947, IF(G1947&lt;&gt;"", G1947, 0))</f>
        <v/>
      </c>
      <c r="I1947" s="48">
        <f>H1947*Settings!$B$5</f>
        <v/>
      </c>
      <c r="K1947">
        <f>IF(AND(A1947&lt;&gt;"",C1947&lt;&gt;"",D1947&lt;&gt;"",H1947&gt;0),"✓","⚠ missing")</f>
        <v/>
      </c>
      <c r="L1947" s="44" t="n"/>
      <c r="M1947" s="45" t="n"/>
      <c r="N1947" s="39" t="n"/>
      <c r="O1947" s="46" t="n"/>
    </row>
    <row r="1948">
      <c r="H1948" s="47">
        <f>IF(AND(E1948&lt;&gt;"",F1948&lt;&gt;""), F1948-E1948, IF(G1948&lt;&gt;"", G1948, 0))</f>
        <v/>
      </c>
      <c r="I1948" s="48">
        <f>H1948*Settings!$B$5</f>
        <v/>
      </c>
      <c r="K1948">
        <f>IF(AND(A1948&lt;&gt;"",C1948&lt;&gt;"",D1948&lt;&gt;"",H1948&gt;0),"✓","⚠ missing")</f>
        <v/>
      </c>
      <c r="L1948" s="44" t="n"/>
      <c r="M1948" s="45" t="n"/>
      <c r="N1948" s="39" t="n"/>
      <c r="O1948" s="46" t="n"/>
    </row>
    <row r="1949">
      <c r="H1949" s="47">
        <f>IF(AND(E1949&lt;&gt;"",F1949&lt;&gt;""), F1949-E1949, IF(G1949&lt;&gt;"", G1949, 0))</f>
        <v/>
      </c>
      <c r="I1949" s="48">
        <f>H1949*Settings!$B$5</f>
        <v/>
      </c>
      <c r="K1949">
        <f>IF(AND(A1949&lt;&gt;"",C1949&lt;&gt;"",D1949&lt;&gt;"",H1949&gt;0),"✓","⚠ missing")</f>
        <v/>
      </c>
      <c r="L1949" s="44" t="n"/>
      <c r="M1949" s="45" t="n"/>
      <c r="N1949" s="39" t="n"/>
      <c r="O1949" s="46" t="n"/>
    </row>
    <row r="1950">
      <c r="H1950" s="47">
        <f>IF(AND(E1950&lt;&gt;"",F1950&lt;&gt;""), F1950-E1950, IF(G1950&lt;&gt;"", G1950, 0))</f>
        <v/>
      </c>
      <c r="I1950" s="48">
        <f>H1950*Settings!$B$5</f>
        <v/>
      </c>
      <c r="K1950">
        <f>IF(AND(A1950&lt;&gt;"",C1950&lt;&gt;"",D1950&lt;&gt;"",H1950&gt;0),"✓","⚠ missing")</f>
        <v/>
      </c>
      <c r="L1950" s="44" t="n"/>
      <c r="M1950" s="45" t="n"/>
      <c r="N1950" s="39" t="n"/>
      <c r="O1950" s="46" t="n"/>
    </row>
    <row r="1951">
      <c r="H1951" s="47">
        <f>IF(AND(E1951&lt;&gt;"",F1951&lt;&gt;""), F1951-E1951, IF(G1951&lt;&gt;"", G1951, 0))</f>
        <v/>
      </c>
      <c r="I1951" s="48">
        <f>H1951*Settings!$B$5</f>
        <v/>
      </c>
      <c r="K1951">
        <f>IF(AND(A1951&lt;&gt;"",C1951&lt;&gt;"",D1951&lt;&gt;"",H1951&gt;0),"✓","⚠ missing")</f>
        <v/>
      </c>
      <c r="L1951" s="44" t="n"/>
      <c r="M1951" s="45" t="n"/>
      <c r="N1951" s="39" t="n"/>
      <c r="O1951" s="46" t="n"/>
    </row>
    <row r="1952">
      <c r="H1952" s="47">
        <f>IF(AND(E1952&lt;&gt;"",F1952&lt;&gt;""), F1952-E1952, IF(G1952&lt;&gt;"", G1952, 0))</f>
        <v/>
      </c>
      <c r="I1952" s="48">
        <f>H1952*Settings!$B$5</f>
        <v/>
      </c>
      <c r="K1952">
        <f>IF(AND(A1952&lt;&gt;"",C1952&lt;&gt;"",D1952&lt;&gt;"",H1952&gt;0),"✓","⚠ missing")</f>
        <v/>
      </c>
      <c r="L1952" s="44" t="n"/>
      <c r="M1952" s="45" t="n"/>
      <c r="N1952" s="39" t="n"/>
      <c r="O1952" s="46" t="n"/>
    </row>
    <row r="1953">
      <c r="H1953" s="47">
        <f>IF(AND(E1953&lt;&gt;"",F1953&lt;&gt;""), F1953-E1953, IF(G1953&lt;&gt;"", G1953, 0))</f>
        <v/>
      </c>
      <c r="I1953" s="48">
        <f>H1953*Settings!$B$5</f>
        <v/>
      </c>
      <c r="K1953">
        <f>IF(AND(A1953&lt;&gt;"",C1953&lt;&gt;"",D1953&lt;&gt;"",H1953&gt;0),"✓","⚠ missing")</f>
        <v/>
      </c>
      <c r="L1953" s="44" t="n"/>
      <c r="M1953" s="45" t="n"/>
      <c r="N1953" s="39" t="n"/>
      <c r="O1953" s="46" t="n"/>
    </row>
    <row r="1954">
      <c r="H1954" s="47">
        <f>IF(AND(E1954&lt;&gt;"",F1954&lt;&gt;""), F1954-E1954, IF(G1954&lt;&gt;"", G1954, 0))</f>
        <v/>
      </c>
      <c r="I1954" s="48">
        <f>H1954*Settings!$B$5</f>
        <v/>
      </c>
      <c r="K1954">
        <f>IF(AND(A1954&lt;&gt;"",C1954&lt;&gt;"",D1954&lt;&gt;"",H1954&gt;0),"✓","⚠ missing")</f>
        <v/>
      </c>
      <c r="L1954" s="44" t="n"/>
      <c r="M1954" s="45" t="n"/>
      <c r="N1954" s="39" t="n"/>
      <c r="O1954" s="46" t="n"/>
    </row>
    <row r="1955">
      <c r="H1955" s="47">
        <f>IF(AND(E1955&lt;&gt;"",F1955&lt;&gt;""), F1955-E1955, IF(G1955&lt;&gt;"", G1955, 0))</f>
        <v/>
      </c>
      <c r="I1955" s="48">
        <f>H1955*Settings!$B$5</f>
        <v/>
      </c>
      <c r="K1955">
        <f>IF(AND(A1955&lt;&gt;"",C1955&lt;&gt;"",D1955&lt;&gt;"",H1955&gt;0),"✓","⚠ missing")</f>
        <v/>
      </c>
      <c r="L1955" s="44" t="n"/>
      <c r="M1955" s="45" t="n"/>
      <c r="N1955" s="39" t="n"/>
      <c r="O1955" s="46" t="n"/>
    </row>
    <row r="1956">
      <c r="H1956" s="47">
        <f>IF(AND(E1956&lt;&gt;"",F1956&lt;&gt;""), F1956-E1956, IF(G1956&lt;&gt;"", G1956, 0))</f>
        <v/>
      </c>
      <c r="I1956" s="48">
        <f>H1956*Settings!$B$5</f>
        <v/>
      </c>
      <c r="K1956">
        <f>IF(AND(A1956&lt;&gt;"",C1956&lt;&gt;"",D1956&lt;&gt;"",H1956&gt;0),"✓","⚠ missing")</f>
        <v/>
      </c>
      <c r="L1956" s="44" t="n"/>
      <c r="M1956" s="45" t="n"/>
      <c r="N1956" s="39" t="n"/>
      <c r="O1956" s="46" t="n"/>
    </row>
    <row r="1957">
      <c r="H1957" s="47">
        <f>IF(AND(E1957&lt;&gt;"",F1957&lt;&gt;""), F1957-E1957, IF(G1957&lt;&gt;"", G1957, 0))</f>
        <v/>
      </c>
      <c r="I1957" s="48">
        <f>H1957*Settings!$B$5</f>
        <v/>
      </c>
      <c r="K1957">
        <f>IF(AND(A1957&lt;&gt;"",C1957&lt;&gt;"",D1957&lt;&gt;"",H1957&gt;0),"✓","⚠ missing")</f>
        <v/>
      </c>
      <c r="L1957" s="44" t="n"/>
      <c r="M1957" s="45" t="n"/>
      <c r="N1957" s="39" t="n"/>
      <c r="O1957" s="46" t="n"/>
    </row>
    <row r="1958">
      <c r="H1958" s="47">
        <f>IF(AND(E1958&lt;&gt;"",F1958&lt;&gt;""), F1958-E1958, IF(G1958&lt;&gt;"", G1958, 0))</f>
        <v/>
      </c>
      <c r="I1958" s="48">
        <f>H1958*Settings!$B$5</f>
        <v/>
      </c>
      <c r="K1958">
        <f>IF(AND(A1958&lt;&gt;"",C1958&lt;&gt;"",D1958&lt;&gt;"",H1958&gt;0),"✓","⚠ missing")</f>
        <v/>
      </c>
      <c r="L1958" s="44" t="n"/>
      <c r="M1958" s="45" t="n"/>
      <c r="N1958" s="39" t="n"/>
      <c r="O1958" s="46" t="n"/>
    </row>
    <row r="1959">
      <c r="H1959" s="47">
        <f>IF(AND(E1959&lt;&gt;"",F1959&lt;&gt;""), F1959-E1959, IF(G1959&lt;&gt;"", G1959, 0))</f>
        <v/>
      </c>
      <c r="I1959" s="48">
        <f>H1959*Settings!$B$5</f>
        <v/>
      </c>
      <c r="K1959">
        <f>IF(AND(A1959&lt;&gt;"",C1959&lt;&gt;"",D1959&lt;&gt;"",H1959&gt;0),"✓","⚠ missing")</f>
        <v/>
      </c>
      <c r="L1959" s="44" t="n"/>
      <c r="M1959" s="45" t="n"/>
      <c r="N1959" s="39" t="n"/>
      <c r="O1959" s="46" t="n"/>
    </row>
    <row r="1960">
      <c r="H1960" s="47">
        <f>IF(AND(E1960&lt;&gt;"",F1960&lt;&gt;""), F1960-E1960, IF(G1960&lt;&gt;"", G1960, 0))</f>
        <v/>
      </c>
      <c r="I1960" s="48">
        <f>H1960*Settings!$B$5</f>
        <v/>
      </c>
      <c r="K1960">
        <f>IF(AND(A1960&lt;&gt;"",C1960&lt;&gt;"",D1960&lt;&gt;"",H1960&gt;0),"✓","⚠ missing")</f>
        <v/>
      </c>
      <c r="L1960" s="44" t="n"/>
      <c r="M1960" s="45" t="n"/>
      <c r="N1960" s="39" t="n"/>
      <c r="O1960" s="46" t="n"/>
    </row>
    <row r="1961">
      <c r="H1961" s="47">
        <f>IF(AND(E1961&lt;&gt;"",F1961&lt;&gt;""), F1961-E1961, IF(G1961&lt;&gt;"", G1961, 0))</f>
        <v/>
      </c>
      <c r="I1961" s="48">
        <f>H1961*Settings!$B$5</f>
        <v/>
      </c>
      <c r="K1961">
        <f>IF(AND(A1961&lt;&gt;"",C1961&lt;&gt;"",D1961&lt;&gt;"",H1961&gt;0),"✓","⚠ missing")</f>
        <v/>
      </c>
      <c r="L1961" s="44" t="n"/>
      <c r="M1961" s="45" t="n"/>
      <c r="N1961" s="39" t="n"/>
      <c r="O1961" s="46" t="n"/>
    </row>
    <row r="1962">
      <c r="H1962" s="47">
        <f>IF(AND(E1962&lt;&gt;"",F1962&lt;&gt;""), F1962-E1962, IF(G1962&lt;&gt;"", G1962, 0))</f>
        <v/>
      </c>
      <c r="I1962" s="48">
        <f>H1962*Settings!$B$5</f>
        <v/>
      </c>
      <c r="K1962">
        <f>IF(AND(A1962&lt;&gt;"",C1962&lt;&gt;"",D1962&lt;&gt;"",H1962&gt;0),"✓","⚠ missing")</f>
        <v/>
      </c>
      <c r="L1962" s="44" t="n"/>
      <c r="M1962" s="45" t="n"/>
      <c r="N1962" s="39" t="n"/>
      <c r="O1962" s="46" t="n"/>
    </row>
    <row r="1963">
      <c r="H1963" s="47">
        <f>IF(AND(E1963&lt;&gt;"",F1963&lt;&gt;""), F1963-E1963, IF(G1963&lt;&gt;"", G1963, 0))</f>
        <v/>
      </c>
      <c r="I1963" s="48">
        <f>H1963*Settings!$B$5</f>
        <v/>
      </c>
      <c r="K1963">
        <f>IF(AND(A1963&lt;&gt;"",C1963&lt;&gt;"",D1963&lt;&gt;"",H1963&gt;0),"✓","⚠ missing")</f>
        <v/>
      </c>
      <c r="L1963" s="44" t="n"/>
      <c r="M1963" s="45" t="n"/>
      <c r="N1963" s="39" t="n"/>
      <c r="O1963" s="46" t="n"/>
    </row>
    <row r="1964">
      <c r="H1964" s="47">
        <f>IF(AND(E1964&lt;&gt;"",F1964&lt;&gt;""), F1964-E1964, IF(G1964&lt;&gt;"", G1964, 0))</f>
        <v/>
      </c>
      <c r="I1964" s="48">
        <f>H1964*Settings!$B$5</f>
        <v/>
      </c>
      <c r="K1964">
        <f>IF(AND(A1964&lt;&gt;"",C1964&lt;&gt;"",D1964&lt;&gt;"",H1964&gt;0),"✓","⚠ missing")</f>
        <v/>
      </c>
      <c r="L1964" s="44" t="n"/>
      <c r="M1964" s="45" t="n"/>
      <c r="N1964" s="39" t="n"/>
      <c r="O1964" s="46" t="n"/>
    </row>
    <row r="1965">
      <c r="H1965" s="47">
        <f>IF(AND(E1965&lt;&gt;"",F1965&lt;&gt;""), F1965-E1965, IF(G1965&lt;&gt;"", G1965, 0))</f>
        <v/>
      </c>
      <c r="I1965" s="48">
        <f>H1965*Settings!$B$5</f>
        <v/>
      </c>
      <c r="K1965">
        <f>IF(AND(A1965&lt;&gt;"",C1965&lt;&gt;"",D1965&lt;&gt;"",H1965&gt;0),"✓","⚠ missing")</f>
        <v/>
      </c>
      <c r="L1965" s="44" t="n"/>
      <c r="M1965" s="45" t="n"/>
      <c r="N1965" s="39" t="n"/>
      <c r="O1965" s="46" t="n"/>
    </row>
    <row r="1966">
      <c r="H1966" s="47">
        <f>IF(AND(E1966&lt;&gt;"",F1966&lt;&gt;""), F1966-E1966, IF(G1966&lt;&gt;"", G1966, 0))</f>
        <v/>
      </c>
      <c r="I1966" s="48">
        <f>H1966*Settings!$B$5</f>
        <v/>
      </c>
      <c r="K1966">
        <f>IF(AND(A1966&lt;&gt;"",C1966&lt;&gt;"",D1966&lt;&gt;"",H1966&gt;0),"✓","⚠ missing")</f>
        <v/>
      </c>
      <c r="L1966" s="44" t="n"/>
      <c r="M1966" s="45" t="n"/>
      <c r="N1966" s="39" t="n"/>
      <c r="O1966" s="46" t="n"/>
    </row>
    <row r="1967">
      <c r="H1967" s="47">
        <f>IF(AND(E1967&lt;&gt;"",F1967&lt;&gt;""), F1967-E1967, IF(G1967&lt;&gt;"", G1967, 0))</f>
        <v/>
      </c>
      <c r="I1967" s="48">
        <f>H1967*Settings!$B$5</f>
        <v/>
      </c>
      <c r="K1967">
        <f>IF(AND(A1967&lt;&gt;"",C1967&lt;&gt;"",D1967&lt;&gt;"",H1967&gt;0),"✓","⚠ missing")</f>
        <v/>
      </c>
      <c r="L1967" s="44" t="n"/>
      <c r="M1967" s="45" t="n"/>
      <c r="N1967" s="39" t="n"/>
      <c r="O1967" s="46" t="n"/>
    </row>
    <row r="1968">
      <c r="H1968" s="47">
        <f>IF(AND(E1968&lt;&gt;"",F1968&lt;&gt;""), F1968-E1968, IF(G1968&lt;&gt;"", G1968, 0))</f>
        <v/>
      </c>
      <c r="I1968" s="48">
        <f>H1968*Settings!$B$5</f>
        <v/>
      </c>
      <c r="K1968">
        <f>IF(AND(A1968&lt;&gt;"",C1968&lt;&gt;"",D1968&lt;&gt;"",H1968&gt;0),"✓","⚠ missing")</f>
        <v/>
      </c>
      <c r="L1968" s="44" t="n"/>
      <c r="M1968" s="45" t="n"/>
      <c r="N1968" s="39" t="n"/>
      <c r="O1968" s="46" t="n"/>
    </row>
    <row r="1969">
      <c r="H1969" s="47">
        <f>IF(AND(E1969&lt;&gt;"",F1969&lt;&gt;""), F1969-E1969, IF(G1969&lt;&gt;"", G1969, 0))</f>
        <v/>
      </c>
      <c r="I1969" s="48">
        <f>H1969*Settings!$B$5</f>
        <v/>
      </c>
      <c r="K1969">
        <f>IF(AND(A1969&lt;&gt;"",C1969&lt;&gt;"",D1969&lt;&gt;"",H1969&gt;0),"✓","⚠ missing")</f>
        <v/>
      </c>
      <c r="L1969" s="44" t="n"/>
      <c r="M1969" s="45" t="n"/>
      <c r="N1969" s="39" t="n"/>
      <c r="O1969" s="46" t="n"/>
    </row>
    <row r="1970">
      <c r="H1970" s="47">
        <f>IF(AND(E1970&lt;&gt;"",F1970&lt;&gt;""), F1970-E1970, IF(G1970&lt;&gt;"", G1970, 0))</f>
        <v/>
      </c>
      <c r="I1970" s="48">
        <f>H1970*Settings!$B$5</f>
        <v/>
      </c>
      <c r="K1970">
        <f>IF(AND(A1970&lt;&gt;"",C1970&lt;&gt;"",D1970&lt;&gt;"",H1970&gt;0),"✓","⚠ missing")</f>
        <v/>
      </c>
      <c r="L1970" s="44" t="n"/>
      <c r="M1970" s="45" t="n"/>
      <c r="N1970" s="39" t="n"/>
      <c r="O1970" s="46" t="n"/>
    </row>
    <row r="1971">
      <c r="H1971" s="47">
        <f>IF(AND(E1971&lt;&gt;"",F1971&lt;&gt;""), F1971-E1971, IF(G1971&lt;&gt;"", G1971, 0))</f>
        <v/>
      </c>
      <c r="I1971" s="48">
        <f>H1971*Settings!$B$5</f>
        <v/>
      </c>
      <c r="K1971">
        <f>IF(AND(A1971&lt;&gt;"",C1971&lt;&gt;"",D1971&lt;&gt;"",H1971&gt;0),"✓","⚠ missing")</f>
        <v/>
      </c>
      <c r="L1971" s="44" t="n"/>
      <c r="M1971" s="45" t="n"/>
      <c r="N1971" s="39" t="n"/>
      <c r="O1971" s="46" t="n"/>
    </row>
    <row r="1972">
      <c r="H1972" s="47">
        <f>IF(AND(E1972&lt;&gt;"",F1972&lt;&gt;""), F1972-E1972, IF(G1972&lt;&gt;"", G1972, 0))</f>
        <v/>
      </c>
      <c r="I1972" s="48">
        <f>H1972*Settings!$B$5</f>
        <v/>
      </c>
      <c r="K1972">
        <f>IF(AND(A1972&lt;&gt;"",C1972&lt;&gt;"",D1972&lt;&gt;"",H1972&gt;0),"✓","⚠ missing")</f>
        <v/>
      </c>
      <c r="L1972" s="44" t="n"/>
      <c r="M1972" s="45" t="n"/>
      <c r="N1972" s="39" t="n"/>
      <c r="O1972" s="46" t="n"/>
    </row>
    <row r="1973">
      <c r="H1973" s="47">
        <f>IF(AND(E1973&lt;&gt;"",F1973&lt;&gt;""), F1973-E1973, IF(G1973&lt;&gt;"", G1973, 0))</f>
        <v/>
      </c>
      <c r="I1973" s="48">
        <f>H1973*Settings!$B$5</f>
        <v/>
      </c>
      <c r="K1973">
        <f>IF(AND(A1973&lt;&gt;"",C1973&lt;&gt;"",D1973&lt;&gt;"",H1973&gt;0),"✓","⚠ missing")</f>
        <v/>
      </c>
      <c r="L1973" s="44" t="n"/>
      <c r="M1973" s="45" t="n"/>
      <c r="N1973" s="39" t="n"/>
      <c r="O1973" s="46" t="n"/>
    </row>
    <row r="1974">
      <c r="H1974" s="47">
        <f>IF(AND(E1974&lt;&gt;"",F1974&lt;&gt;""), F1974-E1974, IF(G1974&lt;&gt;"", G1974, 0))</f>
        <v/>
      </c>
      <c r="I1974" s="48">
        <f>H1974*Settings!$B$5</f>
        <v/>
      </c>
      <c r="K1974">
        <f>IF(AND(A1974&lt;&gt;"",C1974&lt;&gt;"",D1974&lt;&gt;"",H1974&gt;0),"✓","⚠ missing")</f>
        <v/>
      </c>
      <c r="L1974" s="44" t="n"/>
      <c r="M1974" s="45" t="n"/>
      <c r="N1974" s="39" t="n"/>
      <c r="O1974" s="46" t="n"/>
    </row>
    <row r="1975">
      <c r="H1975" s="47">
        <f>IF(AND(E1975&lt;&gt;"",F1975&lt;&gt;""), F1975-E1975, IF(G1975&lt;&gt;"", G1975, 0))</f>
        <v/>
      </c>
      <c r="I1975" s="48">
        <f>H1975*Settings!$B$5</f>
        <v/>
      </c>
      <c r="K1975">
        <f>IF(AND(A1975&lt;&gt;"",C1975&lt;&gt;"",D1975&lt;&gt;"",H1975&gt;0),"✓","⚠ missing")</f>
        <v/>
      </c>
      <c r="L1975" s="44" t="n"/>
      <c r="M1975" s="45" t="n"/>
      <c r="N1975" s="39" t="n"/>
      <c r="O1975" s="46" t="n"/>
    </row>
    <row r="1976">
      <c r="H1976" s="47">
        <f>IF(AND(E1976&lt;&gt;"",F1976&lt;&gt;""), F1976-E1976, IF(G1976&lt;&gt;"", G1976, 0))</f>
        <v/>
      </c>
      <c r="I1976" s="48">
        <f>H1976*Settings!$B$5</f>
        <v/>
      </c>
      <c r="K1976">
        <f>IF(AND(A1976&lt;&gt;"",C1976&lt;&gt;"",D1976&lt;&gt;"",H1976&gt;0),"✓","⚠ missing")</f>
        <v/>
      </c>
      <c r="L1976" s="44" t="n"/>
      <c r="M1976" s="45" t="n"/>
      <c r="N1976" s="39" t="n"/>
      <c r="O1976" s="46" t="n"/>
    </row>
    <row r="1977">
      <c r="H1977" s="47">
        <f>IF(AND(E1977&lt;&gt;"",F1977&lt;&gt;""), F1977-E1977, IF(G1977&lt;&gt;"", G1977, 0))</f>
        <v/>
      </c>
      <c r="I1977" s="48">
        <f>H1977*Settings!$B$5</f>
        <v/>
      </c>
      <c r="K1977">
        <f>IF(AND(A1977&lt;&gt;"",C1977&lt;&gt;"",D1977&lt;&gt;"",H1977&gt;0),"✓","⚠ missing")</f>
        <v/>
      </c>
      <c r="L1977" s="44" t="n"/>
      <c r="M1977" s="45" t="n"/>
      <c r="N1977" s="39" t="n"/>
      <c r="O1977" s="46" t="n"/>
    </row>
    <row r="1978">
      <c r="H1978" s="47">
        <f>IF(AND(E1978&lt;&gt;"",F1978&lt;&gt;""), F1978-E1978, IF(G1978&lt;&gt;"", G1978, 0))</f>
        <v/>
      </c>
      <c r="I1978" s="48">
        <f>H1978*Settings!$B$5</f>
        <v/>
      </c>
      <c r="K1978">
        <f>IF(AND(A1978&lt;&gt;"",C1978&lt;&gt;"",D1978&lt;&gt;"",H1978&gt;0),"✓","⚠ missing")</f>
        <v/>
      </c>
      <c r="L1978" s="44" t="n"/>
      <c r="M1978" s="45" t="n"/>
      <c r="N1978" s="39" t="n"/>
      <c r="O1978" s="46" t="n"/>
    </row>
    <row r="1979">
      <c r="H1979" s="47">
        <f>IF(AND(E1979&lt;&gt;"",F1979&lt;&gt;""), F1979-E1979, IF(G1979&lt;&gt;"", G1979, 0))</f>
        <v/>
      </c>
      <c r="I1979" s="48">
        <f>H1979*Settings!$B$5</f>
        <v/>
      </c>
      <c r="K1979">
        <f>IF(AND(A1979&lt;&gt;"",C1979&lt;&gt;"",D1979&lt;&gt;"",H1979&gt;0),"✓","⚠ missing")</f>
        <v/>
      </c>
      <c r="L1979" s="44" t="n"/>
      <c r="M1979" s="45" t="n"/>
      <c r="N1979" s="39" t="n"/>
      <c r="O1979" s="46" t="n"/>
    </row>
    <row r="1980">
      <c r="H1980" s="47">
        <f>IF(AND(E1980&lt;&gt;"",F1980&lt;&gt;""), F1980-E1980, IF(G1980&lt;&gt;"", G1980, 0))</f>
        <v/>
      </c>
      <c r="I1980" s="48">
        <f>H1980*Settings!$B$5</f>
        <v/>
      </c>
      <c r="K1980">
        <f>IF(AND(A1980&lt;&gt;"",C1980&lt;&gt;"",D1980&lt;&gt;"",H1980&gt;0),"✓","⚠ missing")</f>
        <v/>
      </c>
      <c r="L1980" s="44" t="n"/>
      <c r="M1980" s="45" t="n"/>
      <c r="N1980" s="39" t="n"/>
      <c r="O1980" s="46" t="n"/>
    </row>
    <row r="1981">
      <c r="H1981" s="47">
        <f>IF(AND(E1981&lt;&gt;"",F1981&lt;&gt;""), F1981-E1981, IF(G1981&lt;&gt;"", G1981, 0))</f>
        <v/>
      </c>
      <c r="I1981" s="48">
        <f>H1981*Settings!$B$5</f>
        <v/>
      </c>
      <c r="K1981">
        <f>IF(AND(A1981&lt;&gt;"",C1981&lt;&gt;"",D1981&lt;&gt;"",H1981&gt;0),"✓","⚠ missing")</f>
        <v/>
      </c>
      <c r="L1981" s="44" t="n"/>
      <c r="M1981" s="45" t="n"/>
      <c r="N1981" s="39" t="n"/>
      <c r="O1981" s="46" t="n"/>
    </row>
    <row r="1982">
      <c r="H1982" s="47">
        <f>IF(AND(E1982&lt;&gt;"",F1982&lt;&gt;""), F1982-E1982, IF(G1982&lt;&gt;"", G1982, 0))</f>
        <v/>
      </c>
      <c r="I1982" s="48">
        <f>H1982*Settings!$B$5</f>
        <v/>
      </c>
      <c r="K1982">
        <f>IF(AND(A1982&lt;&gt;"",C1982&lt;&gt;"",D1982&lt;&gt;"",H1982&gt;0),"✓","⚠ missing")</f>
        <v/>
      </c>
      <c r="L1982" s="44" t="n"/>
      <c r="M1982" s="45" t="n"/>
      <c r="N1982" s="39" t="n"/>
      <c r="O1982" s="46" t="n"/>
    </row>
    <row r="1983">
      <c r="H1983" s="47">
        <f>IF(AND(E1983&lt;&gt;"",F1983&lt;&gt;""), F1983-E1983, IF(G1983&lt;&gt;"", G1983, 0))</f>
        <v/>
      </c>
      <c r="I1983" s="48">
        <f>H1983*Settings!$B$5</f>
        <v/>
      </c>
      <c r="K1983">
        <f>IF(AND(A1983&lt;&gt;"",C1983&lt;&gt;"",D1983&lt;&gt;"",H1983&gt;0),"✓","⚠ missing")</f>
        <v/>
      </c>
      <c r="L1983" s="44" t="n"/>
      <c r="M1983" s="45" t="n"/>
      <c r="N1983" s="39" t="n"/>
      <c r="O1983" s="46" t="n"/>
    </row>
    <row r="1984">
      <c r="H1984" s="47">
        <f>IF(AND(E1984&lt;&gt;"",F1984&lt;&gt;""), F1984-E1984, IF(G1984&lt;&gt;"", G1984, 0))</f>
        <v/>
      </c>
      <c r="I1984" s="48">
        <f>H1984*Settings!$B$5</f>
        <v/>
      </c>
      <c r="K1984">
        <f>IF(AND(A1984&lt;&gt;"",C1984&lt;&gt;"",D1984&lt;&gt;"",H1984&gt;0),"✓","⚠ missing")</f>
        <v/>
      </c>
      <c r="L1984" s="44" t="n"/>
      <c r="M1984" s="45" t="n"/>
      <c r="N1984" s="39" t="n"/>
      <c r="O1984" s="46" t="n"/>
    </row>
    <row r="1985">
      <c r="H1985" s="47">
        <f>IF(AND(E1985&lt;&gt;"",F1985&lt;&gt;""), F1985-E1985, IF(G1985&lt;&gt;"", G1985, 0))</f>
        <v/>
      </c>
      <c r="I1985" s="48">
        <f>H1985*Settings!$B$5</f>
        <v/>
      </c>
      <c r="K1985">
        <f>IF(AND(A1985&lt;&gt;"",C1985&lt;&gt;"",D1985&lt;&gt;"",H1985&gt;0),"✓","⚠ missing")</f>
        <v/>
      </c>
      <c r="L1985" s="44" t="n"/>
      <c r="M1985" s="45" t="n"/>
      <c r="N1985" s="39" t="n"/>
      <c r="O1985" s="46" t="n"/>
    </row>
    <row r="1986">
      <c r="H1986" s="47">
        <f>IF(AND(E1986&lt;&gt;"",F1986&lt;&gt;""), F1986-E1986, IF(G1986&lt;&gt;"", G1986, 0))</f>
        <v/>
      </c>
      <c r="I1986" s="48">
        <f>H1986*Settings!$B$5</f>
        <v/>
      </c>
      <c r="K1986">
        <f>IF(AND(A1986&lt;&gt;"",C1986&lt;&gt;"",D1986&lt;&gt;"",H1986&gt;0),"✓","⚠ missing")</f>
        <v/>
      </c>
      <c r="L1986" s="44" t="n"/>
      <c r="M1986" s="45" t="n"/>
      <c r="N1986" s="39" t="n"/>
      <c r="O1986" s="46" t="n"/>
    </row>
    <row r="1987">
      <c r="H1987" s="47">
        <f>IF(AND(E1987&lt;&gt;"",F1987&lt;&gt;""), F1987-E1987, IF(G1987&lt;&gt;"", G1987, 0))</f>
        <v/>
      </c>
      <c r="I1987" s="48">
        <f>H1987*Settings!$B$5</f>
        <v/>
      </c>
      <c r="K1987">
        <f>IF(AND(A1987&lt;&gt;"",C1987&lt;&gt;"",D1987&lt;&gt;"",H1987&gt;0),"✓","⚠ missing")</f>
        <v/>
      </c>
      <c r="L1987" s="44" t="n"/>
      <c r="M1987" s="45" t="n"/>
      <c r="N1987" s="39" t="n"/>
      <c r="O1987" s="46" t="n"/>
    </row>
    <row r="1988">
      <c r="H1988" s="47">
        <f>IF(AND(E1988&lt;&gt;"",F1988&lt;&gt;""), F1988-E1988, IF(G1988&lt;&gt;"", G1988, 0))</f>
        <v/>
      </c>
      <c r="I1988" s="48">
        <f>H1988*Settings!$B$5</f>
        <v/>
      </c>
      <c r="K1988">
        <f>IF(AND(A1988&lt;&gt;"",C1988&lt;&gt;"",D1988&lt;&gt;"",H1988&gt;0),"✓","⚠ missing")</f>
        <v/>
      </c>
      <c r="L1988" s="44" t="n"/>
      <c r="M1988" s="45" t="n"/>
      <c r="N1988" s="39" t="n"/>
      <c r="O1988" s="46" t="n"/>
    </row>
    <row r="1989">
      <c r="H1989" s="47">
        <f>IF(AND(E1989&lt;&gt;"",F1989&lt;&gt;""), F1989-E1989, IF(G1989&lt;&gt;"", G1989, 0))</f>
        <v/>
      </c>
      <c r="I1989" s="48">
        <f>H1989*Settings!$B$5</f>
        <v/>
      </c>
      <c r="K1989">
        <f>IF(AND(A1989&lt;&gt;"",C1989&lt;&gt;"",D1989&lt;&gt;"",H1989&gt;0),"✓","⚠ missing")</f>
        <v/>
      </c>
      <c r="L1989" s="44" t="n"/>
      <c r="M1989" s="45" t="n"/>
      <c r="N1989" s="39" t="n"/>
      <c r="O1989" s="46" t="n"/>
    </row>
    <row r="1990">
      <c r="H1990" s="47">
        <f>IF(AND(E1990&lt;&gt;"",F1990&lt;&gt;""), F1990-E1990, IF(G1990&lt;&gt;"", G1990, 0))</f>
        <v/>
      </c>
      <c r="I1990" s="48">
        <f>H1990*Settings!$B$5</f>
        <v/>
      </c>
      <c r="K1990">
        <f>IF(AND(A1990&lt;&gt;"",C1990&lt;&gt;"",D1990&lt;&gt;"",H1990&gt;0),"✓","⚠ missing")</f>
        <v/>
      </c>
      <c r="L1990" s="44" t="n"/>
      <c r="M1990" s="45" t="n"/>
      <c r="N1990" s="39" t="n"/>
      <c r="O1990" s="46" t="n"/>
    </row>
    <row r="1991">
      <c r="H1991" s="47">
        <f>IF(AND(E1991&lt;&gt;"",F1991&lt;&gt;""), F1991-E1991, IF(G1991&lt;&gt;"", G1991, 0))</f>
        <v/>
      </c>
      <c r="I1991" s="48">
        <f>H1991*Settings!$B$5</f>
        <v/>
      </c>
      <c r="K1991">
        <f>IF(AND(A1991&lt;&gt;"",C1991&lt;&gt;"",D1991&lt;&gt;"",H1991&gt;0),"✓","⚠ missing")</f>
        <v/>
      </c>
      <c r="L1991" s="44" t="n"/>
      <c r="M1991" s="45" t="n"/>
      <c r="N1991" s="39" t="n"/>
      <c r="O1991" s="46" t="n"/>
    </row>
    <row r="1992">
      <c r="H1992" s="47">
        <f>IF(AND(E1992&lt;&gt;"",F1992&lt;&gt;""), F1992-E1992, IF(G1992&lt;&gt;"", G1992, 0))</f>
        <v/>
      </c>
      <c r="I1992" s="48">
        <f>H1992*Settings!$B$5</f>
        <v/>
      </c>
      <c r="K1992">
        <f>IF(AND(A1992&lt;&gt;"",C1992&lt;&gt;"",D1992&lt;&gt;"",H1992&gt;0),"✓","⚠ missing")</f>
        <v/>
      </c>
      <c r="L1992" s="44" t="n"/>
      <c r="M1992" s="45" t="n"/>
      <c r="N1992" s="39" t="n"/>
      <c r="O1992" s="46" t="n"/>
    </row>
    <row r="1993">
      <c r="H1993" s="47">
        <f>IF(AND(E1993&lt;&gt;"",F1993&lt;&gt;""), F1993-E1993, IF(G1993&lt;&gt;"", G1993, 0))</f>
        <v/>
      </c>
      <c r="I1993" s="48">
        <f>H1993*Settings!$B$5</f>
        <v/>
      </c>
      <c r="K1993">
        <f>IF(AND(A1993&lt;&gt;"",C1993&lt;&gt;"",D1993&lt;&gt;"",H1993&gt;0),"✓","⚠ missing")</f>
        <v/>
      </c>
      <c r="L1993" s="44" t="n"/>
      <c r="M1993" s="45" t="n"/>
      <c r="N1993" s="39" t="n"/>
      <c r="O1993" s="46" t="n"/>
    </row>
    <row r="1994">
      <c r="H1994" s="47">
        <f>IF(AND(E1994&lt;&gt;"",F1994&lt;&gt;""), F1994-E1994, IF(G1994&lt;&gt;"", G1994, 0))</f>
        <v/>
      </c>
      <c r="I1994" s="48">
        <f>H1994*Settings!$B$5</f>
        <v/>
      </c>
      <c r="K1994">
        <f>IF(AND(A1994&lt;&gt;"",C1994&lt;&gt;"",D1994&lt;&gt;"",H1994&gt;0),"✓","⚠ missing")</f>
        <v/>
      </c>
      <c r="L1994" s="44" t="n"/>
      <c r="M1994" s="45" t="n"/>
      <c r="N1994" s="39" t="n"/>
      <c r="O1994" s="46" t="n"/>
    </row>
    <row r="1995">
      <c r="H1995" s="47">
        <f>IF(AND(E1995&lt;&gt;"",F1995&lt;&gt;""), F1995-E1995, IF(G1995&lt;&gt;"", G1995, 0))</f>
        <v/>
      </c>
      <c r="I1995" s="48">
        <f>H1995*Settings!$B$5</f>
        <v/>
      </c>
      <c r="K1995">
        <f>IF(AND(A1995&lt;&gt;"",C1995&lt;&gt;"",D1995&lt;&gt;"",H1995&gt;0),"✓","⚠ missing")</f>
        <v/>
      </c>
      <c r="L1995" s="44" t="n"/>
      <c r="M1995" s="45" t="n"/>
      <c r="N1995" s="39" t="n"/>
      <c r="O1995" s="46" t="n"/>
    </row>
    <row r="1996">
      <c r="H1996" s="47">
        <f>IF(AND(E1996&lt;&gt;"",F1996&lt;&gt;""), F1996-E1996, IF(G1996&lt;&gt;"", G1996, 0))</f>
        <v/>
      </c>
      <c r="I1996" s="48">
        <f>H1996*Settings!$B$5</f>
        <v/>
      </c>
      <c r="K1996">
        <f>IF(AND(A1996&lt;&gt;"",C1996&lt;&gt;"",D1996&lt;&gt;"",H1996&gt;0),"✓","⚠ missing")</f>
        <v/>
      </c>
      <c r="L1996" s="44" t="n"/>
      <c r="M1996" s="45" t="n"/>
      <c r="N1996" s="39" t="n"/>
      <c r="O1996" s="46" t="n"/>
    </row>
    <row r="1997">
      <c r="H1997" s="47">
        <f>IF(AND(E1997&lt;&gt;"",F1997&lt;&gt;""), F1997-E1997, IF(G1997&lt;&gt;"", G1997, 0))</f>
        <v/>
      </c>
      <c r="I1997" s="48">
        <f>H1997*Settings!$B$5</f>
        <v/>
      </c>
      <c r="K1997">
        <f>IF(AND(A1997&lt;&gt;"",C1997&lt;&gt;"",D1997&lt;&gt;"",H1997&gt;0),"✓","⚠ missing")</f>
        <v/>
      </c>
      <c r="L1997" s="44" t="n"/>
      <c r="M1997" s="45" t="n"/>
      <c r="N1997" s="39" t="n"/>
      <c r="O1997" s="46" t="n"/>
    </row>
    <row r="1998">
      <c r="H1998" s="47">
        <f>IF(AND(E1998&lt;&gt;"",F1998&lt;&gt;""), F1998-E1998, IF(G1998&lt;&gt;"", G1998, 0))</f>
        <v/>
      </c>
      <c r="I1998" s="48">
        <f>H1998*Settings!$B$5</f>
        <v/>
      </c>
      <c r="K1998">
        <f>IF(AND(A1998&lt;&gt;"",C1998&lt;&gt;"",D1998&lt;&gt;"",H1998&gt;0),"✓","⚠ missing")</f>
        <v/>
      </c>
      <c r="L1998" s="44" t="n"/>
      <c r="M1998" s="45" t="n"/>
      <c r="N1998" s="39" t="n"/>
      <c r="O1998" s="46" t="n"/>
    </row>
    <row r="1999">
      <c r="H1999" s="47">
        <f>IF(AND(E1999&lt;&gt;"",F1999&lt;&gt;""), F1999-E1999, IF(G1999&lt;&gt;"", G1999, 0))</f>
        <v/>
      </c>
      <c r="I1999" s="48">
        <f>H1999*Settings!$B$5</f>
        <v/>
      </c>
      <c r="K1999">
        <f>IF(AND(A1999&lt;&gt;"",C1999&lt;&gt;"",D1999&lt;&gt;"",H1999&gt;0),"✓","⚠ missing")</f>
        <v/>
      </c>
      <c r="L1999" s="44" t="n"/>
      <c r="M1999" s="45" t="n"/>
      <c r="N1999" s="39" t="n"/>
      <c r="O1999" s="46" t="n"/>
    </row>
    <row r="2000">
      <c r="H2000" s="47">
        <f>IF(AND(E2000&lt;&gt;"",F2000&lt;&gt;""), F2000-E2000, IF(G2000&lt;&gt;"", G2000, 0))</f>
        <v/>
      </c>
      <c r="I2000" s="48">
        <f>H2000*Settings!$B$5</f>
        <v/>
      </c>
      <c r="K2000">
        <f>IF(AND(A2000&lt;&gt;"",C2000&lt;&gt;"",D2000&lt;&gt;"",H2000&gt;0),"✓","⚠ missing")</f>
        <v/>
      </c>
      <c r="L2000" s="44" t="n"/>
      <c r="M2000" s="45" t="n"/>
      <c r="N2000" s="39" t="n"/>
      <c r="O2000" s="46" t="n"/>
    </row>
    <row r="2001">
      <c r="H2001" s="47">
        <f>IF(AND(E2001&lt;&gt;"",F2001&lt;&gt;""), F2001-E2001, IF(G2001&lt;&gt;"", G2001, 0))</f>
        <v/>
      </c>
      <c r="I2001" s="48">
        <f>H2001*Settings!$B$5</f>
        <v/>
      </c>
      <c r="K2001">
        <f>IF(AND(A2001&lt;&gt;"",C2001&lt;&gt;"",D2001&lt;&gt;"",H2001&gt;0),"✓","⚠ missing")</f>
        <v/>
      </c>
      <c r="L2001" s="44" t="n"/>
      <c r="M2001" s="45" t="n"/>
      <c r="N2001" s="39" t="n"/>
      <c r="O2001" s="46" t="n"/>
    </row>
    <row r="2002">
      <c r="H2002" s="47">
        <f>IF(AND(E2002&lt;&gt;"",F2002&lt;&gt;""), F2002-E2002, IF(G2002&lt;&gt;"", G2002, 0))</f>
        <v/>
      </c>
      <c r="I2002" s="48">
        <f>H2002*Settings!$B$5</f>
        <v/>
      </c>
      <c r="K2002">
        <f>IF(AND(A2002&lt;&gt;"",C2002&lt;&gt;"",D2002&lt;&gt;"",H2002&gt;0),"✓","⚠ missing")</f>
        <v/>
      </c>
      <c r="L2002" s="44" t="n"/>
      <c r="M2002" s="45" t="n"/>
      <c r="N2002" s="39" t="n"/>
      <c r="O2002" s="46" t="n"/>
    </row>
    <row r="2003">
      <c r="H2003" s="47">
        <f>IF(AND(E2003&lt;&gt;"",F2003&lt;&gt;""), F2003-E2003, IF(G2003&lt;&gt;"", G2003, 0))</f>
        <v/>
      </c>
      <c r="I2003" s="48">
        <f>H2003*Settings!$B$5</f>
        <v/>
      </c>
      <c r="K2003">
        <f>IF(AND(A2003&lt;&gt;"",C2003&lt;&gt;"",D2003&lt;&gt;"",H2003&gt;0),"✓","⚠ missing")</f>
        <v/>
      </c>
      <c r="L2003" s="44" t="n"/>
      <c r="M2003" s="45" t="n"/>
      <c r="N2003" s="39" t="n"/>
      <c r="O2003" s="46" t="n"/>
    </row>
    <row r="2004">
      <c r="H2004" s="47">
        <f>IF(AND(E2004&lt;&gt;"",F2004&lt;&gt;""), F2004-E2004, IF(G2004&lt;&gt;"", G2004, 0))</f>
        <v/>
      </c>
      <c r="I2004" s="48">
        <f>H2004*Settings!$B$5</f>
        <v/>
      </c>
      <c r="K2004">
        <f>IF(AND(A2004&lt;&gt;"",C2004&lt;&gt;"",D2004&lt;&gt;"",H2004&gt;0),"✓","⚠ missing")</f>
        <v/>
      </c>
      <c r="L2004" s="44" t="n"/>
      <c r="M2004" s="45" t="n"/>
      <c r="N2004" s="39" t="n"/>
      <c r="O2004" s="46" t="n"/>
    </row>
    <row r="2005">
      <c r="H2005" s="47">
        <f>IF(AND(E2005&lt;&gt;"",F2005&lt;&gt;""), F2005-E2005, IF(G2005&lt;&gt;"", G2005, 0))</f>
        <v/>
      </c>
      <c r="I2005" s="48">
        <f>H2005*Settings!$B$5</f>
        <v/>
      </c>
      <c r="K2005">
        <f>IF(AND(A2005&lt;&gt;"",C2005&lt;&gt;"",D2005&lt;&gt;"",H2005&gt;0),"✓","⚠ missing")</f>
        <v/>
      </c>
      <c r="L2005" s="44" t="n"/>
      <c r="M2005" s="45" t="n"/>
      <c r="N2005" s="39" t="n"/>
      <c r="O2005" s="46" t="n"/>
    </row>
  </sheetData>
  <mergeCells count="4">
    <mergeCell ref="J2:L2"/>
    <mergeCell ref="D2:I2"/>
    <mergeCell ref="A2:C2"/>
    <mergeCell ref="A4:L4"/>
  </mergeCells>
  <conditionalFormatting sqref="K6:K2005">
    <cfRule type="expression" priority="1" dxfId="0">
      <formula>K6="⚠ missing"</formula>
    </cfRule>
    <cfRule type="expression" priority="2" dxfId="1">
      <formula>K6="✓"</formula>
    </cfRule>
  </conditionalFormatting>
  <dataValidations count="3">
    <dataValidation sqref="B6:B2005" showDropDown="0" showInputMessage="0" showErrorMessage="0" allowBlank="1" type="list">
      <formula1>=Settings!$E$11:$E$30</formula1>
    </dataValidation>
    <dataValidation sqref="D6:D2005" showDropDown="0" showInputMessage="0" showErrorMessage="0" allowBlank="1" type="list">
      <formula1>=Settings!$G$11:$G$30</formula1>
    </dataValidation>
    <dataValidation sqref="M6:M2005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HYPERLINK("#'Mileage Log'!A1", "← BACK")</f>
        <v/>
      </c>
      <c r="B2" s="12" t="n"/>
      <c r="C2" s="12" t="n"/>
      <c r="D2" s="36" t="inlineStr">
        <is>
          <t>MONTHLY SUMMARY</t>
        </is>
      </c>
      <c r="J2" s="28">
        <f>HYPERLINK("#'YTD Dashboard'!A1",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Auto-calculated from the Mileage Log</t>
        </is>
      </c>
    </row>
    <row r="5" ht="20" customHeight="1">
      <c r="A5" s="38" t="inlineStr">
        <is>
          <t>Month</t>
        </is>
      </c>
      <c r="B5" s="38" t="inlineStr">
        <is>
          <t>Miles</t>
        </is>
      </c>
      <c r="C5" s="38" t="inlineStr">
        <is>
          <t>$ Deduction</t>
        </is>
      </c>
      <c r="D5" s="38" t="inlineStr">
        <is>
          <t>Trip Count</t>
        </is>
      </c>
    </row>
    <row r="6" ht="16" customHeight="1">
      <c r="A6" s="49" t="inlineStr">
        <is>
          <t>Jan</t>
        </is>
      </c>
      <c r="B6" s="41">
        <f>SUMIFS('Mileage Log'!$H:$H,'Mileage Log'!$A:$A,"&gt;="&amp;DATE(Settings!$B$6,1,1),'Mileage Log'!$A:$A,"&lt;"&amp;DATE(Settings!$B$6,2,1))</f>
        <v/>
      </c>
      <c r="C6" s="42">
        <f>B6*Settings!$B$5</f>
        <v/>
      </c>
      <c r="D6" s="43">
        <f>COUNTIFS('Mileage Log'!$A:$A,"&gt;="&amp;DATE(Settings!$B$6,1,1),'Mileage Log'!$A:$A,"&lt;"&amp;DATE(Settings!$B$6,2,1))</f>
        <v/>
      </c>
    </row>
    <row r="7" ht="16" customHeight="1">
      <c r="A7" s="49" t="inlineStr">
        <is>
          <t>Feb</t>
        </is>
      </c>
      <c r="B7" s="41">
        <f>SUMIFS('Mileage Log'!$H:$H,'Mileage Log'!$A:$A,"&gt;="&amp;DATE(Settings!$B$6,2,1),'Mileage Log'!$A:$A,"&lt;"&amp;DATE(Settings!$B$6,3,1))</f>
        <v/>
      </c>
      <c r="C7" s="42">
        <f>B7*Settings!$B$5</f>
        <v/>
      </c>
      <c r="D7" s="43">
        <f>COUNTIFS('Mileage Log'!$A:$A,"&gt;="&amp;DATE(Settings!$B$6,2,1),'Mileage Log'!$A:$A,"&lt;"&amp;DATE(Settings!$B$6,3,1))</f>
        <v/>
      </c>
    </row>
    <row r="8" ht="16" customHeight="1">
      <c r="A8" s="49" t="inlineStr">
        <is>
          <t>Mar</t>
        </is>
      </c>
      <c r="B8" s="41">
        <f>SUMIFS('Mileage Log'!$H:$H,'Mileage Log'!$A:$A,"&gt;="&amp;DATE(Settings!$B$6,3,1),'Mileage Log'!$A:$A,"&lt;"&amp;DATE(Settings!$B$6,4,1))</f>
        <v/>
      </c>
      <c r="C8" s="42">
        <f>B8*Settings!$B$5</f>
        <v/>
      </c>
      <c r="D8" s="43">
        <f>COUNTIFS('Mileage Log'!$A:$A,"&gt;="&amp;DATE(Settings!$B$6,3,1),'Mileage Log'!$A:$A,"&lt;"&amp;DATE(Settings!$B$6,4,1))</f>
        <v/>
      </c>
    </row>
    <row r="9" ht="16" customHeight="1">
      <c r="A9" s="49" t="inlineStr">
        <is>
          <t>Apr</t>
        </is>
      </c>
      <c r="B9" s="41">
        <f>SUMIFS('Mileage Log'!$H:$H,'Mileage Log'!$A:$A,"&gt;="&amp;DATE(Settings!$B$6,4,1),'Mileage Log'!$A:$A,"&lt;"&amp;DATE(Settings!$B$6,5,1))</f>
        <v/>
      </c>
      <c r="C9" s="42">
        <f>B9*Settings!$B$5</f>
        <v/>
      </c>
      <c r="D9" s="43">
        <f>COUNTIFS('Mileage Log'!$A:$A,"&gt;="&amp;DATE(Settings!$B$6,4,1),'Mileage Log'!$A:$A,"&lt;"&amp;DATE(Settings!$B$6,5,1))</f>
        <v/>
      </c>
    </row>
    <row r="10" ht="16" customHeight="1">
      <c r="A10" s="49" t="inlineStr">
        <is>
          <t>May</t>
        </is>
      </c>
      <c r="B10" s="41">
        <f>SUMIFS('Mileage Log'!$H:$H,'Mileage Log'!$A:$A,"&gt;="&amp;DATE(Settings!$B$6,5,1),'Mileage Log'!$A:$A,"&lt;"&amp;DATE(Settings!$B$6,6,1))</f>
        <v/>
      </c>
      <c r="C10" s="42">
        <f>B10*Settings!$B$5</f>
        <v/>
      </c>
      <c r="D10" s="43">
        <f>COUNTIFS('Mileage Log'!$A:$A,"&gt;="&amp;DATE(Settings!$B$6,5,1),'Mileage Log'!$A:$A,"&lt;"&amp;DATE(Settings!$B$6,6,1))</f>
        <v/>
      </c>
    </row>
    <row r="11" ht="16" customHeight="1">
      <c r="A11" s="49" t="inlineStr">
        <is>
          <t>Jun</t>
        </is>
      </c>
      <c r="B11" s="41">
        <f>SUMIFS('Mileage Log'!$H:$H,'Mileage Log'!$A:$A,"&gt;="&amp;DATE(Settings!$B$6,6,1),'Mileage Log'!$A:$A,"&lt;"&amp;DATE(Settings!$B$6,7,1))</f>
        <v/>
      </c>
      <c r="C11" s="42">
        <f>B11*Settings!$B$5</f>
        <v/>
      </c>
      <c r="D11" s="43">
        <f>COUNTIFS('Mileage Log'!$A:$A,"&gt;="&amp;DATE(Settings!$B$6,6,1),'Mileage Log'!$A:$A,"&lt;"&amp;DATE(Settings!$B$6,7,1))</f>
        <v/>
      </c>
    </row>
    <row r="12" ht="16" customHeight="1">
      <c r="A12" s="49" t="inlineStr">
        <is>
          <t>Jul</t>
        </is>
      </c>
      <c r="B12" s="41">
        <f>SUMIFS('Mileage Log'!$H:$H,'Mileage Log'!$A:$A,"&gt;="&amp;DATE(Settings!$B$6,7,1),'Mileage Log'!$A:$A,"&lt;"&amp;DATE(Settings!$B$6,8,1))</f>
        <v/>
      </c>
      <c r="C12" s="42">
        <f>B12*Settings!$B$5</f>
        <v/>
      </c>
      <c r="D12" s="43">
        <f>COUNTIFS('Mileage Log'!$A:$A,"&gt;="&amp;DATE(Settings!$B$6,7,1),'Mileage Log'!$A:$A,"&lt;"&amp;DATE(Settings!$B$6,8,1))</f>
        <v/>
      </c>
    </row>
    <row r="13" ht="16" customHeight="1">
      <c r="A13" s="49" t="inlineStr">
        <is>
          <t>Aug</t>
        </is>
      </c>
      <c r="B13" s="41">
        <f>SUMIFS('Mileage Log'!$H:$H,'Mileage Log'!$A:$A,"&gt;="&amp;DATE(Settings!$B$6,8,1),'Mileage Log'!$A:$A,"&lt;"&amp;DATE(Settings!$B$6,9,1))</f>
        <v/>
      </c>
      <c r="C13" s="42">
        <f>B13*Settings!$B$5</f>
        <v/>
      </c>
      <c r="D13" s="43">
        <f>COUNTIFS('Mileage Log'!$A:$A,"&gt;="&amp;DATE(Settings!$B$6,8,1),'Mileage Log'!$A:$A,"&lt;"&amp;DATE(Settings!$B$6,9,1))</f>
        <v/>
      </c>
    </row>
    <row r="14" ht="16" customHeight="1">
      <c r="A14" s="49" t="inlineStr">
        <is>
          <t>Sep</t>
        </is>
      </c>
      <c r="B14" s="41">
        <f>SUMIFS('Mileage Log'!$H:$H,'Mileage Log'!$A:$A,"&gt;="&amp;DATE(Settings!$B$6,9,1),'Mileage Log'!$A:$A,"&lt;"&amp;DATE(Settings!$B$6,10,1))</f>
        <v/>
      </c>
      <c r="C14" s="42">
        <f>B14*Settings!$B$5</f>
        <v/>
      </c>
      <c r="D14" s="43">
        <f>COUNTIFS('Mileage Log'!$A:$A,"&gt;="&amp;DATE(Settings!$B$6,9,1),'Mileage Log'!$A:$A,"&lt;"&amp;DATE(Settings!$B$6,10,1))</f>
        <v/>
      </c>
    </row>
    <row r="15" ht="16" customHeight="1">
      <c r="A15" s="49" t="inlineStr">
        <is>
          <t>Oct</t>
        </is>
      </c>
      <c r="B15" s="41">
        <f>SUMIFS('Mileage Log'!$H:$H,'Mileage Log'!$A:$A,"&gt;="&amp;DATE(Settings!$B$6,10,1),'Mileage Log'!$A:$A,"&lt;"&amp;DATE(Settings!$B$6,11,1))</f>
        <v/>
      </c>
      <c r="C15" s="42">
        <f>B15*Settings!$B$5</f>
        <v/>
      </c>
      <c r="D15" s="43">
        <f>COUNTIFS('Mileage Log'!$A:$A,"&gt;="&amp;DATE(Settings!$B$6,10,1),'Mileage Log'!$A:$A,"&lt;"&amp;DATE(Settings!$B$6,11,1))</f>
        <v/>
      </c>
    </row>
    <row r="16" ht="16" customHeight="1">
      <c r="A16" s="49" t="inlineStr">
        <is>
          <t>Nov</t>
        </is>
      </c>
      <c r="B16" s="41">
        <f>SUMIFS('Mileage Log'!$H:$H,'Mileage Log'!$A:$A,"&gt;="&amp;DATE(Settings!$B$6,11,1),'Mileage Log'!$A:$A,"&lt;"&amp;DATE(Settings!$B$6,12,1))</f>
        <v/>
      </c>
      <c r="C16" s="42">
        <f>B16*Settings!$B$5</f>
        <v/>
      </c>
      <c r="D16" s="43">
        <f>COUNTIFS('Mileage Log'!$A:$A,"&gt;="&amp;DATE(Settings!$B$6,11,1),'Mileage Log'!$A:$A,"&lt;"&amp;DATE(Settings!$B$6,12,1))</f>
        <v/>
      </c>
    </row>
    <row r="17" ht="16" customHeight="1">
      <c r="A17" s="49" t="inlineStr">
        <is>
          <t>Dec</t>
        </is>
      </c>
      <c r="B17" s="41">
        <f>SUMIFS('Mileage Log'!$H:$H,'Mileage Log'!$A:$A,"&gt;="&amp;DATE(Settings!$B$6,12,1),'Mileage Log'!$A:$A,"&lt;"&amp;DATE(Settings!$B$6+1,1,1))</f>
        <v/>
      </c>
      <c r="C17" s="42">
        <f>B17*Settings!$B$5</f>
        <v/>
      </c>
      <c r="D17" s="43">
        <f>COUNTIFS('Mileage Log'!$A:$A,"&gt;="&amp;DATE(Settings!$B$6,12,1),'Mileage Log'!$A:$A,"&lt;"&amp;DATE(Settings!$B$6+1,1,1))</f>
        <v/>
      </c>
    </row>
    <row r="18" ht="8" customHeight="1"/>
    <row r="19" ht="20" customHeight="1">
      <c r="A19" s="50" t="inlineStr">
        <is>
          <t>YTD Total</t>
        </is>
      </c>
      <c r="B19" s="51">
        <f>SUM(B6:B17)</f>
        <v/>
      </c>
      <c r="C19" s="52">
        <f>SUM(C6:C17)</f>
        <v/>
      </c>
      <c r="D19" s="53">
        <f>SUM(D6:D17)</f>
        <v/>
      </c>
    </row>
  </sheetData>
  <mergeCells count="4">
    <mergeCell ref="J2:L2"/>
    <mergeCell ref="D2:I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HYPERLINK("#'Monthly Summary'!A1", "← BACK")</f>
        <v/>
      </c>
      <c r="B2" s="12" t="n"/>
      <c r="C2" s="12" t="n"/>
      <c r="D2" s="36" t="inlineStr">
        <is>
          <t>YTD DASHBOARD · FOR YOUR CPA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FOR YOUR CPA — print this tab. Totals + breakdown by purpose and property.</t>
        </is>
      </c>
    </row>
    <row r="5" ht="16" customHeight="1">
      <c r="A5" s="54" t="inlineStr">
        <is>
          <t>YTD Total Miles:</t>
        </is>
      </c>
      <c r="B5" s="41">
        <f>'Monthly Summary'!B19</f>
        <v/>
      </c>
    </row>
    <row r="6" ht="16" customHeight="1">
      <c r="A6" s="54" t="inlineStr">
        <is>
          <t>YTD Total Deduction ($):</t>
        </is>
      </c>
      <c r="B6" s="42">
        <f>'Monthly Summary'!C19</f>
        <v/>
      </c>
    </row>
    <row r="7" ht="16" customHeight="1">
      <c r="A7" s="54" t="inlineStr">
        <is>
          <t>YTD Trips:</t>
        </is>
      </c>
      <c r="B7" s="43">
        <f>'Monthly Summary'!D19</f>
        <v/>
      </c>
    </row>
    <row r="8" ht="16" customHeight="1">
      <c r="A8" s="54" t="inlineStr">
        <is>
          <t>YTD Hours (material participation):</t>
        </is>
      </c>
      <c r="B8" s="55">
        <f>SUM('Mileage Log'!L6:L2005)</f>
        <v/>
      </c>
    </row>
    <row r="9" ht="16" customHeight="1">
      <c r="A9" s="54" t="inlineStr">
        <is>
          <t>YTD Parking + Tolls ($):</t>
        </is>
      </c>
      <c r="B9" s="42">
        <f>SUM('Mileage Log'!O6:O2005)</f>
        <v/>
      </c>
    </row>
    <row r="10" ht="10" customHeight="1"/>
    <row r="11" ht="20" customHeight="1">
      <c r="A11" s="56" t="inlineStr">
        <is>
          <t>Miles by Business Purpose</t>
        </is>
      </c>
    </row>
    <row r="12" ht="18" customHeight="1">
      <c r="A12" s="38" t="inlineStr">
        <is>
          <t>Purpose</t>
        </is>
      </c>
      <c r="B12" s="38" t="inlineStr">
        <is>
          <t>Miles</t>
        </is>
      </c>
      <c r="C12" s="38" t="inlineStr">
        <is>
          <t>$</t>
        </is>
      </c>
    </row>
    <row r="13" ht="16" customHeight="1">
      <c r="A13" s="49" t="inlineStr">
        <is>
          <t>Property inspection</t>
        </is>
      </c>
      <c r="B13" s="41">
        <f>SUMIFS('Mileage Log'!$H:$H,'Mileage Log'!$D:$D,A13)</f>
        <v/>
      </c>
      <c r="C13" s="42">
        <f>B13*Settings!$B$5</f>
        <v/>
      </c>
    </row>
    <row r="14" ht="16" customHeight="1">
      <c r="A14" s="49" t="inlineStr">
        <is>
          <t>Turnover (laundry/clean)</t>
        </is>
      </c>
      <c r="B14" s="41">
        <f>SUMIFS('Mileage Log'!$H:$H,'Mileage Log'!$D:$D,A14)</f>
        <v/>
      </c>
      <c r="C14" s="42">
        <f>B14*Settings!$B$5</f>
        <v/>
      </c>
    </row>
    <row r="15" ht="16" customHeight="1">
      <c r="A15" s="49" t="inlineStr">
        <is>
          <t>Supplies run</t>
        </is>
      </c>
      <c r="B15" s="41">
        <f>SUMIFS('Mileage Log'!$H:$H,'Mileage Log'!$D:$D,A15)</f>
        <v/>
      </c>
      <c r="C15" s="42">
        <f>B15*Settings!$B$5</f>
        <v/>
      </c>
    </row>
    <row r="16" ht="16" customHeight="1">
      <c r="A16" s="49" t="inlineStr">
        <is>
          <t>Guest transport</t>
        </is>
      </c>
      <c r="B16" s="41">
        <f>SUMIFS('Mileage Log'!$H:$H,'Mileage Log'!$D:$D,A16)</f>
        <v/>
      </c>
      <c r="C16" s="42">
        <f>B16*Settings!$B$5</f>
        <v/>
      </c>
    </row>
    <row r="17" ht="16" customHeight="1">
      <c r="A17" s="49" t="inlineStr">
        <is>
          <t>Repairs</t>
        </is>
      </c>
      <c r="B17" s="41">
        <f>SUMIFS('Mileage Log'!$H:$H,'Mileage Log'!$D:$D,A17)</f>
        <v/>
      </c>
      <c r="C17" s="42">
        <f>B17*Settings!$B$5</f>
        <v/>
      </c>
    </row>
    <row r="18" ht="16" customHeight="1">
      <c r="A18" s="49" t="inlineStr">
        <is>
          <t>Contractor walkthrough</t>
        </is>
      </c>
      <c r="B18" s="41">
        <f>SUMIFS('Mileage Log'!$H:$H,'Mileage Log'!$D:$D,A18)</f>
        <v/>
      </c>
      <c r="C18" s="42">
        <f>B18*Settings!$B$5</f>
        <v/>
      </c>
    </row>
    <row r="19" ht="16" customHeight="1">
      <c r="A19" s="49" t="inlineStr">
        <is>
          <t>Emergency response</t>
        </is>
      </c>
      <c r="B19" s="41">
        <f>SUMIFS('Mileage Log'!$H:$H,'Mileage Log'!$D:$D,A19)</f>
        <v/>
      </c>
      <c r="C19" s="42">
        <f>B19*Settings!$B$5</f>
        <v/>
      </c>
    </row>
    <row r="20" ht="16" customHeight="1">
      <c r="A20" s="49" t="inlineStr">
        <is>
          <t>Meeting cleaner / staff</t>
        </is>
      </c>
      <c r="B20" s="41">
        <f>SUMIFS('Mileage Log'!$H:$H,'Mileage Log'!$D:$D,A20)</f>
        <v/>
      </c>
      <c r="C20" s="42">
        <f>B20*Settings!$B$5</f>
        <v/>
      </c>
    </row>
    <row r="21" ht="16" customHeight="1">
      <c r="A21" s="49" t="inlineStr">
        <is>
          <t>Bank / deposit</t>
        </is>
      </c>
      <c r="B21" s="41">
        <f>SUMIFS('Mileage Log'!$H:$H,'Mileage Log'!$D:$D,A21)</f>
        <v/>
      </c>
      <c r="C21" s="42">
        <f>B21*Settings!$B$5</f>
        <v/>
      </c>
    </row>
    <row r="22" ht="16" customHeight="1">
      <c r="A22" s="49" t="inlineStr">
        <is>
          <t>Mailing / post office</t>
        </is>
      </c>
      <c r="B22" s="41">
        <f>SUMIFS('Mileage Log'!$H:$H,'Mileage Log'!$D:$D,A22)</f>
        <v/>
      </c>
      <c r="C22" s="42">
        <f>B22*Settings!$B$5</f>
        <v/>
      </c>
    </row>
    <row r="23" ht="16" customHeight="1">
      <c r="A23" s="49" t="inlineStr">
        <is>
          <t>CPA / attorney meeting</t>
        </is>
      </c>
      <c r="B23" s="41">
        <f>SUMIFS('Mileage Log'!$H:$H,'Mileage Log'!$D:$D,A23)</f>
        <v/>
      </c>
      <c r="C23" s="42">
        <f>B23*Settings!$B$5</f>
        <v/>
      </c>
    </row>
    <row r="24" ht="16" customHeight="1">
      <c r="A24" s="49" t="inlineStr">
        <is>
          <t>Other (describe in Notes)</t>
        </is>
      </c>
      <c r="B24" s="41">
        <f>SUMIFS('Mileage Log'!$H:$H,'Mileage Log'!$D:$D,A24)</f>
        <v/>
      </c>
      <c r="C24" s="42">
        <f>B24*Settings!$B$5</f>
        <v/>
      </c>
    </row>
    <row r="25" ht="10" customHeight="1"/>
    <row r="26" ht="20" customHeight="1">
      <c r="A26" s="56" t="inlineStr">
        <is>
          <t>Miles by Property</t>
        </is>
      </c>
    </row>
    <row r="27" ht="18" customHeight="1">
      <c r="A27" s="38" t="inlineStr">
        <is>
          <t>Property</t>
        </is>
      </c>
      <c r="B27" s="38" t="inlineStr">
        <is>
          <t>Miles</t>
        </is>
      </c>
      <c r="C27" s="38" t="inlineStr">
        <is>
          <t>$</t>
        </is>
      </c>
    </row>
    <row r="28" ht="16" customHeight="1">
      <c r="A28" s="49" t="inlineStr">
        <is>
          <t>Smokies Ridge</t>
        </is>
      </c>
      <c r="B28" s="41">
        <f>SUMIFS('Mileage Log'!$H:$H,'Mileage Log'!$B:$B,A28)</f>
        <v/>
      </c>
      <c r="C28" s="42">
        <f>B28*Settings!$B$5</f>
        <v/>
      </c>
    </row>
    <row r="29" ht="16" customHeight="1">
      <c r="A29" s="49" t="inlineStr">
        <is>
          <t>Creek Side</t>
        </is>
      </c>
      <c r="B29" s="41">
        <f>SUMIFS('Mileage Log'!$H:$H,'Mileage Log'!$B:$B,A29)</f>
        <v/>
      </c>
      <c r="C29" s="42">
        <f>B29*Settings!$B$5</f>
        <v/>
      </c>
    </row>
    <row r="30" ht="16" customHeight="1">
      <c r="A30" s="49" t="inlineStr">
        <is>
          <t>Lakehouse A</t>
        </is>
      </c>
      <c r="B30" s="41">
        <f>SUMIFS('Mileage Log'!$H:$H,'Mileage Log'!$B:$B,A30)</f>
        <v/>
      </c>
      <c r="C30" s="42">
        <f>B30*Settings!$B$5</f>
        <v/>
      </c>
    </row>
    <row r="31" ht="10" customHeight="1"/>
    <row r="32" ht="28" customHeight="1">
      <c r="A32" s="57">
        <f>IF(Settings!$B$15="Schedule E (passive)","→ Schedule E (Form 1040), Line 6.",IF(Settings!$B$15="Schedule C (active)","→ Schedule C, Line 9 + Form 4562 Part V.","→ Schedule routing not set — see Settings."))</f>
        <v/>
      </c>
    </row>
  </sheetData>
  <mergeCells count="5">
    <mergeCell ref="J2:L2"/>
    <mergeCell ref="D2:I2"/>
    <mergeCell ref="A32:E3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6" customWidth="1" min="4" max="4"/>
    <col width="22" customWidth="1" min="5" max="5"/>
    <col width="6" customWidth="1" min="6" max="6"/>
    <col width="26" customWidth="1" min="7" max="7"/>
    <col width="20" customWidth="1" min="9" max="9"/>
    <col width="26" customWidth="1" min="10" max="10"/>
    <col width="12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HYPERLINK("#'YTD Dashboard'!A1",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IRS rate · tax classification · Form 4562 · vehicles · sources</t>
        </is>
      </c>
    </row>
    <row r="5" ht="20" customHeight="1">
      <c r="A5" s="58" t="inlineStr">
        <is>
          <t>IRS Rate (per mile, business):</t>
        </is>
      </c>
      <c r="B5" s="59" t="n">
        <v>0.725</v>
      </c>
      <c r="C5" s="60" t="inlineStr">
        <is>
          <t>📅 Rate as of 2026-01-01 — IRS publishes the next year's rate each Dec; edit B5 then.</t>
        </is>
      </c>
    </row>
    <row r="6" ht="18" customHeight="1">
      <c r="A6" s="58" t="inlineStr">
        <is>
          <t>Active tax year:</t>
        </is>
      </c>
      <c r="B6" s="61" t="n">
        <v>2026</v>
      </c>
    </row>
    <row r="7" ht="16" customHeight="1">
      <c r="A7" s="62" t="inlineStr">
        <is>
          <t>Historical rates for reference:</t>
        </is>
      </c>
      <c r="I7" s="62" t="inlineStr">
        <is>
          <t>Frequent destinations:</t>
        </is>
      </c>
    </row>
    <row r="8" ht="16" customHeight="1">
      <c r="A8" s="49" t="inlineStr">
        <is>
          <t>2023:</t>
        </is>
      </c>
      <c r="B8" s="63" t="n">
        <v>0.655</v>
      </c>
    </row>
    <row r="9" ht="16" customHeight="1">
      <c r="A9" s="49" t="inlineStr">
        <is>
          <t>2024:</t>
        </is>
      </c>
      <c r="B9" s="63" t="n">
        <v>0.67</v>
      </c>
    </row>
    <row r="10" ht="16" customHeight="1">
      <c r="A10" s="49" t="inlineStr">
        <is>
          <t>2025:</t>
        </is>
      </c>
      <c r="B10" s="63" t="n">
        <v>0.7</v>
      </c>
      <c r="E10" s="64" t="inlineStr">
        <is>
          <t>Property list</t>
        </is>
      </c>
      <c r="G10" s="64" t="inlineStr">
        <is>
          <t>Purpose list</t>
        </is>
      </c>
      <c r="I10" s="38" t="inlineStr">
        <is>
          <t>From</t>
        </is>
      </c>
      <c r="J10" s="38" t="inlineStr">
        <is>
          <t>To</t>
        </is>
      </c>
      <c r="K10" s="38" t="inlineStr">
        <is>
          <t>Typical mi</t>
        </is>
      </c>
    </row>
    <row r="11" ht="16" customHeight="1">
      <c r="E11" s="40" t="inlineStr">
        <is>
          <t>Smokies Ridge</t>
        </is>
      </c>
      <c r="G11" s="40" t="inlineStr">
        <is>
          <t>Property inspection</t>
        </is>
      </c>
      <c r="I11" s="40" t="inlineStr">
        <is>
          <t>Smokies Ridge</t>
        </is>
      </c>
      <c r="J11" s="40" t="inlineStr">
        <is>
          <t>Home Depot</t>
        </is>
      </c>
      <c r="K11" s="61" t="n">
        <v>24</v>
      </c>
    </row>
    <row r="12" ht="16" customHeight="1">
      <c r="A12" s="56" t="inlineStr">
        <is>
          <t>Tax Classification &amp; Recordkeeping</t>
        </is>
      </c>
      <c r="E12" s="40" t="inlineStr">
        <is>
          <t>Creek Side</t>
        </is>
      </c>
      <c r="G12" s="40" t="inlineStr">
        <is>
          <t>Turnover (laundry/clean)</t>
        </is>
      </c>
      <c r="I12" s="40" t="inlineStr">
        <is>
          <t>Smokies Ridge</t>
        </is>
      </c>
      <c r="J12" s="40" t="inlineStr">
        <is>
          <t>Knoxville airport</t>
        </is>
      </c>
      <c r="K12" s="61" t="n">
        <v>46</v>
      </c>
    </row>
    <row r="13" ht="16" customHeight="1">
      <c r="A13" s="58" t="inlineStr">
        <is>
          <t>Home office is principal place of business:</t>
        </is>
      </c>
      <c r="B13" s="40" t="inlineStr">
        <is>
          <t>Not yet established</t>
        </is>
      </c>
      <c r="E13" s="40" t="inlineStr">
        <is>
          <t>Lakehouse A</t>
        </is>
      </c>
      <c r="G13" s="40" t="inlineStr">
        <is>
          <t>Supplies run</t>
        </is>
      </c>
      <c r="I13" s="40" t="inlineStr">
        <is>
          <t>Smokies Ridge</t>
        </is>
      </c>
      <c r="J13" s="40" t="inlineStr">
        <is>
          <t>Lowe's</t>
        </is>
      </c>
      <c r="K13" s="61" t="n">
        <v>22</v>
      </c>
    </row>
    <row r="14" ht="16" customHeight="1">
      <c r="A14" s="65" t="inlineStr">
        <is>
          <t>If 'Yes', trips from home → STR are deductible business travel. If 'No', they're non-deductible commuting (track separately for Form 4562 Part V below).</t>
        </is>
      </c>
      <c r="I14" s="40" t="inlineStr">
        <is>
          <t>Smokies Ridge</t>
        </is>
      </c>
      <c r="J14" s="40" t="inlineStr">
        <is>
          <t>Costco</t>
        </is>
      </c>
      <c r="K14" s="61" t="n">
        <v>52</v>
      </c>
    </row>
    <row r="15" ht="16" customHeight="1">
      <c r="A15" s="58" t="inlineStr">
        <is>
          <t>Schedule classification:</t>
        </is>
      </c>
      <c r="B15" s="40" t="inlineStr">
        <is>
          <t>Ask my CPA</t>
        </is>
      </c>
      <c r="G15" s="40" t="inlineStr">
        <is>
          <t>Repairs</t>
        </is>
      </c>
      <c r="I15" s="40" t="inlineStr">
        <is>
          <t>Creek Side</t>
        </is>
      </c>
      <c r="J15" s="40" t="inlineStr">
        <is>
          <t>Home Depot</t>
        </is>
      </c>
      <c r="K15" s="61" t="n">
        <v>18</v>
      </c>
    </row>
    <row r="16" ht="16" customHeight="1">
      <c r="A16" s="66" t="inlineStr">
        <is>
          <t>⚠ Substantial-services trigger: if you provide cleaning DURING stays, meals, or concierge, IRS requires Schedule C (15.3% self-employment tax applies).</t>
        </is>
      </c>
      <c r="I16" s="40" t="inlineStr">
        <is>
          <t>Creek Side</t>
        </is>
      </c>
      <c r="J16" s="40" t="inlineStr">
        <is>
          <t>Knoxville airport</t>
        </is>
      </c>
      <c r="K16" s="61" t="n">
        <v>45</v>
      </c>
    </row>
    <row r="17" ht="16" customHeight="1">
      <c r="G17" s="40" t="inlineStr">
        <is>
          <t>Emergency response</t>
        </is>
      </c>
      <c r="I17" s="40" t="inlineStr">
        <is>
          <t>Lakehouse A</t>
        </is>
      </c>
      <c r="J17" s="40" t="inlineStr">
        <is>
          <t>Home Depot</t>
        </is>
      </c>
      <c r="K17" s="61" t="n">
        <v>14</v>
      </c>
    </row>
    <row r="18" ht="16" customHeight="1">
      <c r="A18" s="56" t="inlineStr">
        <is>
          <t>Form 4562 Part V — Vehicle Information</t>
        </is>
      </c>
      <c r="G18" s="40" t="inlineStr">
        <is>
          <t>Meeting cleaner / staff</t>
        </is>
      </c>
      <c r="I18" s="40" t="inlineStr">
        <is>
          <t>Lakehouse A</t>
        </is>
      </c>
      <c r="J18" s="40" t="inlineStr">
        <is>
          <t>Costco</t>
        </is>
      </c>
      <c r="K18" s="61" t="n">
        <v>33</v>
      </c>
    </row>
    <row r="19" ht="16" customHeight="1">
      <c r="A19" s="65" t="inlineStr">
        <is>
          <t>Required if you depreciate the vehicle (actual-expense method or Section 179). Hand these numbers to your CPA at year-end.</t>
        </is>
      </c>
      <c r="I19" s="40" t="n"/>
      <c r="J19" s="40" t="n"/>
      <c r="K19" s="40" t="n"/>
    </row>
    <row r="20" ht="16" customHeight="1">
      <c r="A20" s="58" t="inlineStr">
        <is>
          <t>Year-start odometer:</t>
        </is>
      </c>
      <c r="B20" s="61" t="n"/>
      <c r="G20" s="40" t="inlineStr">
        <is>
          <t>Mailing / post office</t>
        </is>
      </c>
      <c r="I20" s="40" t="n"/>
      <c r="J20" s="40" t="n"/>
      <c r="K20" s="40" t="n"/>
    </row>
    <row r="21" ht="16" customHeight="1">
      <c r="A21" s="58" t="inlineStr">
        <is>
          <t>Year-end odometer:</t>
        </is>
      </c>
      <c r="B21" s="61" t="n"/>
      <c r="G21" s="40" t="inlineStr">
        <is>
          <t>CPA / attorney meeting</t>
        </is>
      </c>
      <c r="I21" s="40" t="n"/>
      <c r="J21" s="40" t="n"/>
      <c r="K21" s="40" t="n"/>
    </row>
    <row r="22" ht="16" customHeight="1">
      <c r="A22" s="58" t="inlineStr">
        <is>
          <t>Total miles (all use):</t>
        </is>
      </c>
      <c r="B22" s="41">
        <f>IF(AND(B20&lt;&gt;"",B21&lt;&gt;""),B21-B20,0)</f>
        <v/>
      </c>
      <c r="G22" s="40" t="inlineStr">
        <is>
          <t>Other (describe in Notes)</t>
        </is>
      </c>
      <c r="I22" s="40" t="n"/>
      <c r="J22" s="40" t="n"/>
      <c r="K22" s="40" t="n"/>
    </row>
    <row r="23" ht="16" customHeight="1">
      <c r="A23" s="58" t="inlineStr">
        <is>
          <t>Total business miles (logged):</t>
        </is>
      </c>
      <c r="B23" s="41">
        <f>SUM('Mileage Log'!H6:H2005)</f>
        <v/>
      </c>
      <c r="I23" s="40" t="n"/>
      <c r="J23" s="40" t="n"/>
      <c r="K23" s="40" t="n"/>
    </row>
    <row r="24" ht="16" customHeight="1">
      <c r="A24" s="58" t="inlineStr">
        <is>
          <t>Total commuting miles:</t>
        </is>
      </c>
      <c r="B24" s="61" t="n"/>
      <c r="I24" s="40" t="n"/>
      <c r="J24" s="40" t="n"/>
      <c r="K24" s="40" t="n"/>
    </row>
    <row r="25" ht="16" customHeight="1">
      <c r="A25" s="58" t="inlineStr">
        <is>
          <t>Total personal miles:</t>
        </is>
      </c>
      <c r="B25" s="41">
        <f>IF(B22&gt;0,B22-B23-B24,0)</f>
        <v/>
      </c>
      <c r="I25" s="40" t="n"/>
      <c r="J25" s="40" t="n"/>
      <c r="K25" s="40" t="n"/>
    </row>
    <row r="26" ht="16" customHeight="1">
      <c r="A26" s="58" t="inlineStr">
        <is>
          <t>Business use %:</t>
        </is>
      </c>
      <c r="B26" s="67">
        <f>IF(B22&gt;0,B23/B22,0)</f>
        <v/>
      </c>
    </row>
    <row r="27" ht="28" customHeight="1">
      <c r="A27" s="66" t="inlineStr">
        <is>
          <t>⚠ If Business Use % drops to 50% or below, IRS disallows Section 179 / accelerated depreciation and may recapture prior-year deductions as ordinary income (IRC §280F).</t>
        </is>
      </c>
    </row>
    <row r="28" ht="22" customHeight="1">
      <c r="A28" s="56" t="inlineStr">
        <is>
          <t>Vehicles &amp; Method Election</t>
        </is>
      </c>
    </row>
    <row r="29" ht="28" customHeight="1">
      <c r="A29" s="65" t="inlineStr">
        <is>
          <t>List each vehicle once. The Method (Standard mileage / Actual expenses) locks in Year 1 for owned cars; leased cars must keep Standard for the full lease (Pub 463).</t>
        </is>
      </c>
    </row>
    <row r="30" ht="18" customHeight="1">
      <c r="A30" s="38" t="inlineStr">
        <is>
          <t>Nickname</t>
        </is>
      </c>
      <c r="B30" s="38" t="inlineStr">
        <is>
          <t>Year placed in service</t>
        </is>
      </c>
      <c r="C30" s="38" t="inlineStr">
        <is>
          <t>Owned/Leased</t>
        </is>
      </c>
      <c r="D30" s="38" t="inlineStr">
        <is>
          <t>Method</t>
        </is>
      </c>
      <c r="E30" s="38" t="inlineStr">
        <is>
          <t>Notes</t>
        </is>
      </c>
    </row>
    <row r="31" ht="16" customHeight="1">
      <c r="A31" s="40" t="inlineStr">
        <is>
          <t>Truck (F-150)</t>
        </is>
      </c>
      <c r="B31" s="40" t="n">
        <v>2026</v>
      </c>
      <c r="C31" s="40" t="inlineStr">
        <is>
          <t>Owned</t>
        </is>
      </c>
      <c r="D31" s="40" t="inlineStr">
        <is>
          <t>Standard mileage</t>
        </is>
      </c>
      <c r="E31" s="40" t="inlineStr">
        <is>
          <t>Primary STR vehicle</t>
        </is>
      </c>
    </row>
    <row r="32" ht="16" customHeight="1">
      <c r="A32" s="40" t="n"/>
      <c r="B32" s="40" t="n"/>
      <c r="C32" s="40" t="n"/>
      <c r="D32" s="40" t="n"/>
      <c r="E32" s="40" t="n"/>
    </row>
    <row r="33" ht="16" customHeight="1">
      <c r="A33" s="40" t="n"/>
      <c r="B33" s="40" t="n"/>
      <c r="C33" s="40" t="n"/>
      <c r="D33" s="40" t="n"/>
      <c r="E33" s="40" t="n"/>
    </row>
    <row r="34" ht="8" customHeight="1"/>
    <row r="35" ht="22" customHeight="1">
      <c r="A35" s="56" t="inlineStr">
        <is>
          <t>Year-end Archive</t>
        </is>
      </c>
    </row>
    <row r="36" ht="30" customHeight="1">
      <c r="A36" s="68" t="inlineStr">
        <is>
          <t>Each January, copy YTD totals into the row for the closing year, then clear the Mileage Log for the new year.</t>
        </is>
      </c>
    </row>
    <row r="37" ht="18" customHeight="1">
      <c r="A37" s="38" t="inlineStr">
        <is>
          <t>Year</t>
        </is>
      </c>
      <c r="B37" s="38" t="inlineStr">
        <is>
          <t>Total Miles</t>
        </is>
      </c>
      <c r="C37" s="38" t="inlineStr">
        <is>
          <t>Total $</t>
        </is>
      </c>
      <c r="D37" s="38" t="inlineStr">
        <is>
          <t># Trips</t>
        </is>
      </c>
    </row>
    <row r="38" ht="16" customHeight="1">
      <c r="A38" s="49" t="n">
        <v>2024</v>
      </c>
      <c r="B38" s="40" t="n"/>
      <c r="C38" s="46" t="n"/>
      <c r="D38" s="40" t="n"/>
    </row>
    <row r="39" ht="16" customHeight="1">
      <c r="A39" s="49" t="n">
        <v>2025</v>
      </c>
      <c r="B39" s="40" t="n"/>
      <c r="C39" s="46" t="n"/>
      <c r="D39" s="40" t="n"/>
    </row>
    <row r="40" ht="16" customHeight="1">
      <c r="A40" s="49" t="n">
        <v>2026</v>
      </c>
      <c r="B40" s="40" t="n"/>
      <c r="C40" s="46" t="n"/>
      <c r="D40" s="40" t="n"/>
    </row>
    <row r="41" ht="16" customHeight="1">
      <c r="A41" s="49" t="n">
        <v>2027</v>
      </c>
      <c r="B41" s="40" t="n"/>
      <c r="C41" s="46" t="n"/>
      <c r="D41" s="40" t="n"/>
    </row>
    <row r="42" ht="16" customHeight="1">
      <c r="A42" s="49" t="n">
        <v>2028</v>
      </c>
      <c r="B42" s="40" t="n"/>
      <c r="C42" s="46" t="n"/>
      <c r="D42" s="40" t="n"/>
    </row>
    <row r="43" ht="16" customHeight="1">
      <c r="A43" s="49" t="n">
        <v>2029</v>
      </c>
      <c r="B43" s="40" t="n"/>
      <c r="C43" s="46" t="n"/>
      <c r="D43" s="40" t="n"/>
    </row>
    <row r="44" ht="16" customHeight="1">
      <c r="A44" s="49" t="n">
        <v>2030</v>
      </c>
      <c r="B44" s="40" t="n"/>
      <c r="C44" s="46" t="n"/>
      <c r="D44" s="40" t="n"/>
    </row>
  </sheetData>
  <mergeCells count="10">
    <mergeCell ref="D2:L2"/>
    <mergeCell ref="A14:G14"/>
    <mergeCell ref="A27:G27"/>
    <mergeCell ref="C5:G5"/>
    <mergeCell ref="A16:G16"/>
    <mergeCell ref="A29:G29"/>
    <mergeCell ref="A19:G19"/>
    <mergeCell ref="A36:D36"/>
    <mergeCell ref="A2:C2"/>
    <mergeCell ref="A4:L4"/>
  </mergeCells>
  <conditionalFormatting sqref="B26">
    <cfRule type="cellIs" priority="1" operator="lessThanOrEqual" dxfId="2">
      <formula>0.5</formula>
    </cfRule>
  </conditionalFormatting>
  <dataValidations count="4">
    <dataValidation sqref="B13" showDropDown="0" showInputMessage="0" showErrorMessage="0" allowBlank="1" type="list">
      <formula1>"Yes,No,Not yet established"</formula1>
    </dataValidation>
    <dataValidation sqref="B15" showDropDown="0" showInputMessage="0" showErrorMessage="0" allowBlank="1" type="list">
      <formula1>"Schedule E (passive),Schedule C (active),Ask my CPA"</formula1>
    </dataValidation>
    <dataValidation sqref="C31:C33" showDropDown="0" showInputMessage="0" showErrorMessage="0" allowBlank="1" type="list">
      <formula1>"Owned,Leased"</formula1>
    </dataValidation>
    <dataValidation sqref="D31:D33" showDropDown="0" showInputMessage="0" showErrorMessage="0" allowBlank="1" type="list">
      <formula1>"Standard mileage,Actual expenses"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Mileage Log (DEMO) — The STR Ledger</dc:title>
  <dc:description xmlns:dc="http://purl.org/dc/elements/1.1/">IRS-compliant mileage log for STR hosts (Schedule C/E).</dc:description>
  <dcterms:created xmlns:dcterms="http://purl.org/dc/terms/" xmlns:xsi="http://www.w3.org/2001/XMLSchema-instance" xsi:type="dcterms:W3CDTF">2026-05-03T19:04:56Z</dcterms:created>
  <dcterms:modified xmlns:dcterms="http://purl.org/dc/terms/" xmlns:xsi="http://www.w3.org/2001/XMLSchema-instance" xsi:type="dcterms:W3CDTF">2026-05-03T19:04:57Z</dcterms:modified>
</cp:coreProperties>
</file>