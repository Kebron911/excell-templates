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urrent State" sheetId="2" state="visible" r:id="rId2"/>
    <sheet xmlns:r="http://schemas.openxmlformats.org/officeDocument/2006/relationships" name="Target State" sheetId="3" state="visible" r:id="rId3"/>
    <sheet xmlns:r="http://schemas.openxmlformats.org/officeDocument/2006/relationships" name="Quit Date Calculator" sheetId="4" state="visible" r:id="rId4"/>
  </sheets>
  <definedNames>
    <definedName name="_xlnm.Print_Area" localSheetId="0">'Start'!$A$1:$L$37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mm d, yyyy"/>
    <numFmt numFmtId="165" formatCode="&quot;$&quot;#,##0"/>
    <numFmt numFmtId="166" formatCode="yyyy-mm-dd"/>
    <numFmt numFmtId="167" formatCode="0.0%"/>
    <numFmt numFmtId="168" formatCode="0.0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b val="1"/>
      <color rgb="00C9A24B"/>
      <sz val="28"/>
    </font>
    <font>
      <name val="Georgia"/>
      <b val="1"/>
      <color rgb="0012304E"/>
      <sz val="24"/>
    </font>
    <font>
      <name val="Georgia"/>
      <i val="1"/>
      <color rgb="006B7280"/>
      <sz val="12"/>
    </font>
    <font>
      <name val="Consolas"/>
      <b val="1"/>
      <color rgb="0012304E"/>
      <sz val="9"/>
    </font>
    <font>
      <name val="Georgia"/>
      <b val="1"/>
      <color rgb="0012304E"/>
      <sz val="22"/>
    </font>
    <font>
      <name val="Georgia"/>
      <i val="1"/>
      <color rgb="006B7280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Georgia"/>
      <b val="1"/>
      <color rgb="0012304E"/>
      <sz val="14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4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165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right" vertical="center" indent="1"/>
    </xf>
    <xf numFmtId="166" fontId="12" fillId="5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5" fontId="12" fillId="5" borderId="0" applyAlignment="1" pivotButton="0" quotePrefix="0" xfId="0">
      <alignment horizontal="center" vertical="center"/>
    </xf>
    <xf numFmtId="1" fontId="12" fillId="5" borderId="0" applyAlignment="1" pivotButton="0" quotePrefix="0" xfId="0">
      <alignment horizontal="center" vertical="center"/>
    </xf>
    <xf numFmtId="165" fontId="23" fillId="6" borderId="0" applyAlignment="1" pivotButton="0" quotePrefix="0" xfId="0">
      <alignment horizontal="center" vertical="center"/>
    </xf>
    <xf numFmtId="167" fontId="23" fillId="6" borderId="0" applyAlignment="1" pivotButton="0" quotePrefix="0" xfId="0">
      <alignment horizontal="center" vertical="center"/>
    </xf>
    <xf numFmtId="168" fontId="23" fillId="6" borderId="0" applyAlignment="1" pivotButton="0" quotePrefix="0" xfId="0">
      <alignment horizontal="center" vertical="center"/>
    </xf>
    <xf numFmtId="168" fontId="12" fillId="5" borderId="0" applyAlignment="1" pivotButton="0" quotePrefix="0" xfId="0">
      <alignment horizontal="center" vertical="center"/>
    </xf>
    <xf numFmtId="1" fontId="23" fillId="6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1" fontId="25" fillId="7" borderId="0" applyAlignment="1" pivotButton="0" quotePrefix="0" xfId="0">
      <alignment horizontal="center" vertical="center"/>
    </xf>
    <xf numFmtId="165" fontId="25" fillId="7" borderId="0" applyAlignment="1" pivotButton="0" quotePrefix="0" xfId="0">
      <alignment horizontal="center" vertical="center"/>
    </xf>
    <xf numFmtId="164" fontId="25" fillId="7" borderId="0" applyAlignment="1" pivotButton="0" quotePrefix="0" xfId="0">
      <alignment horizontal="center" vertical="center"/>
    </xf>
    <xf numFmtId="164" fontId="2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Escape the W2 Planner — Lite</t>
        </is>
      </c>
    </row>
    <row r="5" ht="22" customHeight="1">
      <c r="A5" s="4" t="inlineStr">
        <is>
          <t>When the math says you can.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STR-001 · v1.0 · LITE</t>
        </is>
      </c>
    </row>
    <row r="8" ht="18" customHeight="1">
      <c r="A8" s="6" t="inlineStr">
        <is>
          <t>OPTIMISTIC QUIT DATE</t>
        </is>
      </c>
    </row>
    <row r="9" ht="32" customHeight="1">
      <c r="A9" s="7">
        <f>'Quit Date Calculator'!C7</f>
        <v/>
      </c>
    </row>
    <row r="10" ht="18" customHeight="1"/>
    <row r="11" ht="18" customHeight="1">
      <c r="A11" s="6" t="inlineStr">
        <is>
          <t>CONSERVATIVE QUIT DATE</t>
        </is>
      </c>
    </row>
    <row r="12" ht="28" customHeight="1">
      <c r="A12" s="8">
        <f>'Quit Date Calculator'!C8</f>
        <v/>
      </c>
    </row>
    <row r="13" ht="14" customHeight="1"/>
    <row r="14" ht="20" customHeight="1">
      <c r="A14" s="9">
        <f>"Spread: "&amp;TEXT('Quit Date Calculator'!C9,"0.0")&amp;" years between best- and worst-case."</f>
        <v/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8" customHeight="1">
      <c r="A16" s="11" t="inlineStr">
        <is>
          <t>PROPS NEEDED</t>
        </is>
      </c>
      <c r="D16" s="11" t="inlineStr">
        <is>
          <t>CASH NEEDED AT QUIT</t>
        </is>
      </c>
      <c r="G16" s="11" t="inlineStr">
        <is>
          <t>HEALTHCARE BRIDGE</t>
        </is>
      </c>
      <c r="J16" s="11" t="inlineStr">
        <is>
          <t>Y1 PROJECTED NET</t>
        </is>
      </c>
    </row>
    <row r="17" ht="26" customHeight="1">
      <c r="A17" s="12">
        <f>'Target State'!C20</f>
        <v/>
      </c>
      <c r="D17" s="13">
        <f>'Target State'!C22</f>
        <v/>
      </c>
      <c r="G17" s="14">
        <f>"(Full only)"</f>
        <v/>
      </c>
      <c r="J17" s="13">
        <f>'Quit Date Calculator'!C19</f>
        <v/>
      </c>
    </row>
    <row r="18" ht="14" customHeight="1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8" customHeight="1">
      <c r="A20" s="15">
        <f>"You're "&amp;TEXT('Target State'!C20-'Current State'!C16,"0")&amp;" properties and "&amp;TEXT(MAX(0,'Target State'!C22-'Current State'!C18),"$#,##0")&amp;" away from the target. Two paths get you there: "&amp;TEXT('Quit Date Calculator'!C7,"mmm yyyy")&amp;" optimistic, "&amp;TEXT('Quit Date Calculator'!C8,"mmm yyyy")&amp;" conservative. The biggest swing factor is acquisition pace. Re-run when you close on a property."</f>
        <v/>
      </c>
    </row>
    <row r="21" ht="18" customHeight="1"/>
    <row r="22" ht="18" customHeight="1"/>
    <row r="24" ht="22" customHeight="1">
      <c r="A24" s="16">
        <f>HYPERLINK("#'Current State'!A1", "Current State")</f>
        <v/>
      </c>
      <c r="B24" s="17" t="n"/>
      <c r="C24" s="17" t="n"/>
      <c r="D24" s="16">
        <f>HYPERLINK("#'Target State'!A1", "Target State")</f>
        <v/>
      </c>
      <c r="E24" s="17" t="n"/>
      <c r="F24" s="17" t="n"/>
      <c r="G24" s="16">
        <f>HYPERLINK("#'Quit Date Calculator'!A1", "Quit Date")</f>
        <v/>
      </c>
      <c r="H24" s="17" t="n"/>
      <c r="I24" s="17" t="n"/>
      <c r="J24" s="18">
        <f>HYPERLINK("https://thestrledger.com/escape-w2", "Upgrade →")</f>
        <v/>
      </c>
      <c r="K24" s="19" t="n"/>
      <c r="L24" s="19" t="n"/>
    </row>
    <row r="25" ht="22" customHeight="1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9" t="n"/>
      <c r="K25" s="19" t="n"/>
      <c r="L25" s="19" t="n"/>
    </row>
    <row r="26" ht="22" customHeight="1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9" t="n"/>
      <c r="K26" s="19" t="n"/>
      <c r="L26" s="19" t="n"/>
    </row>
    <row r="33" ht="36" customHeight="1">
      <c r="A33" s="20" t="inlineStr">
        <is>
          <t>Need healthcare bridge math, partner risk-share, and the printable conversation doc? Upgrade to Full at thestrledger.com/escape-w2 — $47.</t>
        </is>
      </c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6" ht="18" customHeight="1">
      <c r="A36" s="22" t="inlineStr">
        <is>
          <t>Questions? hello@thestrledger.com</t>
        </is>
      </c>
    </row>
    <row r="37" ht="18" customHeight="1">
      <c r="A37" s="23" t="inlineStr">
        <is>
          <t>STR-001 · v1.0 · LITE · Free updates forever</t>
        </is>
      </c>
    </row>
  </sheetData>
  <mergeCells count="25">
    <mergeCell ref="A7:L7"/>
    <mergeCell ref="A37:L37"/>
    <mergeCell ref="A9:L10"/>
    <mergeCell ref="J17:L18"/>
    <mergeCell ref="J24:L26"/>
    <mergeCell ref="D16:F16"/>
    <mergeCell ref="A2:F2"/>
    <mergeCell ref="J16:L16"/>
    <mergeCell ref="G24:I26"/>
    <mergeCell ref="A33:L33"/>
    <mergeCell ref="A5:L5"/>
    <mergeCell ref="A8:L8"/>
    <mergeCell ref="A14:L14"/>
    <mergeCell ref="G17:I18"/>
    <mergeCell ref="D17:F18"/>
    <mergeCell ref="A4:L4"/>
    <mergeCell ref="G16:I16"/>
    <mergeCell ref="D24:F26"/>
    <mergeCell ref="A20:L22"/>
    <mergeCell ref="A12:L13"/>
    <mergeCell ref="A24:C26"/>
    <mergeCell ref="A11:L11"/>
    <mergeCell ref="A36:L36"/>
    <mergeCell ref="A17:C18"/>
    <mergeCell ref="A16:C1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HYPERLINK("#'Start'!A1", "← BACK")</f>
        <v/>
      </c>
      <c r="B2" s="17" t="n"/>
      <c r="C2" s="17" t="n"/>
      <c r="D2" s="24" t="inlineStr">
        <is>
          <t>CURRENT STATE</t>
        </is>
      </c>
      <c r="J2" s="18">
        <f>HYPERLINK("#'Target State'!A1",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Section 1 — what you have today: W2, partner income, STR portfolio, runway.</t>
        </is>
      </c>
    </row>
    <row r="6" ht="24" customHeight="1">
      <c r="A6" s="26" t="inlineStr">
        <is>
          <t>PLAN ANCHOR</t>
        </is>
      </c>
    </row>
    <row r="7" ht="18" customHeight="1">
      <c r="B7" s="27" t="inlineStr">
        <is>
          <t>Plan start date:</t>
        </is>
      </c>
      <c r="C7" s="28" t="n">
        <v>46143</v>
      </c>
      <c r="E7" s="29" t="inlineStr">
        <is>
          <t>Today's date — when you started this planning round</t>
        </is>
      </c>
    </row>
    <row r="9" ht="24" customHeight="1">
      <c r="A9" s="26" t="inlineStr">
        <is>
          <t>HOUSEHOLD INCOME</t>
        </is>
      </c>
    </row>
    <row r="10" ht="18" customHeight="1">
      <c r="B10" s="27" t="inlineStr">
        <is>
          <t>Your W2 gross ($/yr):</t>
        </is>
      </c>
      <c r="C10" s="30" t="n">
        <v>145000</v>
      </c>
    </row>
    <row r="11" ht="18" customHeight="1">
      <c r="B11" s="27" t="inlineStr">
        <is>
          <t>Your W2 net ($/yr):</t>
        </is>
      </c>
      <c r="C11" s="30" t="n">
        <v>98000</v>
      </c>
      <c r="E11" s="29" t="inlineStr">
        <is>
          <t>After taxes, 401k, benefits</t>
        </is>
      </c>
    </row>
    <row r="12" ht="18" customHeight="1">
      <c r="B12" s="27" t="inlineStr">
        <is>
          <t>W2 benefits value ($/yr):</t>
        </is>
      </c>
      <c r="C12" s="30" t="n">
        <v>18000</v>
      </c>
      <c r="E12" s="29" t="inlineStr">
        <is>
          <t>Employer 401k match + health + life + disability</t>
        </is>
      </c>
    </row>
    <row r="13" ht="18" customHeight="1">
      <c r="B13" s="27" t="inlineStr">
        <is>
          <t>Partner W2 net ($/yr):</t>
        </is>
      </c>
      <c r="C13" s="30" t="n">
        <v>72000</v>
      </c>
      <c r="E13" s="29" t="inlineStr">
        <is>
          <t>Zero if single-income household</t>
        </is>
      </c>
    </row>
    <row r="15" ht="24" customHeight="1">
      <c r="A15" s="26" t="inlineStr">
        <is>
          <t>CURRENT STR PORTFOLIO</t>
        </is>
      </c>
    </row>
    <row r="16" ht="18" customHeight="1">
      <c r="B16" s="27" t="inlineStr">
        <is>
          <t># properties owned:</t>
        </is>
      </c>
      <c r="C16" s="31" t="n">
        <v>2</v>
      </c>
    </row>
    <row r="17" ht="18" customHeight="1">
      <c r="B17" s="27" t="inlineStr">
        <is>
          <t>Portfolio gross ($/yr):</t>
        </is>
      </c>
      <c r="C17" s="30" t="n">
        <v>58000</v>
      </c>
      <c r="E17" s="29" t="inlineStr">
        <is>
          <t>Total revenue across all properties YTD-annualized</t>
        </is>
      </c>
    </row>
    <row r="18" ht="18" customHeight="1">
      <c r="B18" s="27" t="inlineStr">
        <is>
          <t>Portfolio net ($/yr):</t>
        </is>
      </c>
      <c r="C18" s="30" t="n">
        <v>19000</v>
      </c>
      <c r="E18" s="29" t="inlineStr">
        <is>
          <t>Schedule E line 26 — what hits your tax return</t>
        </is>
      </c>
    </row>
    <row r="19" ht="18" customHeight="1">
      <c r="B19" s="27" t="inlineStr">
        <is>
          <t>Avg stab. net per prop ($/yr):</t>
        </is>
      </c>
      <c r="C19" s="30" t="n">
        <v>14000</v>
      </c>
      <c r="E19" s="29" t="inlineStr">
        <is>
          <t>Use a Y3 property — Y1/Y2 are depressed</t>
        </is>
      </c>
    </row>
    <row r="21" ht="24" customHeight="1">
      <c r="A21" s="26" t="inlineStr">
        <is>
          <t>EXPENSES &amp; RUNWAY</t>
        </is>
      </c>
    </row>
    <row r="22" ht="18" customHeight="1">
      <c r="B22" s="27" t="inlineStr">
        <is>
          <t>Annual household expenses ($):</t>
        </is>
      </c>
      <c r="C22" s="30" t="n">
        <v>96000</v>
      </c>
      <c r="E22" s="29" t="inlineStr">
        <is>
          <t>All in — mortgage, food, kids, etc.</t>
        </is>
      </c>
    </row>
    <row r="23" ht="18" customHeight="1">
      <c r="B23" s="27" t="inlineStr">
        <is>
          <t>Annual savings rate ($):</t>
        </is>
      </c>
      <c r="C23" s="30" t="n">
        <v>42000</v>
      </c>
      <c r="E23" s="29" t="inlineStr">
        <is>
          <t>What you actually deploy into properties each year</t>
        </is>
      </c>
    </row>
    <row r="24" ht="18" customHeight="1">
      <c r="B24" s="27" t="inlineStr">
        <is>
          <t>Current liquid runway ($):</t>
        </is>
      </c>
      <c r="C24" s="30" t="n">
        <v>48000</v>
      </c>
      <c r="E24" s="29" t="inlineStr">
        <is>
          <t>Cash after closing on existing properties</t>
        </is>
      </c>
    </row>
    <row r="26" ht="24" customHeight="1">
      <c r="A26" s="26" t="inlineStr">
        <is>
          <t>ROLLUP</t>
        </is>
      </c>
    </row>
    <row r="27" ht="18" customHeight="1">
      <c r="B27" s="27" t="inlineStr">
        <is>
          <t>Total household income (net):</t>
        </is>
      </c>
      <c r="C27" s="32">
        <f>C11+C13+C18</f>
        <v/>
      </c>
    </row>
    <row r="28" ht="18" customHeight="1">
      <c r="B28" s="27" t="inlineStr">
        <is>
          <t>Income replaced by STR today:</t>
        </is>
      </c>
      <c r="C28" s="33">
        <f>IFERROR(C18/(C11+C12),0)</f>
        <v/>
      </c>
    </row>
    <row r="29" ht="18" customHeight="1">
      <c r="B29" s="27" t="inlineStr">
        <is>
          <t>Implied savings rate:</t>
        </is>
      </c>
      <c r="C29" s="33">
        <f>IFERROR(C23/(C11+C13+C18),0)</f>
        <v/>
      </c>
    </row>
    <row r="30" ht="18" customHeight="1">
      <c r="B30" s="27" t="inlineStr">
        <is>
          <t>Years runway covers expenses:</t>
        </is>
      </c>
      <c r="C30" s="34">
        <f>IFERROR(C24/C22,0)</f>
        <v/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18" customHeight="1">
      <c r="A34" s="22" t="inlineStr">
        <is>
          <t>Questions? hello@thestrledger.com</t>
        </is>
      </c>
    </row>
    <row r="35" ht="18" customHeight="1">
      <c r="A35" s="23" t="inlineStr">
        <is>
          <t>STR-001 · Current State</t>
        </is>
      </c>
    </row>
  </sheetData>
  <mergeCells count="21">
    <mergeCell ref="E12:L12"/>
    <mergeCell ref="E18:L18"/>
    <mergeCell ref="D2:I2"/>
    <mergeCell ref="E24:L24"/>
    <mergeCell ref="E23:L23"/>
    <mergeCell ref="A21:L21"/>
    <mergeCell ref="A2:C2"/>
    <mergeCell ref="A26:L26"/>
    <mergeCell ref="E17:L17"/>
    <mergeCell ref="E13:L13"/>
    <mergeCell ref="E19:L19"/>
    <mergeCell ref="A35:L35"/>
    <mergeCell ref="A4:L4"/>
    <mergeCell ref="J2:L2"/>
    <mergeCell ref="E11:L11"/>
    <mergeCell ref="A9:L9"/>
    <mergeCell ref="A34:L34"/>
    <mergeCell ref="A15:L15"/>
    <mergeCell ref="E7:L7"/>
    <mergeCell ref="A6:L6"/>
    <mergeCell ref="E22:L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HYPERLINK("#'Current State'!A1", "← BACK")</f>
        <v/>
      </c>
      <c r="B2" s="17" t="n"/>
      <c r="C2" s="17" t="n"/>
      <c r="D2" s="24" t="inlineStr">
        <is>
          <t>TARGET STATE</t>
        </is>
      </c>
      <c r="J2" s="18">
        <f>HYPERLINK("#'Quit Date Calculator'!A1",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Section 2 — what 'enough' looks like: replacement income, buffer, properties needed.</t>
        </is>
      </c>
    </row>
    <row r="6" ht="24" customHeight="1">
      <c r="A6" s="26" t="inlineStr">
        <is>
          <t>REPLACEMENT INCOME</t>
        </is>
      </c>
    </row>
    <row r="7" ht="18" customHeight="1">
      <c r="B7" s="27" t="inlineStr">
        <is>
          <t>Target replacement income ($/yr):</t>
        </is>
      </c>
      <c r="C7" s="30" t="n">
        <v>112000</v>
      </c>
      <c r="E7" s="29" t="inlineStr">
        <is>
          <t>Default = current W2 net + benefits cost + healthcare bridge</t>
        </is>
      </c>
    </row>
    <row r="8" ht="18" customHeight="1">
      <c r="B8" s="27" t="inlineStr">
        <is>
          <t>Buffer multiple (×):</t>
        </is>
      </c>
      <c r="C8" s="35" t="n">
        <v>1.5</v>
      </c>
      <c r="E8" s="29" t="inlineStr">
        <is>
          <t>1.5× = handle a bad year without panic</t>
        </is>
      </c>
    </row>
    <row r="9" ht="18" customHeight="1">
      <c r="B9" s="27" t="inlineStr">
        <is>
          <t>Target liquid reserve at quit ($):</t>
        </is>
      </c>
      <c r="C9" s="30" t="n">
        <v>48000</v>
      </c>
      <c r="E9" s="29" t="inlineStr">
        <is>
          <t>Default 6 months of expenses</t>
        </is>
      </c>
    </row>
    <row r="10" ht="18" customHeight="1">
      <c r="B10" s="27" t="inlineStr">
        <is>
          <t>Target stabilized net per prop ($/yr):</t>
        </is>
      </c>
      <c r="C10" s="30" t="n">
        <v>14000</v>
      </c>
      <c r="E10" s="29" t="inlineStr">
        <is>
          <t>Use the per-property economics you actually achieve</t>
        </is>
      </c>
    </row>
    <row r="12" ht="24" customHeight="1">
      <c r="A12" s="26" t="inlineStr">
        <is>
          <t>WHAT THE MATH SAYS</t>
        </is>
      </c>
    </row>
    <row r="13" ht="18" customHeight="1">
      <c r="B13" s="27" t="inlineStr">
        <is>
          <t>Buffered income required ($/yr):</t>
        </is>
      </c>
      <c r="C13" s="32">
        <f>C7*C8</f>
        <v/>
      </c>
    </row>
    <row r="14" ht="18" customHeight="1">
      <c r="B14" s="27" t="inlineStr">
        <is>
          <t>Less current STR portfolio net:</t>
        </is>
      </c>
      <c r="C14" s="32">
        <f>'Current State'!C18</f>
        <v/>
      </c>
    </row>
    <row r="15" ht="18" customHeight="1">
      <c r="B15" s="27" t="inlineStr">
        <is>
          <t>Net new STR income required:</t>
        </is>
      </c>
      <c r="C15" s="32">
        <f>MAX(0,C13-C14)</f>
        <v/>
      </c>
    </row>
    <row r="16" ht="18" customHeight="1">
      <c r="B16" s="27" t="inlineStr">
        <is>
          <t>Properties to add (rounded up):</t>
        </is>
      </c>
      <c r="C16" s="36">
        <f>IFERROR(CEILING(C15/C10,1),0)</f>
        <v/>
      </c>
    </row>
    <row r="17" ht="18" customHeight="1">
      <c r="B17" s="27" t="inlineStr">
        <is>
          <t>Total properties at quit:</t>
        </is>
      </c>
      <c r="C17" s="36">
        <f>'Current State'!C16+C16</f>
        <v/>
      </c>
    </row>
    <row r="19" ht="24" customHeight="1">
      <c r="A19" s="26" t="inlineStr">
        <is>
          <t>HEADLINE NUMBERS  (referenced by Start tab)</t>
        </is>
      </c>
    </row>
    <row r="20" ht="22" customHeight="1">
      <c r="B20" s="37" t="inlineStr">
        <is>
          <t>TOTAL PROPERTIES NEEDED:</t>
        </is>
      </c>
      <c r="C20" s="38">
        <f>C17</f>
        <v/>
      </c>
    </row>
    <row r="21" ht="18" customHeight="1">
      <c r="B21" s="27" t="inlineStr">
        <is>
          <t>Cash deployment per property ($):</t>
        </is>
      </c>
      <c r="C21" s="32">
        <f>95000</f>
        <v/>
      </c>
    </row>
    <row r="22" ht="22" customHeight="1">
      <c r="B22" s="37" t="inlineStr">
        <is>
          <t>TOTAL CASH NEEDED AT QUIT ($):</t>
        </is>
      </c>
      <c r="C22" s="39">
        <f>C16*C21+C9</f>
        <v/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18" customHeight="1">
      <c r="A26" s="22" t="inlineStr">
        <is>
          <t>Questions? hello@thestrledger.com</t>
        </is>
      </c>
    </row>
    <row r="27" ht="18" customHeight="1">
      <c r="A27" s="23" t="inlineStr">
        <is>
          <t>STR-001 · Target State</t>
        </is>
      </c>
    </row>
  </sheetData>
  <mergeCells count="13">
    <mergeCell ref="A26:L26"/>
    <mergeCell ref="E9:L9"/>
    <mergeCell ref="J2:L2"/>
    <mergeCell ref="D2:I2"/>
    <mergeCell ref="A12:L12"/>
    <mergeCell ref="A19:L19"/>
    <mergeCell ref="E7:L7"/>
    <mergeCell ref="E10:L10"/>
    <mergeCell ref="A6:L6"/>
    <mergeCell ref="E8:L8"/>
    <mergeCell ref="A27:L27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HYPERLINK("#'Target State'!A1", "← BACK")</f>
        <v/>
      </c>
      <c r="B2" s="17" t="n"/>
      <c r="C2" s="17" t="n"/>
      <c r="D2" s="24" t="inlineStr">
        <is>
          <t>QUIT DATE CALCULATOR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Section 3 — the math behind the headline date. Adjust assumptions below.</t>
        </is>
      </c>
    </row>
    <row r="6" ht="24" customHeight="1">
      <c r="A6" s="26" t="inlineStr">
        <is>
          <t>QUIT DATES</t>
        </is>
      </c>
    </row>
    <row r="7" ht="24" customHeight="1">
      <c r="B7" s="27" t="inlineStr">
        <is>
          <t>Optimistic quit date:</t>
        </is>
      </c>
      <c r="C7" s="40">
        <f>EDATE('Current State'!C7,(MAX(0,'Target State'!C16/3.0))*12)</f>
        <v/>
      </c>
    </row>
    <row r="8" ht="24" customHeight="1">
      <c r="B8" s="27" t="inlineStr">
        <is>
          <t>Conservative quit date:</t>
        </is>
      </c>
      <c r="C8" s="41">
        <f>EDATE('Current State'!C7,(MAX(0,'Target State'!C16/1.5)*1.15)*12)</f>
        <v/>
      </c>
    </row>
    <row r="9" ht="20" customHeight="1">
      <c r="B9" s="27" t="inlineStr">
        <is>
          <t>Spread (years):</t>
        </is>
      </c>
      <c r="C9" s="34">
        <f>(C8-C7)/365.25</f>
        <v/>
      </c>
    </row>
    <row r="11" ht="24" customHeight="1">
      <c r="A11" s="26" t="inlineStr">
        <is>
          <t>ASSUMPTIONS  (edit to test scenarios)</t>
        </is>
      </c>
    </row>
    <row r="12" ht="18" customHeight="1">
      <c r="B12" s="27" t="inlineStr">
        <is>
          <t>Optimistic props/year:</t>
        </is>
      </c>
      <c r="C12" s="35" t="n">
        <v>3</v>
      </c>
      <c r="E12" s="29" t="inlineStr">
        <is>
          <t>Lite: fixed assumption — upgrade for editable scenarios</t>
        </is>
      </c>
    </row>
    <row r="13" ht="18" customHeight="1">
      <c r="B13" s="27" t="inlineStr">
        <is>
          <t>Conservative props/year:</t>
        </is>
      </c>
      <c r="C13" s="35" t="n">
        <v>1.5</v>
      </c>
      <c r="E13" s="29" t="inlineStr">
        <is>
          <t>Lite: fixed assumption — upgrade for editable scenarios</t>
        </is>
      </c>
    </row>
    <row r="17" ht="24" customHeight="1">
      <c r="A17" s="26" t="inlineStr">
        <is>
          <t>HEADLINE NUMBERS  (referenced by Start tab)</t>
        </is>
      </c>
    </row>
    <row r="18" ht="18" customHeight="1">
      <c r="B18" s="27" t="inlineStr">
        <is>
          <t>Stabilized portfolio at quit ($/yr):</t>
        </is>
      </c>
      <c r="C18" s="32">
        <f>'Target State'!C17*'Target State'!C10</f>
        <v/>
      </c>
    </row>
    <row r="19" ht="22" customHeight="1">
      <c r="B19" s="37" t="inlineStr">
        <is>
          <t>Y1 PROJECTED NET ($/yr):</t>
        </is>
      </c>
      <c r="C19" s="39">
        <f>C18*0.65</f>
        <v/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18" customHeight="1">
      <c r="A23" s="22" t="inlineStr">
        <is>
          <t>Questions? hello@thestrledger.com</t>
        </is>
      </c>
    </row>
    <row r="24" ht="18" customHeight="1">
      <c r="A24" s="23" t="inlineStr">
        <is>
          <t>STR-001 · Quit Date Calculator</t>
        </is>
      </c>
    </row>
  </sheetData>
  <mergeCells count="10">
    <mergeCell ref="D2:L2"/>
    <mergeCell ref="E12:L12"/>
    <mergeCell ref="A24:L24"/>
    <mergeCell ref="A11:L11"/>
    <mergeCell ref="A23:L23"/>
    <mergeCell ref="A6:L6"/>
    <mergeCell ref="E13:L13"/>
    <mergeCell ref="A17:L17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Escape the W2 Planner — The STR Ledger</dc:title>
  <dc:description xmlns:dc="http://purl.org/dc/elements/1.1/">Career-transition planning workbook for STR investors with W2 jobs. Returns optimistic and conservative quit dates plus a printable partner-conversation doc.</dc:description>
  <dcterms:created xmlns:dcterms="http://purl.org/dc/terms/" xmlns:xsi="http://www.w3.org/2001/XMLSchema-instance" xsi:type="dcterms:W3CDTF">2026-05-03T19:04:40Z</dcterms:created>
  <dcterms:modified xmlns:dcterms="http://purl.org/dc/terms/" xmlns:xsi="http://www.w3.org/2001/XMLSchema-instance" xsi:type="dcterms:W3CDTF">2026-05-03T19:04:40Z</dcterms:modified>
</cp:coreProperties>
</file>